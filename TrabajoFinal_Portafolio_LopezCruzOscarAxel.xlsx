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F3E887158027417/Documents/"/>
    </mc:Choice>
  </mc:AlternateContent>
  <xr:revisionPtr revIDLastSave="0" documentId="8_{924A9051-42B0-46CA-9EFD-F324BF5DF160}" xr6:coauthVersionLast="47" xr6:coauthVersionMax="47" xr10:uidLastSave="{00000000-0000-0000-0000-000000000000}"/>
  <bookViews>
    <workbookView xWindow="-110" yWindow="-110" windowWidth="19420" windowHeight="10300" activeTab="1" xr2:uid="{C64FC487-9C7E-4F59-9DA9-F70DBA92B975}"/>
  </bookViews>
  <sheets>
    <sheet name="Data (Actions)" sheetId="1" r:id="rId1"/>
    <sheet name="Portfolio" sheetId="3" r:id="rId2"/>
    <sheet name="Frontera" sheetId="8" r:id="rId3"/>
    <sheet name="Evolucion" sheetId="9" r:id="rId4"/>
    <sheet name="VaR (CVaR)" sheetId="5" r:id="rId5"/>
    <sheet name="COVAR" sheetId="4" r:id="rId6"/>
  </sheets>
  <definedNames>
    <definedName name="_xlnm._FilterDatabase" localSheetId="0" hidden="1">'Data (Actions)'!$A$3:$Y$3</definedName>
    <definedName name="_xlnm._FilterDatabase" localSheetId="1" hidden="1">Portfolio!$Y$2:$AC$2</definedName>
    <definedName name="_xlnm._FilterDatabase" localSheetId="4" hidden="1">'VaR (CVaR)'!$A$1:$C$1</definedName>
    <definedName name="solver_adj" localSheetId="1" hidden="1">Portfolio!$W$3:$W$12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Portfolio!$W$13</definedName>
    <definedName name="solver_lhs2" localSheetId="1" hidden="1">Portfolio!$W$3:$W$12</definedName>
    <definedName name="solver_lhs3" localSheetId="1" hidden="1">Portfolio!$W$3:$W$12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Portfolio!$U$20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3</definedName>
    <definedName name="solver_rel3" localSheetId="1" hidden="1">3</definedName>
    <definedName name="solver_rhs1" localSheetId="1" hidden="1">100%</definedName>
    <definedName name="solver_rhs2" localSheetId="1" hidden="1">0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3" l="1"/>
  <c r="U15" i="3" l="1"/>
  <c r="AB13" i="3"/>
  <c r="G6" i="5" l="1"/>
  <c r="G5" i="5"/>
  <c r="G4" i="5"/>
  <c r="C2" i="5"/>
  <c r="C4" i="5"/>
  <c r="C3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M28" i="3"/>
  <c r="R28" i="3" s="1"/>
  <c r="Q516" i="3"/>
  <c r="P135" i="3"/>
  <c r="O16" i="3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O903" i="3" s="1"/>
  <c r="O904" i="3" s="1"/>
  <c r="O905" i="3" s="1"/>
  <c r="O906" i="3" s="1"/>
  <c r="O907" i="3" s="1"/>
  <c r="O908" i="3" s="1"/>
  <c r="O909" i="3" s="1"/>
  <c r="O910" i="3" s="1"/>
  <c r="O911" i="3" s="1"/>
  <c r="O912" i="3" s="1"/>
  <c r="O913" i="3" s="1"/>
  <c r="O914" i="3" s="1"/>
  <c r="O915" i="3" s="1"/>
  <c r="O916" i="3" s="1"/>
  <c r="O917" i="3" s="1"/>
  <c r="O918" i="3" s="1"/>
  <c r="O919" i="3" s="1"/>
  <c r="O920" i="3" s="1"/>
  <c r="O921" i="3" s="1"/>
  <c r="O922" i="3" s="1"/>
  <c r="O923" i="3" s="1"/>
  <c r="O924" i="3" s="1"/>
  <c r="O925" i="3" s="1"/>
  <c r="O926" i="3" s="1"/>
  <c r="O927" i="3" s="1"/>
  <c r="O928" i="3" s="1"/>
  <c r="O929" i="3" s="1"/>
  <c r="O930" i="3" s="1"/>
  <c r="O931" i="3" s="1"/>
  <c r="O932" i="3" s="1"/>
  <c r="O933" i="3" s="1"/>
  <c r="O934" i="3" s="1"/>
  <c r="O935" i="3" s="1"/>
  <c r="O936" i="3" s="1"/>
  <c r="O937" i="3" s="1"/>
  <c r="O938" i="3" s="1"/>
  <c r="O939" i="3" s="1"/>
  <c r="O940" i="3" s="1"/>
  <c r="O941" i="3" s="1"/>
  <c r="O942" i="3" s="1"/>
  <c r="O943" i="3" s="1"/>
  <c r="O944" i="3" s="1"/>
  <c r="O945" i="3" s="1"/>
  <c r="O946" i="3" s="1"/>
  <c r="O947" i="3" s="1"/>
  <c r="O948" i="3" s="1"/>
  <c r="O949" i="3" s="1"/>
  <c r="O950" i="3" s="1"/>
  <c r="O951" i="3" s="1"/>
  <c r="O952" i="3" s="1"/>
  <c r="O953" i="3" s="1"/>
  <c r="O954" i="3" s="1"/>
  <c r="O955" i="3" s="1"/>
  <c r="O956" i="3" s="1"/>
  <c r="O957" i="3" s="1"/>
  <c r="O958" i="3" s="1"/>
  <c r="O959" i="3" s="1"/>
  <c r="O960" i="3" s="1"/>
  <c r="O961" i="3" s="1"/>
  <c r="O962" i="3" s="1"/>
  <c r="O963" i="3" s="1"/>
  <c r="O964" i="3" s="1"/>
  <c r="O965" i="3" s="1"/>
  <c r="O966" i="3" s="1"/>
  <c r="O967" i="3" s="1"/>
  <c r="O968" i="3" s="1"/>
  <c r="O969" i="3" s="1"/>
  <c r="O970" i="3" s="1"/>
  <c r="O971" i="3" s="1"/>
  <c r="O972" i="3" s="1"/>
  <c r="O973" i="3" s="1"/>
  <c r="O974" i="3" s="1"/>
  <c r="O975" i="3" s="1"/>
  <c r="O976" i="3" s="1"/>
  <c r="O977" i="3" s="1"/>
  <c r="O978" i="3" s="1"/>
  <c r="O979" i="3" s="1"/>
  <c r="O980" i="3" s="1"/>
  <c r="O981" i="3" s="1"/>
  <c r="O982" i="3" s="1"/>
  <c r="O983" i="3" s="1"/>
  <c r="O984" i="3" s="1"/>
  <c r="O985" i="3" s="1"/>
  <c r="O986" i="3" s="1"/>
  <c r="O987" i="3" s="1"/>
  <c r="O988" i="3" s="1"/>
  <c r="O989" i="3" s="1"/>
  <c r="O990" i="3" s="1"/>
  <c r="O991" i="3" s="1"/>
  <c r="O992" i="3" s="1"/>
  <c r="O993" i="3" s="1"/>
  <c r="O994" i="3" s="1"/>
  <c r="O995" i="3" s="1"/>
  <c r="O996" i="3" s="1"/>
  <c r="O997" i="3" s="1"/>
  <c r="O998" i="3" s="1"/>
  <c r="O999" i="3" s="1"/>
  <c r="O1000" i="3" s="1"/>
  <c r="O1001" i="3" s="1"/>
  <c r="O1002" i="3" s="1"/>
  <c r="O1003" i="3" s="1"/>
  <c r="O1004" i="3" s="1"/>
  <c r="O1005" i="3" s="1"/>
  <c r="O1006" i="3" s="1"/>
  <c r="O1007" i="3" s="1"/>
  <c r="O1008" i="3" s="1"/>
  <c r="O1009" i="3" s="1"/>
  <c r="O1010" i="3" s="1"/>
  <c r="O1011" i="3" s="1"/>
  <c r="O1012" i="3" s="1"/>
  <c r="O1013" i="3" s="1"/>
  <c r="O1014" i="3" s="1"/>
  <c r="O1015" i="3" s="1"/>
  <c r="O1016" i="3" s="1"/>
  <c r="O1017" i="3" s="1"/>
  <c r="O1018" i="3" s="1"/>
  <c r="O1019" i="3" s="1"/>
  <c r="O1020" i="3" s="1"/>
  <c r="O1021" i="3" s="1"/>
  <c r="O1022" i="3" s="1"/>
  <c r="O1023" i="3" s="1"/>
  <c r="O1024" i="3" s="1"/>
  <c r="O1025" i="3" s="1"/>
  <c r="O1026" i="3" s="1"/>
  <c r="O1027" i="3" s="1"/>
  <c r="O1028" i="3" s="1"/>
  <c r="O1029" i="3" s="1"/>
  <c r="O1030" i="3" s="1"/>
  <c r="O1031" i="3" s="1"/>
  <c r="O1032" i="3" s="1"/>
  <c r="O1033" i="3" s="1"/>
  <c r="O1034" i="3" s="1"/>
  <c r="O1035" i="3" s="1"/>
  <c r="O1036" i="3" s="1"/>
  <c r="O1037" i="3" s="1"/>
  <c r="O1038" i="3" s="1"/>
  <c r="O1039" i="3" s="1"/>
  <c r="O1040" i="3" s="1"/>
  <c r="O1041" i="3" s="1"/>
  <c r="O1042" i="3" s="1"/>
  <c r="O1043" i="3" s="1"/>
  <c r="O1044" i="3" s="1"/>
  <c r="O1045" i="3" s="1"/>
  <c r="O1046" i="3" s="1"/>
  <c r="O1047" i="3" s="1"/>
  <c r="O1048" i="3" s="1"/>
  <c r="O1049" i="3" s="1"/>
  <c r="O1050" i="3" s="1"/>
  <c r="O1051" i="3" s="1"/>
  <c r="O1052" i="3" s="1"/>
  <c r="O1053" i="3" s="1"/>
  <c r="O1054" i="3" s="1"/>
  <c r="O1055" i="3" s="1"/>
  <c r="O1056" i="3" s="1"/>
  <c r="O1057" i="3" s="1"/>
  <c r="O1058" i="3" s="1"/>
  <c r="O1059" i="3" s="1"/>
  <c r="O1060" i="3" s="1"/>
  <c r="O1061" i="3" s="1"/>
  <c r="O1062" i="3" s="1"/>
  <c r="O1063" i="3" s="1"/>
  <c r="O1064" i="3" s="1"/>
  <c r="O1065" i="3" s="1"/>
  <c r="O1066" i="3" s="1"/>
  <c r="O1067" i="3" s="1"/>
  <c r="O1068" i="3" s="1"/>
  <c r="O1069" i="3" s="1"/>
  <c r="O1070" i="3" s="1"/>
  <c r="O1071" i="3" s="1"/>
  <c r="O1072" i="3" s="1"/>
  <c r="O1073" i="3" s="1"/>
  <c r="O1074" i="3" s="1"/>
  <c r="O1075" i="3" s="1"/>
  <c r="O1076" i="3" s="1"/>
  <c r="O1077" i="3" s="1"/>
  <c r="O1078" i="3" s="1"/>
  <c r="O1079" i="3" s="1"/>
  <c r="O1080" i="3" s="1"/>
  <c r="O1081" i="3" s="1"/>
  <c r="O1082" i="3" s="1"/>
  <c r="O1083" i="3" s="1"/>
  <c r="O1084" i="3" s="1"/>
  <c r="O1085" i="3" s="1"/>
  <c r="O1086" i="3" s="1"/>
  <c r="O1087" i="3" s="1"/>
  <c r="O1088" i="3" s="1"/>
  <c r="O1089" i="3" s="1"/>
  <c r="O1090" i="3" s="1"/>
  <c r="O1091" i="3" s="1"/>
  <c r="O1092" i="3" s="1"/>
  <c r="O1093" i="3" s="1"/>
  <c r="O1094" i="3" s="1"/>
  <c r="O1095" i="3" s="1"/>
  <c r="O1096" i="3" s="1"/>
  <c r="O1097" i="3" s="1"/>
  <c r="O1098" i="3" s="1"/>
  <c r="O1099" i="3" s="1"/>
  <c r="O1100" i="3" s="1"/>
  <c r="O1101" i="3" s="1"/>
  <c r="O1102" i="3" s="1"/>
  <c r="O1103" i="3" s="1"/>
  <c r="O1104" i="3" s="1"/>
  <c r="O1105" i="3" s="1"/>
  <c r="O1106" i="3" s="1"/>
  <c r="O1107" i="3" s="1"/>
  <c r="O1108" i="3" s="1"/>
  <c r="O1109" i="3" s="1"/>
  <c r="O1110" i="3" s="1"/>
  <c r="O1111" i="3" s="1"/>
  <c r="O1112" i="3" s="1"/>
  <c r="O1113" i="3" s="1"/>
  <c r="O1114" i="3" s="1"/>
  <c r="O1115" i="3" s="1"/>
  <c r="O1116" i="3" s="1"/>
  <c r="O1117" i="3" s="1"/>
  <c r="O1118" i="3" s="1"/>
  <c r="O1119" i="3" s="1"/>
  <c r="O1120" i="3" s="1"/>
  <c r="O1121" i="3" s="1"/>
  <c r="O1122" i="3" s="1"/>
  <c r="O1123" i="3" s="1"/>
  <c r="O1124" i="3" s="1"/>
  <c r="O1125" i="3" s="1"/>
  <c r="O1126" i="3" s="1"/>
  <c r="O1127" i="3" s="1"/>
  <c r="O1128" i="3" s="1"/>
  <c r="O1129" i="3" s="1"/>
  <c r="O1130" i="3" s="1"/>
  <c r="O1131" i="3" s="1"/>
  <c r="O1132" i="3" s="1"/>
  <c r="O1133" i="3" s="1"/>
  <c r="O1134" i="3" s="1"/>
  <c r="O1135" i="3" s="1"/>
  <c r="O1136" i="3" s="1"/>
  <c r="O1137" i="3" s="1"/>
  <c r="O1138" i="3" s="1"/>
  <c r="O1139" i="3" s="1"/>
  <c r="O1140" i="3" s="1"/>
  <c r="O1141" i="3" s="1"/>
  <c r="O1142" i="3" s="1"/>
  <c r="O1143" i="3" s="1"/>
  <c r="O1144" i="3" s="1"/>
  <c r="O1145" i="3" s="1"/>
  <c r="O1146" i="3" s="1"/>
  <c r="O1147" i="3" s="1"/>
  <c r="O1148" i="3" s="1"/>
  <c r="O1149" i="3" s="1"/>
  <c r="O1150" i="3" s="1"/>
  <c r="O1151" i="3" s="1"/>
  <c r="O1152" i="3" s="1"/>
  <c r="O1153" i="3" s="1"/>
  <c r="O1154" i="3" s="1"/>
  <c r="O1155" i="3" s="1"/>
  <c r="O1156" i="3" s="1"/>
  <c r="O1157" i="3" s="1"/>
  <c r="O1158" i="3" s="1"/>
  <c r="O1159" i="3" s="1"/>
  <c r="O1160" i="3" s="1"/>
  <c r="O1161" i="3" s="1"/>
  <c r="O1162" i="3" s="1"/>
  <c r="O1163" i="3" s="1"/>
  <c r="O1164" i="3" s="1"/>
  <c r="O1165" i="3" s="1"/>
  <c r="O1166" i="3" s="1"/>
  <c r="O1167" i="3" s="1"/>
  <c r="O1168" i="3" s="1"/>
  <c r="O1169" i="3" s="1"/>
  <c r="O1170" i="3" s="1"/>
  <c r="O1171" i="3" s="1"/>
  <c r="O1172" i="3" s="1"/>
  <c r="O1173" i="3" s="1"/>
  <c r="O1174" i="3" s="1"/>
  <c r="O1175" i="3" s="1"/>
  <c r="O1176" i="3" s="1"/>
  <c r="O1177" i="3" s="1"/>
  <c r="O1178" i="3" s="1"/>
  <c r="O1179" i="3" s="1"/>
  <c r="O1180" i="3" s="1"/>
  <c r="O1181" i="3" s="1"/>
  <c r="O1182" i="3" s="1"/>
  <c r="O1183" i="3" s="1"/>
  <c r="O1184" i="3" s="1"/>
  <c r="O1185" i="3" s="1"/>
  <c r="O1186" i="3" s="1"/>
  <c r="O1187" i="3" s="1"/>
  <c r="O1188" i="3" s="1"/>
  <c r="O1189" i="3" s="1"/>
  <c r="O1190" i="3" s="1"/>
  <c r="O1191" i="3" s="1"/>
  <c r="O1192" i="3" s="1"/>
  <c r="O1193" i="3" s="1"/>
  <c r="O1194" i="3" s="1"/>
  <c r="O1195" i="3" s="1"/>
  <c r="O1196" i="3" s="1"/>
  <c r="O1197" i="3" s="1"/>
  <c r="O1198" i="3" s="1"/>
  <c r="O1199" i="3" s="1"/>
  <c r="O1200" i="3" s="1"/>
  <c r="O1201" i="3" s="1"/>
  <c r="O1202" i="3" s="1"/>
  <c r="O1203" i="3" s="1"/>
  <c r="O1204" i="3" s="1"/>
  <c r="O1205" i="3" s="1"/>
  <c r="O1206" i="3" s="1"/>
  <c r="O1207" i="3" s="1"/>
  <c r="O1208" i="3" s="1"/>
  <c r="O1209" i="3" s="1"/>
  <c r="O1210" i="3" s="1"/>
  <c r="O1211" i="3" s="1"/>
  <c r="O1212" i="3" s="1"/>
  <c r="O1213" i="3" s="1"/>
  <c r="O1214" i="3" s="1"/>
  <c r="O1215" i="3" s="1"/>
  <c r="O1216" i="3" s="1"/>
  <c r="O1217" i="3" s="1"/>
  <c r="O1218" i="3" s="1"/>
  <c r="O1219" i="3" s="1"/>
  <c r="O1220" i="3" s="1"/>
  <c r="O1221" i="3" s="1"/>
  <c r="O1222" i="3" s="1"/>
  <c r="O1223" i="3" s="1"/>
  <c r="O1224" i="3" s="1"/>
  <c r="O1225" i="3" s="1"/>
  <c r="O1226" i="3" s="1"/>
  <c r="O1227" i="3" s="1"/>
  <c r="O1228" i="3" s="1"/>
  <c r="O1229" i="3" s="1"/>
  <c r="O1230" i="3" s="1"/>
  <c r="O1231" i="3" s="1"/>
  <c r="O1232" i="3" s="1"/>
  <c r="O1233" i="3" s="1"/>
  <c r="O1234" i="3" s="1"/>
  <c r="O1235" i="3" s="1"/>
  <c r="O1236" i="3" s="1"/>
  <c r="O1237" i="3" s="1"/>
  <c r="O1238" i="3" s="1"/>
  <c r="O1239" i="3" s="1"/>
  <c r="O1240" i="3" s="1"/>
  <c r="O1241" i="3" s="1"/>
  <c r="O1242" i="3" s="1"/>
  <c r="O1243" i="3" s="1"/>
  <c r="O1244" i="3" s="1"/>
  <c r="O1245" i="3" s="1"/>
  <c r="O1246" i="3" s="1"/>
  <c r="O1247" i="3" s="1"/>
  <c r="O1248" i="3" s="1"/>
  <c r="O1249" i="3" s="1"/>
  <c r="O1250" i="3" s="1"/>
  <c r="O1251" i="3" s="1"/>
  <c r="O1252" i="3" s="1"/>
  <c r="O1253" i="3" s="1"/>
  <c r="O1254" i="3" s="1"/>
  <c r="O1255" i="3" s="1"/>
  <c r="O1256" i="3" s="1"/>
  <c r="O1257" i="3" s="1"/>
  <c r="O1258" i="3" s="1"/>
  <c r="O1259" i="3" s="1"/>
  <c r="O1260" i="3" s="1"/>
  <c r="O1261" i="3" s="1"/>
  <c r="O1262" i="3" s="1"/>
  <c r="O1263" i="3" s="1"/>
  <c r="O1264" i="3" s="1"/>
  <c r="O1265" i="3" s="1"/>
  <c r="O1266" i="3" s="1"/>
  <c r="O1267" i="3" s="1"/>
  <c r="O1268" i="3" s="1"/>
  <c r="O1269" i="3" s="1"/>
  <c r="O1270" i="3" s="1"/>
  <c r="M23" i="3"/>
  <c r="R23" i="3" s="1"/>
  <c r="M19" i="3"/>
  <c r="R19" i="3" s="1"/>
  <c r="M1270" i="3"/>
  <c r="M1269" i="3"/>
  <c r="M1268" i="3"/>
  <c r="M1267" i="3"/>
  <c r="M1266" i="3"/>
  <c r="P1266" i="3" s="1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P1251" i="3" s="1"/>
  <c r="M1250" i="3"/>
  <c r="P1250" i="3" s="1"/>
  <c r="M1249" i="3"/>
  <c r="P1249" i="3" s="1"/>
  <c r="M1248" i="3"/>
  <c r="M1247" i="3"/>
  <c r="M1246" i="3"/>
  <c r="M1245" i="3"/>
  <c r="M1244" i="3"/>
  <c r="M1243" i="3"/>
  <c r="M1242" i="3"/>
  <c r="M1241" i="3"/>
  <c r="P1241" i="3" s="1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Q1226" i="3" s="1"/>
  <c r="M1225" i="3"/>
  <c r="P1225" i="3" s="1"/>
  <c r="M1224" i="3"/>
  <c r="P1224" i="3" s="1"/>
  <c r="M1223" i="3"/>
  <c r="M1222" i="3"/>
  <c r="M1221" i="3"/>
  <c r="M1220" i="3"/>
  <c r="M1219" i="3"/>
  <c r="M1218" i="3"/>
  <c r="M1217" i="3"/>
  <c r="M1216" i="3"/>
  <c r="P1216" i="3" s="1"/>
  <c r="M1215" i="3"/>
  <c r="M1214" i="3"/>
  <c r="M1213" i="3"/>
  <c r="M1212" i="3"/>
  <c r="M1211" i="3"/>
  <c r="M1210" i="3"/>
  <c r="P1210" i="3" s="1"/>
  <c r="M1209" i="3"/>
  <c r="M1208" i="3"/>
  <c r="M1207" i="3"/>
  <c r="M1206" i="3"/>
  <c r="M1205" i="3"/>
  <c r="M1204" i="3"/>
  <c r="M1203" i="3"/>
  <c r="M1202" i="3"/>
  <c r="P1202" i="3" s="1"/>
  <c r="M1201" i="3"/>
  <c r="P1201" i="3" s="1"/>
  <c r="M1200" i="3"/>
  <c r="M1199" i="3"/>
  <c r="P1199" i="3" s="1"/>
  <c r="M1198" i="3"/>
  <c r="M1197" i="3"/>
  <c r="M1196" i="3"/>
  <c r="M1195" i="3"/>
  <c r="M1194" i="3"/>
  <c r="M1193" i="3"/>
  <c r="M1192" i="3"/>
  <c r="M1191" i="3"/>
  <c r="P1191" i="3" s="1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P1177" i="3" s="1"/>
  <c r="M1176" i="3"/>
  <c r="M1175" i="3"/>
  <c r="P1175" i="3" s="1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P1146" i="3" s="1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P1130" i="3" s="1"/>
  <c r="M1129" i="3"/>
  <c r="P1129" i="3" s="1"/>
  <c r="M1128" i="3"/>
  <c r="P1128" i="3" s="1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P1114" i="3" s="1"/>
  <c r="M1113" i="3"/>
  <c r="P1113" i="3" s="1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P1098" i="3" s="1"/>
  <c r="M1097" i="3"/>
  <c r="P1097" i="3" s="1"/>
  <c r="M1096" i="3"/>
  <c r="P1096" i="3" s="1"/>
  <c r="M1095" i="3"/>
  <c r="M1094" i="3"/>
  <c r="M1093" i="3"/>
  <c r="M1092" i="3"/>
  <c r="M1091" i="3"/>
  <c r="M1090" i="3"/>
  <c r="M1089" i="3"/>
  <c r="M1088" i="3"/>
  <c r="M1087" i="3"/>
  <c r="M1086" i="3"/>
  <c r="Q1086" i="3" s="1"/>
  <c r="M1085" i="3"/>
  <c r="M1084" i="3"/>
  <c r="M1083" i="3"/>
  <c r="M1082" i="3"/>
  <c r="P1082" i="3" s="1"/>
  <c r="M1081" i="3"/>
  <c r="P1081" i="3" s="1"/>
  <c r="M1080" i="3"/>
  <c r="P1080" i="3" s="1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P1066" i="3" s="1"/>
  <c r="M1065" i="3"/>
  <c r="P1065" i="3" s="1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P1050" i="3" s="1"/>
  <c r="M1049" i="3"/>
  <c r="P1049" i="3" s="1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P1034" i="3" s="1"/>
  <c r="M1033" i="3"/>
  <c r="P1033" i="3" s="1"/>
  <c r="M1032" i="3"/>
  <c r="M1031" i="3"/>
  <c r="M1030" i="3"/>
  <c r="M1029" i="3"/>
  <c r="M1028" i="3"/>
  <c r="M1027" i="3"/>
  <c r="M1026" i="3"/>
  <c r="M1025" i="3"/>
  <c r="R1025" i="3" s="1"/>
  <c r="M1024" i="3"/>
  <c r="M1023" i="3"/>
  <c r="M1022" i="3"/>
  <c r="M1021" i="3"/>
  <c r="M1020" i="3"/>
  <c r="M1019" i="3"/>
  <c r="M1018" i="3"/>
  <c r="P1018" i="3" s="1"/>
  <c r="M1017" i="3"/>
  <c r="R1017" i="3" s="1"/>
  <c r="M1016" i="3"/>
  <c r="P1016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P1002" i="3" s="1"/>
  <c r="M1001" i="3"/>
  <c r="P1001" i="3" s="1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P986" i="3" s="1"/>
  <c r="M985" i="3"/>
  <c r="P985" i="3" s="1"/>
  <c r="M984" i="3"/>
  <c r="M983" i="3"/>
  <c r="M982" i="3"/>
  <c r="M981" i="3"/>
  <c r="M980" i="3"/>
  <c r="M979" i="3"/>
  <c r="M978" i="3"/>
  <c r="M977" i="3"/>
  <c r="M976" i="3"/>
  <c r="M975" i="3"/>
  <c r="Q975" i="3" s="1"/>
  <c r="M974" i="3"/>
  <c r="M973" i="3"/>
  <c r="M972" i="3"/>
  <c r="M971" i="3"/>
  <c r="M970" i="3"/>
  <c r="P970" i="3" s="1"/>
  <c r="M969" i="3"/>
  <c r="P969" i="3" s="1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P954" i="3" s="1"/>
  <c r="M953" i="3"/>
  <c r="P953" i="3" s="1"/>
  <c r="M952" i="3"/>
  <c r="P952" i="3" s="1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Q938" i="3" s="1"/>
  <c r="M937" i="3"/>
  <c r="P937" i="3" s="1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P922" i="3" s="1"/>
  <c r="M921" i="3"/>
  <c r="P921" i="3" s="1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P906" i="3" s="1"/>
  <c r="M905" i="3"/>
  <c r="P905" i="3" s="1"/>
  <c r="M904" i="3"/>
  <c r="M903" i="3"/>
  <c r="M902" i="3"/>
  <c r="M901" i="3"/>
  <c r="M900" i="3"/>
  <c r="M899" i="3"/>
  <c r="M898" i="3"/>
  <c r="M897" i="3"/>
  <c r="R897" i="3" s="1"/>
  <c r="M896" i="3"/>
  <c r="M895" i="3"/>
  <c r="M894" i="3"/>
  <c r="M893" i="3"/>
  <c r="M892" i="3"/>
  <c r="M891" i="3"/>
  <c r="M890" i="3"/>
  <c r="P890" i="3" s="1"/>
  <c r="M889" i="3"/>
  <c r="R889" i="3" s="1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P874" i="3" s="1"/>
  <c r="M873" i="3"/>
  <c r="P873" i="3" s="1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Q860" i="3" s="1"/>
  <c r="M859" i="3"/>
  <c r="M858" i="3"/>
  <c r="P858" i="3" s="1"/>
  <c r="M857" i="3"/>
  <c r="R857" i="3" s="1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P842" i="3" s="1"/>
  <c r="M841" i="3"/>
  <c r="P841" i="3" s="1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R825" i="3" s="1"/>
  <c r="M824" i="3"/>
  <c r="P824" i="3" s="1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P809" i="3" s="1"/>
  <c r="M808" i="3"/>
  <c r="P808" i="3" s="1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P793" i="3" s="1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P777" i="3" s="1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P761" i="3" s="1"/>
  <c r="M760" i="3"/>
  <c r="P760" i="3" s="1"/>
  <c r="M759" i="3"/>
  <c r="Q759" i="3" s="1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P745" i="3" s="1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P729" i="3" s="1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P712" i="3" s="1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Q687" i="3" s="1"/>
  <c r="M686" i="3"/>
  <c r="Q686" i="3" s="1"/>
  <c r="M685" i="3"/>
  <c r="M684" i="3"/>
  <c r="M683" i="3"/>
  <c r="M682" i="3"/>
  <c r="M681" i="3"/>
  <c r="P681" i="3" s="1"/>
  <c r="M680" i="3"/>
  <c r="P680" i="3" s="1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P665" i="3" s="1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P633" i="3" s="1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P616" i="3" s="1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P601" i="3" s="1"/>
  <c r="M600" i="3"/>
  <c r="M599" i="3"/>
  <c r="M598" i="3"/>
  <c r="M597" i="3"/>
  <c r="M596" i="3"/>
  <c r="M595" i="3"/>
  <c r="M594" i="3"/>
  <c r="M593" i="3"/>
  <c r="M592" i="3"/>
  <c r="M591" i="3"/>
  <c r="M590" i="3"/>
  <c r="M589" i="3"/>
  <c r="Q589" i="3" s="1"/>
  <c r="M588" i="3"/>
  <c r="M587" i="3"/>
  <c r="M586" i="3"/>
  <c r="M585" i="3"/>
  <c r="R585" i="3" s="1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P569" i="3" s="1"/>
  <c r="M568" i="3"/>
  <c r="P568" i="3" s="1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P553" i="3" s="1"/>
  <c r="M552" i="3"/>
  <c r="P552" i="3" s="1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P537" i="3" s="1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P505" i="3" s="1"/>
  <c r="M504" i="3"/>
  <c r="P504" i="3" s="1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P489" i="3" s="1"/>
  <c r="M488" i="3"/>
  <c r="R488" i="3" s="1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P473" i="3" s="1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P457" i="3" s="1"/>
  <c r="M456" i="3"/>
  <c r="P456" i="3" s="1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R441" i="3" s="1"/>
  <c r="M440" i="3"/>
  <c r="P440" i="3" s="1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P425" i="3" s="1"/>
  <c r="M424" i="3"/>
  <c r="P424" i="3" s="1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P409" i="3" s="1"/>
  <c r="M408" i="3"/>
  <c r="M407" i="3"/>
  <c r="M406" i="3"/>
  <c r="M405" i="3"/>
  <c r="M404" i="3"/>
  <c r="M403" i="3"/>
  <c r="M402" i="3"/>
  <c r="M401" i="3"/>
  <c r="M400" i="3"/>
  <c r="M399" i="3"/>
  <c r="Q399" i="3" s="1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P377" i="3" s="1"/>
  <c r="M376" i="3"/>
  <c r="P376" i="3" s="1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P361" i="3" s="1"/>
  <c r="M360" i="3"/>
  <c r="M359" i="3"/>
  <c r="Q359" i="3" s="1"/>
  <c r="M358" i="3"/>
  <c r="Q358" i="3" s="1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P345" i="3" s="1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P329" i="3" s="1"/>
  <c r="M328" i="3"/>
  <c r="M327" i="3"/>
  <c r="M326" i="3"/>
  <c r="M325" i="3"/>
  <c r="M324" i="3"/>
  <c r="M323" i="3"/>
  <c r="M322" i="3"/>
  <c r="M321" i="3"/>
  <c r="M320" i="3"/>
  <c r="M319" i="3"/>
  <c r="M318" i="3"/>
  <c r="M317" i="3"/>
  <c r="Q317" i="3" s="1"/>
  <c r="M316" i="3"/>
  <c r="Q316" i="3" s="1"/>
  <c r="M315" i="3"/>
  <c r="M314" i="3"/>
  <c r="M313" i="3"/>
  <c r="P313" i="3" s="1"/>
  <c r="M312" i="3"/>
  <c r="P312" i="3" s="1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P297" i="3" s="1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P281" i="3" s="1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P265" i="3" s="1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P248" i="3" s="1"/>
  <c r="M247" i="3"/>
  <c r="M246" i="3"/>
  <c r="M245" i="3"/>
  <c r="M244" i="3"/>
  <c r="M243" i="3"/>
  <c r="M242" i="3"/>
  <c r="M241" i="3"/>
  <c r="Q241" i="3" s="1"/>
  <c r="M240" i="3"/>
  <c r="Q240" i="3" s="1"/>
  <c r="M239" i="3"/>
  <c r="M238" i="3"/>
  <c r="M237" i="3"/>
  <c r="M236" i="3"/>
  <c r="M235" i="3"/>
  <c r="M234" i="3"/>
  <c r="M233" i="3"/>
  <c r="P233" i="3" s="1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P216" i="3" s="1"/>
  <c r="M215" i="3"/>
  <c r="P215" i="3" s="1"/>
  <c r="M214" i="3"/>
  <c r="M213" i="3"/>
  <c r="M212" i="3"/>
  <c r="M211" i="3"/>
  <c r="M210" i="3"/>
  <c r="M209" i="3"/>
  <c r="M208" i="3"/>
  <c r="M207" i="3"/>
  <c r="P207" i="3" s="1"/>
  <c r="M206" i="3"/>
  <c r="P206" i="3" s="1"/>
  <c r="M205" i="3"/>
  <c r="Q205" i="3" s="1"/>
  <c r="M204" i="3"/>
  <c r="Q204" i="3" s="1"/>
  <c r="M203" i="3"/>
  <c r="M202" i="3"/>
  <c r="M201" i="3"/>
  <c r="M200" i="3"/>
  <c r="M199" i="3"/>
  <c r="P199" i="3" s="1"/>
  <c r="M198" i="3"/>
  <c r="M197" i="3"/>
  <c r="M196" i="3"/>
  <c r="M195" i="3"/>
  <c r="M194" i="3"/>
  <c r="M193" i="3"/>
  <c r="M192" i="3"/>
  <c r="M191" i="3"/>
  <c r="P191" i="3" s="1"/>
  <c r="M190" i="3"/>
  <c r="P190" i="3" s="1"/>
  <c r="M189" i="3"/>
  <c r="M188" i="3"/>
  <c r="M187" i="3"/>
  <c r="M186" i="3"/>
  <c r="M185" i="3"/>
  <c r="M184" i="3"/>
  <c r="P184" i="3" s="1"/>
  <c r="M183" i="3"/>
  <c r="P183" i="3" s="1"/>
  <c r="M182" i="3"/>
  <c r="P182" i="3" s="1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R168" i="3" s="1"/>
  <c r="M167" i="3"/>
  <c r="R167" i="3" s="1"/>
  <c r="M166" i="3"/>
  <c r="P166" i="3" s="1"/>
  <c r="M165" i="3"/>
  <c r="M164" i="3"/>
  <c r="M163" i="3"/>
  <c r="M162" i="3"/>
  <c r="M161" i="3"/>
  <c r="M160" i="3"/>
  <c r="M159" i="3"/>
  <c r="P159" i="3" s="1"/>
  <c r="M158" i="3"/>
  <c r="P158" i="3" s="1"/>
  <c r="M157" i="3"/>
  <c r="M156" i="3"/>
  <c r="M155" i="3"/>
  <c r="M154" i="3"/>
  <c r="M153" i="3"/>
  <c r="M152" i="3"/>
  <c r="M151" i="3"/>
  <c r="P151" i="3" s="1"/>
  <c r="M150" i="3"/>
  <c r="P150" i="3" s="1"/>
  <c r="M149" i="3"/>
  <c r="M148" i="3"/>
  <c r="M147" i="3"/>
  <c r="M146" i="3"/>
  <c r="M145" i="3"/>
  <c r="M144" i="3"/>
  <c r="P144" i="3" s="1"/>
  <c r="M143" i="3"/>
  <c r="P143" i="3" s="1"/>
  <c r="M142" i="3"/>
  <c r="P142" i="3" s="1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P127" i="3" s="1"/>
  <c r="M126" i="3"/>
  <c r="P126" i="3" s="1"/>
  <c r="M125" i="3"/>
  <c r="M124" i="3"/>
  <c r="M123" i="3"/>
  <c r="M122" i="3"/>
  <c r="M121" i="3"/>
  <c r="M120" i="3"/>
  <c r="P120" i="3" s="1"/>
  <c r="M119" i="3"/>
  <c r="P119" i="3" s="1"/>
  <c r="M118" i="3"/>
  <c r="P118" i="3" s="1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P104" i="3" s="1"/>
  <c r="M103" i="3"/>
  <c r="P103" i="3" s="1"/>
  <c r="M102" i="3"/>
  <c r="P102" i="3" s="1"/>
  <c r="M101" i="3"/>
  <c r="M100" i="3"/>
  <c r="M99" i="3"/>
  <c r="M98" i="3"/>
  <c r="M97" i="3"/>
  <c r="M96" i="3"/>
  <c r="P96" i="3" s="1"/>
  <c r="M95" i="3"/>
  <c r="R95" i="3" s="1"/>
  <c r="M94" i="3"/>
  <c r="R94" i="3" s="1"/>
  <c r="M93" i="3"/>
  <c r="M92" i="3"/>
  <c r="M91" i="3"/>
  <c r="M90" i="3"/>
  <c r="M89" i="3"/>
  <c r="M88" i="3"/>
  <c r="M87" i="3"/>
  <c r="P87" i="3" s="1"/>
  <c r="M86" i="3"/>
  <c r="P86" i="3" s="1"/>
  <c r="M85" i="3"/>
  <c r="M84" i="3"/>
  <c r="M83" i="3"/>
  <c r="M82" i="3"/>
  <c r="M81" i="3"/>
  <c r="M80" i="3"/>
  <c r="M79" i="3"/>
  <c r="P79" i="3" s="1"/>
  <c r="M78" i="3"/>
  <c r="P78" i="3" s="1"/>
  <c r="M77" i="3"/>
  <c r="M76" i="3"/>
  <c r="M75" i="3"/>
  <c r="M74" i="3"/>
  <c r="M73" i="3"/>
  <c r="M72" i="3"/>
  <c r="M71" i="3"/>
  <c r="P71" i="3" s="1"/>
  <c r="M70" i="3"/>
  <c r="M69" i="3"/>
  <c r="M68" i="3"/>
  <c r="M67" i="3"/>
  <c r="M66" i="3"/>
  <c r="M65" i="3"/>
  <c r="M64" i="3"/>
  <c r="M63" i="3"/>
  <c r="P63" i="3" s="1"/>
  <c r="M62" i="3"/>
  <c r="P62" i="3" s="1"/>
  <c r="M61" i="3"/>
  <c r="M60" i="3"/>
  <c r="Q60" i="3" s="1"/>
  <c r="M59" i="3"/>
  <c r="M58" i="3"/>
  <c r="M57" i="3"/>
  <c r="M56" i="3"/>
  <c r="M55" i="3"/>
  <c r="P55" i="3" s="1"/>
  <c r="M54" i="3"/>
  <c r="P54" i="3" s="1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P40" i="3" s="1"/>
  <c r="M39" i="3"/>
  <c r="P39" i="3" s="1"/>
  <c r="M38" i="3"/>
  <c r="P38" i="3" s="1"/>
  <c r="M37" i="3"/>
  <c r="R37" i="3" s="1"/>
  <c r="M36" i="3"/>
  <c r="M35" i="3"/>
  <c r="M34" i="3"/>
  <c r="Q34" i="3" s="1"/>
  <c r="M33" i="3"/>
  <c r="Q33" i="3" s="1"/>
  <c r="M32" i="3"/>
  <c r="P32" i="3" s="1"/>
  <c r="M31" i="3"/>
  <c r="P31" i="3" s="1"/>
  <c r="M30" i="3"/>
  <c r="P30" i="3" s="1"/>
  <c r="M29" i="3"/>
  <c r="M27" i="3"/>
  <c r="M26" i="3"/>
  <c r="M25" i="3"/>
  <c r="M24" i="3"/>
  <c r="P24" i="3" s="1"/>
  <c r="M22" i="3"/>
  <c r="M21" i="3"/>
  <c r="M20" i="3"/>
  <c r="M18" i="3"/>
  <c r="M17" i="3"/>
  <c r="M16" i="3"/>
  <c r="U26" i="3"/>
  <c r="P857" i="3" l="1"/>
  <c r="P28" i="3"/>
  <c r="P23" i="3"/>
  <c r="R1226" i="3"/>
  <c r="P889" i="3"/>
  <c r="P1017" i="3"/>
  <c r="Q28" i="3"/>
  <c r="Q857" i="3"/>
  <c r="P94" i="3"/>
  <c r="Q167" i="3"/>
  <c r="P95" i="3"/>
  <c r="P825" i="3"/>
  <c r="R56" i="3"/>
  <c r="Q56" i="3"/>
  <c r="R112" i="3"/>
  <c r="Q112" i="3"/>
  <c r="R160" i="3"/>
  <c r="Q160" i="3"/>
  <c r="R208" i="3"/>
  <c r="Q208" i="3"/>
  <c r="R264" i="3"/>
  <c r="Q264" i="3"/>
  <c r="R320" i="3"/>
  <c r="Q320" i="3"/>
  <c r="P320" i="3"/>
  <c r="R360" i="3"/>
  <c r="Q360" i="3"/>
  <c r="R416" i="3"/>
  <c r="Q416" i="3"/>
  <c r="P416" i="3"/>
  <c r="R536" i="3"/>
  <c r="Q536" i="3"/>
  <c r="R600" i="3"/>
  <c r="Q600" i="3"/>
  <c r="R696" i="3"/>
  <c r="Q696" i="3"/>
  <c r="R848" i="3"/>
  <c r="Q848" i="3"/>
  <c r="P848" i="3"/>
  <c r="R33" i="3"/>
  <c r="P33" i="3"/>
  <c r="R81" i="3"/>
  <c r="Q81" i="3"/>
  <c r="P81" i="3"/>
  <c r="R129" i="3"/>
  <c r="P129" i="3"/>
  <c r="Q129" i="3"/>
  <c r="R209" i="3"/>
  <c r="Q209" i="3"/>
  <c r="P209" i="3"/>
  <c r="R257" i="3"/>
  <c r="P257" i="3"/>
  <c r="Q257" i="3"/>
  <c r="R321" i="3"/>
  <c r="Q321" i="3"/>
  <c r="P321" i="3"/>
  <c r="R369" i="3"/>
  <c r="Q369" i="3"/>
  <c r="P369" i="3"/>
  <c r="R401" i="3"/>
  <c r="Q401" i="3"/>
  <c r="P401" i="3"/>
  <c r="R433" i="3"/>
  <c r="Q433" i="3"/>
  <c r="P433" i="3"/>
  <c r="R481" i="3"/>
  <c r="Q481" i="3"/>
  <c r="P481" i="3"/>
  <c r="R521" i="3"/>
  <c r="Q521" i="3"/>
  <c r="Q561" i="3"/>
  <c r="R561" i="3"/>
  <c r="P561" i="3"/>
  <c r="R617" i="3"/>
  <c r="Q617" i="3"/>
  <c r="R657" i="3"/>
  <c r="Q657" i="3"/>
  <c r="P657" i="3"/>
  <c r="R697" i="3"/>
  <c r="Q697" i="3"/>
  <c r="R729" i="3"/>
  <c r="Q729" i="3"/>
  <c r="R753" i="3"/>
  <c r="Q753" i="3"/>
  <c r="P753" i="3"/>
  <c r="R817" i="3"/>
  <c r="Q817" i="3"/>
  <c r="P817" i="3"/>
  <c r="R16" i="3"/>
  <c r="Q16" i="3"/>
  <c r="N16" i="3"/>
  <c r="N17" i="3" s="1"/>
  <c r="N18" i="3" s="1"/>
  <c r="R25" i="3"/>
  <c r="Q25" i="3"/>
  <c r="P25" i="3"/>
  <c r="R34" i="3"/>
  <c r="P34" i="3"/>
  <c r="R42" i="3"/>
  <c r="P42" i="3"/>
  <c r="Q42" i="3"/>
  <c r="R50" i="3"/>
  <c r="Q50" i="3"/>
  <c r="P50" i="3"/>
  <c r="R58" i="3"/>
  <c r="P58" i="3"/>
  <c r="R66" i="3"/>
  <c r="Q66" i="3"/>
  <c r="P66" i="3"/>
  <c r="R74" i="3"/>
  <c r="Q74" i="3"/>
  <c r="P74" i="3"/>
  <c r="R82" i="3"/>
  <c r="Q82" i="3"/>
  <c r="P82" i="3"/>
  <c r="R90" i="3"/>
  <c r="Q90" i="3"/>
  <c r="P90" i="3"/>
  <c r="R98" i="3"/>
  <c r="Q98" i="3"/>
  <c r="P98" i="3"/>
  <c r="R106" i="3"/>
  <c r="Q106" i="3"/>
  <c r="P106" i="3"/>
  <c r="R114" i="3"/>
  <c r="Q114" i="3"/>
  <c r="P114" i="3"/>
  <c r="R122" i="3"/>
  <c r="Q122" i="3"/>
  <c r="P122" i="3"/>
  <c r="R130" i="3"/>
  <c r="P130" i="3"/>
  <c r="R138" i="3"/>
  <c r="Q138" i="3"/>
  <c r="P138" i="3"/>
  <c r="R146" i="3"/>
  <c r="P146" i="3"/>
  <c r="Q146" i="3"/>
  <c r="R154" i="3"/>
  <c r="Q154" i="3"/>
  <c r="P154" i="3"/>
  <c r="R162" i="3"/>
  <c r="Q162" i="3"/>
  <c r="P162" i="3"/>
  <c r="R170" i="3"/>
  <c r="Q170" i="3"/>
  <c r="P170" i="3"/>
  <c r="R178" i="3"/>
  <c r="Q178" i="3"/>
  <c r="P178" i="3"/>
  <c r="R186" i="3"/>
  <c r="Q186" i="3"/>
  <c r="P186" i="3"/>
  <c r="R194" i="3"/>
  <c r="Q194" i="3"/>
  <c r="P194" i="3"/>
  <c r="R202" i="3"/>
  <c r="P202" i="3"/>
  <c r="Q202" i="3"/>
  <c r="R210" i="3"/>
  <c r="Q210" i="3"/>
  <c r="P210" i="3"/>
  <c r="R218" i="3"/>
  <c r="Q218" i="3"/>
  <c r="P218" i="3"/>
  <c r="R226" i="3"/>
  <c r="Q226" i="3"/>
  <c r="P226" i="3"/>
  <c r="R234" i="3"/>
  <c r="Q234" i="3"/>
  <c r="R242" i="3"/>
  <c r="Q242" i="3"/>
  <c r="P242" i="3"/>
  <c r="R250" i="3"/>
  <c r="Q250" i="3"/>
  <c r="P250" i="3"/>
  <c r="R258" i="3"/>
  <c r="P258" i="3"/>
  <c r="Q258" i="3"/>
  <c r="R266" i="3"/>
  <c r="Q266" i="3"/>
  <c r="P266" i="3"/>
  <c r="R274" i="3"/>
  <c r="Q274" i="3"/>
  <c r="P274" i="3"/>
  <c r="R282" i="3"/>
  <c r="Q282" i="3"/>
  <c r="P282" i="3"/>
  <c r="R290" i="3"/>
  <c r="Q290" i="3"/>
  <c r="P290" i="3"/>
  <c r="R298" i="3"/>
  <c r="Q298" i="3"/>
  <c r="P298" i="3"/>
  <c r="R306" i="3"/>
  <c r="Q306" i="3"/>
  <c r="P306" i="3"/>
  <c r="R314" i="3"/>
  <c r="P314" i="3"/>
  <c r="Q314" i="3"/>
  <c r="R322" i="3"/>
  <c r="Q322" i="3"/>
  <c r="P322" i="3"/>
  <c r="R330" i="3"/>
  <c r="Q330" i="3"/>
  <c r="P330" i="3"/>
  <c r="R338" i="3"/>
  <c r="Q338" i="3"/>
  <c r="P338" i="3"/>
  <c r="R346" i="3"/>
  <c r="Q346" i="3"/>
  <c r="P346" i="3"/>
  <c r="R354" i="3"/>
  <c r="Q354" i="3"/>
  <c r="P354" i="3"/>
  <c r="R362" i="3"/>
  <c r="Q362" i="3"/>
  <c r="P362" i="3"/>
  <c r="R370" i="3"/>
  <c r="Q370" i="3"/>
  <c r="P370" i="3"/>
  <c r="R378" i="3"/>
  <c r="Q378" i="3"/>
  <c r="P378" i="3"/>
  <c r="R386" i="3"/>
  <c r="Q386" i="3"/>
  <c r="P386" i="3"/>
  <c r="R394" i="3"/>
  <c r="Q394" i="3"/>
  <c r="P394" i="3"/>
  <c r="R402" i="3"/>
  <c r="Q402" i="3"/>
  <c r="P402" i="3"/>
  <c r="R410" i="3"/>
  <c r="Q410" i="3"/>
  <c r="P410" i="3"/>
  <c r="R418" i="3"/>
  <c r="P418" i="3"/>
  <c r="Q418" i="3"/>
  <c r="R426" i="3"/>
  <c r="Q426" i="3"/>
  <c r="P426" i="3"/>
  <c r="R434" i="3"/>
  <c r="Q434" i="3"/>
  <c r="P434" i="3"/>
  <c r="R442" i="3"/>
  <c r="P442" i="3"/>
  <c r="R450" i="3"/>
  <c r="Q450" i="3"/>
  <c r="P450" i="3"/>
  <c r="R458" i="3"/>
  <c r="Q458" i="3"/>
  <c r="P458" i="3"/>
  <c r="R466" i="3"/>
  <c r="Q466" i="3"/>
  <c r="P466" i="3"/>
  <c r="R474" i="3"/>
  <c r="Q474" i="3"/>
  <c r="P474" i="3"/>
  <c r="R482" i="3"/>
  <c r="Q482" i="3"/>
  <c r="P482" i="3"/>
  <c r="R490" i="3"/>
  <c r="Q490" i="3"/>
  <c r="P490" i="3"/>
  <c r="R498" i="3"/>
  <c r="Q498" i="3"/>
  <c r="P498" i="3"/>
  <c r="R506" i="3"/>
  <c r="Q506" i="3"/>
  <c r="P506" i="3"/>
  <c r="R514" i="3"/>
  <c r="Q514" i="3"/>
  <c r="P514" i="3"/>
  <c r="R522" i="3"/>
  <c r="Q522" i="3"/>
  <c r="P522" i="3"/>
  <c r="R530" i="3"/>
  <c r="Q530" i="3"/>
  <c r="P530" i="3"/>
  <c r="R538" i="3"/>
  <c r="Q538" i="3"/>
  <c r="P538" i="3"/>
  <c r="R546" i="3"/>
  <c r="Q546" i="3"/>
  <c r="P546" i="3"/>
  <c r="R554" i="3"/>
  <c r="Q554" i="3"/>
  <c r="P554" i="3"/>
  <c r="R562" i="3"/>
  <c r="Q562" i="3"/>
  <c r="P562" i="3"/>
  <c r="R570" i="3"/>
  <c r="Q570" i="3"/>
  <c r="P570" i="3"/>
  <c r="R578" i="3"/>
  <c r="Q578" i="3"/>
  <c r="P578" i="3"/>
  <c r="R586" i="3"/>
  <c r="Q586" i="3"/>
  <c r="P586" i="3"/>
  <c r="R594" i="3"/>
  <c r="Q594" i="3"/>
  <c r="P594" i="3"/>
  <c r="R602" i="3"/>
  <c r="Q602" i="3"/>
  <c r="P602" i="3"/>
  <c r="Q610" i="3"/>
  <c r="R610" i="3"/>
  <c r="P610" i="3"/>
  <c r="R618" i="3"/>
  <c r="Q618" i="3"/>
  <c r="P618" i="3"/>
  <c r="R626" i="3"/>
  <c r="Q626" i="3"/>
  <c r="P626" i="3"/>
  <c r="Q634" i="3"/>
  <c r="R634" i="3"/>
  <c r="P634" i="3"/>
  <c r="R642" i="3"/>
  <c r="Q642" i="3"/>
  <c r="P642" i="3"/>
  <c r="Q650" i="3"/>
  <c r="R650" i="3"/>
  <c r="P650" i="3"/>
  <c r="R658" i="3"/>
  <c r="Q658" i="3"/>
  <c r="P658" i="3"/>
  <c r="R666" i="3"/>
  <c r="Q666" i="3"/>
  <c r="P666" i="3"/>
  <c r="Q674" i="3"/>
  <c r="R674" i="3"/>
  <c r="P674" i="3"/>
  <c r="Q682" i="3"/>
  <c r="R682" i="3"/>
  <c r="P682" i="3"/>
  <c r="Q690" i="3"/>
  <c r="R690" i="3"/>
  <c r="P690" i="3"/>
  <c r="R698" i="3"/>
  <c r="Q698" i="3"/>
  <c r="P698" i="3"/>
  <c r="R706" i="3"/>
  <c r="Q706" i="3"/>
  <c r="P706" i="3"/>
  <c r="R714" i="3"/>
  <c r="Q714" i="3"/>
  <c r="P714" i="3"/>
  <c r="R722" i="3"/>
  <c r="Q722" i="3"/>
  <c r="P722" i="3"/>
  <c r="R730" i="3"/>
  <c r="Q730" i="3"/>
  <c r="P730" i="3"/>
  <c r="R738" i="3"/>
  <c r="Q738" i="3"/>
  <c r="P738" i="3"/>
  <c r="R746" i="3"/>
  <c r="Q746" i="3"/>
  <c r="P746" i="3"/>
  <c r="R754" i="3"/>
  <c r="Q754" i="3"/>
  <c r="P754" i="3"/>
  <c r="R762" i="3"/>
  <c r="Q762" i="3"/>
  <c r="P762" i="3"/>
  <c r="R770" i="3"/>
  <c r="Q770" i="3"/>
  <c r="P770" i="3"/>
  <c r="Q778" i="3"/>
  <c r="R778" i="3"/>
  <c r="P778" i="3"/>
  <c r="R786" i="3"/>
  <c r="Q786" i="3"/>
  <c r="P786" i="3"/>
  <c r="R794" i="3"/>
  <c r="Q794" i="3"/>
  <c r="P794" i="3"/>
  <c r="R802" i="3"/>
  <c r="Q802" i="3"/>
  <c r="P802" i="3"/>
  <c r="R810" i="3"/>
  <c r="Q810" i="3"/>
  <c r="P810" i="3"/>
  <c r="R818" i="3"/>
  <c r="Q818" i="3"/>
  <c r="P818" i="3"/>
  <c r="R826" i="3"/>
  <c r="Q826" i="3"/>
  <c r="P826" i="3"/>
  <c r="P160" i="3"/>
  <c r="P234" i="3"/>
  <c r="P617" i="3"/>
  <c r="Q58" i="3"/>
  <c r="Q585" i="3"/>
  <c r="R48" i="3"/>
  <c r="Q48" i="3"/>
  <c r="R80" i="3"/>
  <c r="Q80" i="3"/>
  <c r="R128" i="3"/>
  <c r="Q128" i="3"/>
  <c r="R176" i="3"/>
  <c r="Q176" i="3"/>
  <c r="R232" i="3"/>
  <c r="Q232" i="3"/>
  <c r="P232" i="3"/>
  <c r="R304" i="3"/>
  <c r="Q304" i="3"/>
  <c r="P304" i="3"/>
  <c r="R392" i="3"/>
  <c r="Q392" i="3"/>
  <c r="R448" i="3"/>
  <c r="Q448" i="3"/>
  <c r="P448" i="3"/>
  <c r="R512" i="3"/>
  <c r="Q512" i="3"/>
  <c r="P512" i="3"/>
  <c r="R576" i="3"/>
  <c r="Q576" i="3"/>
  <c r="P576" i="3"/>
  <c r="R632" i="3"/>
  <c r="Q632" i="3"/>
  <c r="R672" i="3"/>
  <c r="Q672" i="3"/>
  <c r="P672" i="3"/>
  <c r="R744" i="3"/>
  <c r="Q744" i="3"/>
  <c r="R784" i="3"/>
  <c r="Q784" i="3"/>
  <c r="P784" i="3"/>
  <c r="R840" i="3"/>
  <c r="Q840" i="3"/>
  <c r="R888" i="3"/>
  <c r="Q888" i="3"/>
  <c r="R936" i="3"/>
  <c r="Q936" i="3"/>
  <c r="R976" i="3"/>
  <c r="P976" i="3"/>
  <c r="R1024" i="3"/>
  <c r="Q1024" i="3"/>
  <c r="P1024" i="3"/>
  <c r="R1104" i="3"/>
  <c r="Q1104" i="3"/>
  <c r="P1104" i="3"/>
  <c r="R49" i="3"/>
  <c r="Q49" i="3"/>
  <c r="P49" i="3"/>
  <c r="R105" i="3"/>
  <c r="Q105" i="3"/>
  <c r="P105" i="3"/>
  <c r="R137" i="3"/>
  <c r="Q137" i="3"/>
  <c r="P137" i="3"/>
  <c r="R177" i="3"/>
  <c r="Q177" i="3"/>
  <c r="P177" i="3"/>
  <c r="Q225" i="3"/>
  <c r="R225" i="3"/>
  <c r="P225" i="3"/>
  <c r="R289" i="3"/>
  <c r="Q289" i="3"/>
  <c r="P289" i="3"/>
  <c r="R345" i="3"/>
  <c r="Q345" i="3"/>
  <c r="R417" i="3"/>
  <c r="P417" i="3"/>
  <c r="Q417" i="3"/>
  <c r="R473" i="3"/>
  <c r="Q473" i="3"/>
  <c r="R545" i="3"/>
  <c r="Q545" i="3"/>
  <c r="P545" i="3"/>
  <c r="R601" i="3"/>
  <c r="Q601" i="3"/>
  <c r="R641" i="3"/>
  <c r="Q641" i="3"/>
  <c r="P641" i="3"/>
  <c r="R713" i="3"/>
  <c r="Q713" i="3"/>
  <c r="R793" i="3"/>
  <c r="Q793" i="3"/>
  <c r="R26" i="3"/>
  <c r="Q26" i="3"/>
  <c r="P26" i="3"/>
  <c r="R35" i="3"/>
  <c r="Q35" i="3"/>
  <c r="P35" i="3"/>
  <c r="P43" i="3"/>
  <c r="Q43" i="3"/>
  <c r="R43" i="3"/>
  <c r="R51" i="3"/>
  <c r="Q51" i="3"/>
  <c r="P51" i="3"/>
  <c r="R59" i="3"/>
  <c r="Q59" i="3"/>
  <c r="P59" i="3"/>
  <c r="Q67" i="3"/>
  <c r="R67" i="3"/>
  <c r="P67" i="3"/>
  <c r="Q75" i="3"/>
  <c r="R75" i="3"/>
  <c r="P75" i="3"/>
  <c r="Q83" i="3"/>
  <c r="R83" i="3"/>
  <c r="P83" i="3"/>
  <c r="Q91" i="3"/>
  <c r="R91" i="3"/>
  <c r="P91" i="3"/>
  <c r="Q99" i="3"/>
  <c r="R99" i="3"/>
  <c r="P99" i="3"/>
  <c r="Q107" i="3"/>
  <c r="R107" i="3"/>
  <c r="P107" i="3"/>
  <c r="Q115" i="3"/>
  <c r="R115" i="3"/>
  <c r="P115" i="3"/>
  <c r="Q123" i="3"/>
  <c r="R123" i="3"/>
  <c r="P123" i="3"/>
  <c r="Q131" i="3"/>
  <c r="R131" i="3"/>
  <c r="P131" i="3"/>
  <c r="Q139" i="3"/>
  <c r="R139" i="3"/>
  <c r="P139" i="3"/>
  <c r="R147" i="3"/>
  <c r="Q147" i="3"/>
  <c r="P147" i="3"/>
  <c r="R155" i="3"/>
  <c r="Q155" i="3"/>
  <c r="P155" i="3"/>
  <c r="R163" i="3"/>
  <c r="Q163" i="3"/>
  <c r="P163" i="3"/>
  <c r="R171" i="3"/>
  <c r="Q171" i="3"/>
  <c r="P171" i="3"/>
  <c r="R179" i="3"/>
  <c r="Q179" i="3"/>
  <c r="P179" i="3"/>
  <c r="R187" i="3"/>
  <c r="Q187" i="3"/>
  <c r="P187" i="3"/>
  <c r="R195" i="3"/>
  <c r="Q195" i="3"/>
  <c r="P195" i="3"/>
  <c r="R203" i="3"/>
  <c r="Q203" i="3"/>
  <c r="P203" i="3"/>
  <c r="R211" i="3"/>
  <c r="Q211" i="3"/>
  <c r="P211" i="3"/>
  <c r="R219" i="3"/>
  <c r="Q219" i="3"/>
  <c r="P219" i="3"/>
  <c r="R227" i="3"/>
  <c r="Q227" i="3"/>
  <c r="P227" i="3"/>
  <c r="R235" i="3"/>
  <c r="Q235" i="3"/>
  <c r="P235" i="3"/>
  <c r="R243" i="3"/>
  <c r="Q243" i="3"/>
  <c r="P243" i="3"/>
  <c r="R251" i="3"/>
  <c r="Q251" i="3"/>
  <c r="P251" i="3"/>
  <c r="R259" i="3"/>
  <c r="Q259" i="3"/>
  <c r="P259" i="3"/>
  <c r="R267" i="3"/>
  <c r="Q267" i="3"/>
  <c r="P267" i="3"/>
  <c r="R275" i="3"/>
  <c r="Q275" i="3"/>
  <c r="P275" i="3"/>
  <c r="R283" i="3"/>
  <c r="Q283" i="3"/>
  <c r="P283" i="3"/>
  <c r="R291" i="3"/>
  <c r="Q291" i="3"/>
  <c r="P291" i="3"/>
  <c r="R299" i="3"/>
  <c r="Q299" i="3"/>
  <c r="P299" i="3"/>
  <c r="R307" i="3"/>
  <c r="Q307" i="3"/>
  <c r="P307" i="3"/>
  <c r="R315" i="3"/>
  <c r="Q315" i="3"/>
  <c r="P315" i="3"/>
  <c r="R323" i="3"/>
  <c r="Q323" i="3"/>
  <c r="P323" i="3"/>
  <c r="R331" i="3"/>
  <c r="Q331" i="3"/>
  <c r="P331" i="3"/>
  <c r="R339" i="3"/>
  <c r="Q339" i="3"/>
  <c r="P339" i="3"/>
  <c r="R347" i="3"/>
  <c r="Q347" i="3"/>
  <c r="P347" i="3"/>
  <c r="R355" i="3"/>
  <c r="Q355" i="3"/>
  <c r="P355" i="3"/>
  <c r="R363" i="3"/>
  <c r="Q363" i="3"/>
  <c r="P363" i="3"/>
  <c r="R371" i="3"/>
  <c r="Q371" i="3"/>
  <c r="P371" i="3"/>
  <c r="R379" i="3"/>
  <c r="Q379" i="3"/>
  <c r="P379" i="3"/>
  <c r="R387" i="3"/>
  <c r="Q387" i="3"/>
  <c r="P387" i="3"/>
  <c r="R395" i="3"/>
  <c r="Q395" i="3"/>
  <c r="P395" i="3"/>
  <c r="R403" i="3"/>
  <c r="Q403" i="3"/>
  <c r="P403" i="3"/>
  <c r="R411" i="3"/>
  <c r="Q411" i="3"/>
  <c r="P411" i="3"/>
  <c r="R419" i="3"/>
  <c r="Q419" i="3"/>
  <c r="P419" i="3"/>
  <c r="R427" i="3"/>
  <c r="Q427" i="3"/>
  <c r="P427" i="3"/>
  <c r="R435" i="3"/>
  <c r="Q435" i="3"/>
  <c r="P435" i="3"/>
  <c r="R443" i="3"/>
  <c r="Q443" i="3"/>
  <c r="P443" i="3"/>
  <c r="R451" i="3"/>
  <c r="Q451" i="3"/>
  <c r="P451" i="3"/>
  <c r="R459" i="3"/>
  <c r="Q459" i="3"/>
  <c r="P459" i="3"/>
  <c r="R467" i="3"/>
  <c r="Q467" i="3"/>
  <c r="P467" i="3"/>
  <c r="R475" i="3"/>
  <c r="Q475" i="3"/>
  <c r="P475" i="3"/>
  <c r="R483" i="3"/>
  <c r="Q483" i="3"/>
  <c r="P483" i="3"/>
  <c r="R491" i="3"/>
  <c r="Q491" i="3"/>
  <c r="P491" i="3"/>
  <c r="R499" i="3"/>
  <c r="Q499" i="3"/>
  <c r="P499" i="3"/>
  <c r="R507" i="3"/>
  <c r="Q507" i="3"/>
  <c r="P507" i="3"/>
  <c r="R515" i="3"/>
  <c r="Q515" i="3"/>
  <c r="P515" i="3"/>
  <c r="R523" i="3"/>
  <c r="Q523" i="3"/>
  <c r="P523" i="3"/>
  <c r="R531" i="3"/>
  <c r="Q531" i="3"/>
  <c r="P531" i="3"/>
  <c r="R539" i="3"/>
  <c r="Q539" i="3"/>
  <c r="P539" i="3"/>
  <c r="R547" i="3"/>
  <c r="Q547" i="3"/>
  <c r="P547" i="3"/>
  <c r="R555" i="3"/>
  <c r="Q555" i="3"/>
  <c r="P555" i="3"/>
  <c r="R563" i="3"/>
  <c r="Q563" i="3"/>
  <c r="P563" i="3"/>
  <c r="R571" i="3"/>
  <c r="Q571" i="3"/>
  <c r="P571" i="3"/>
  <c r="R579" i="3"/>
  <c r="Q579" i="3"/>
  <c r="P579" i="3"/>
  <c r="R587" i="3"/>
  <c r="Q587" i="3"/>
  <c r="P587" i="3"/>
  <c r="R595" i="3"/>
  <c r="Q595" i="3"/>
  <c r="P595" i="3"/>
  <c r="R603" i="3"/>
  <c r="Q603" i="3"/>
  <c r="P603" i="3"/>
  <c r="R611" i="3"/>
  <c r="Q611" i="3"/>
  <c r="P611" i="3"/>
  <c r="R619" i="3"/>
  <c r="Q619" i="3"/>
  <c r="P619" i="3"/>
  <c r="R627" i="3"/>
  <c r="Q627" i="3"/>
  <c r="P627" i="3"/>
  <c r="R635" i="3"/>
  <c r="Q635" i="3"/>
  <c r="P635" i="3"/>
  <c r="R643" i="3"/>
  <c r="Q643" i="3"/>
  <c r="P643" i="3"/>
  <c r="R651" i="3"/>
  <c r="Q651" i="3"/>
  <c r="P651" i="3"/>
  <c r="R659" i="3"/>
  <c r="Q659" i="3"/>
  <c r="P659" i="3"/>
  <c r="R667" i="3"/>
  <c r="Q667" i="3"/>
  <c r="P667" i="3"/>
  <c r="R675" i="3"/>
  <c r="Q675" i="3"/>
  <c r="P675" i="3"/>
  <c r="R683" i="3"/>
  <c r="Q683" i="3"/>
  <c r="P683" i="3"/>
  <c r="R691" i="3"/>
  <c r="Q691" i="3"/>
  <c r="P691" i="3"/>
  <c r="R699" i="3"/>
  <c r="Q699" i="3"/>
  <c r="P699" i="3"/>
  <c r="R707" i="3"/>
  <c r="Q707" i="3"/>
  <c r="P707" i="3"/>
  <c r="R715" i="3"/>
  <c r="Q715" i="3"/>
  <c r="P715" i="3"/>
  <c r="R723" i="3"/>
  <c r="Q723" i="3"/>
  <c r="P723" i="3"/>
  <c r="R731" i="3"/>
  <c r="Q731" i="3"/>
  <c r="P731" i="3"/>
  <c r="R739" i="3"/>
  <c r="Q739" i="3"/>
  <c r="P739" i="3"/>
  <c r="R747" i="3"/>
  <c r="Q747" i="3"/>
  <c r="P747" i="3"/>
  <c r="R755" i="3"/>
  <c r="Q755" i="3"/>
  <c r="P755" i="3"/>
  <c r="Q763" i="3"/>
  <c r="R763" i="3"/>
  <c r="P763" i="3"/>
  <c r="R771" i="3"/>
  <c r="Q771" i="3"/>
  <c r="P771" i="3"/>
  <c r="Q779" i="3"/>
  <c r="R779" i="3"/>
  <c r="P779" i="3"/>
  <c r="R787" i="3"/>
  <c r="Q787" i="3"/>
  <c r="P787" i="3"/>
  <c r="Q795" i="3"/>
  <c r="R795" i="3"/>
  <c r="P795" i="3"/>
  <c r="R803" i="3"/>
  <c r="Q803" i="3"/>
  <c r="P803" i="3"/>
  <c r="R811" i="3"/>
  <c r="Q811" i="3"/>
  <c r="P811" i="3"/>
  <c r="R819" i="3"/>
  <c r="Q819" i="3"/>
  <c r="P819" i="3"/>
  <c r="R827" i="3"/>
  <c r="Q827" i="3"/>
  <c r="P827" i="3"/>
  <c r="R835" i="3"/>
  <c r="Q835" i="3"/>
  <c r="P835" i="3"/>
  <c r="Q843" i="3"/>
  <c r="R843" i="3"/>
  <c r="P843" i="3"/>
  <c r="R851" i="3"/>
  <c r="Q851" i="3"/>
  <c r="P851" i="3"/>
  <c r="Q859" i="3"/>
  <c r="R859" i="3"/>
  <c r="P859" i="3"/>
  <c r="R867" i="3"/>
  <c r="Q867" i="3"/>
  <c r="P867" i="3"/>
  <c r="Q875" i="3"/>
  <c r="R875" i="3"/>
  <c r="P875" i="3"/>
  <c r="R883" i="3"/>
  <c r="Q883" i="3"/>
  <c r="P883" i="3"/>
  <c r="R891" i="3"/>
  <c r="Q891" i="3"/>
  <c r="P891" i="3"/>
  <c r="R899" i="3"/>
  <c r="Q899" i="3"/>
  <c r="P899" i="3"/>
  <c r="R907" i="3"/>
  <c r="Q907" i="3"/>
  <c r="P907" i="3"/>
  <c r="R915" i="3"/>
  <c r="Q915" i="3"/>
  <c r="P915" i="3"/>
  <c r="R923" i="3"/>
  <c r="Q923" i="3"/>
  <c r="P923" i="3"/>
  <c r="R931" i="3"/>
  <c r="Q931" i="3"/>
  <c r="P931" i="3"/>
  <c r="Q939" i="3"/>
  <c r="R939" i="3"/>
  <c r="P939" i="3"/>
  <c r="R947" i="3"/>
  <c r="Q947" i="3"/>
  <c r="P947" i="3"/>
  <c r="Q955" i="3"/>
  <c r="R955" i="3"/>
  <c r="P955" i="3"/>
  <c r="R963" i="3"/>
  <c r="Q963" i="3"/>
  <c r="P963" i="3"/>
  <c r="R971" i="3"/>
  <c r="Q971" i="3"/>
  <c r="P971" i="3"/>
  <c r="R979" i="3"/>
  <c r="Q979" i="3"/>
  <c r="P979" i="3"/>
  <c r="R987" i="3"/>
  <c r="Q987" i="3"/>
  <c r="P987" i="3"/>
  <c r="R995" i="3"/>
  <c r="Q995" i="3"/>
  <c r="P995" i="3"/>
  <c r="R1003" i="3"/>
  <c r="Q1003" i="3"/>
  <c r="P1003" i="3"/>
  <c r="R1011" i="3"/>
  <c r="Q1011" i="3"/>
  <c r="P1011" i="3"/>
  <c r="Q1019" i="3"/>
  <c r="R1019" i="3"/>
  <c r="P1019" i="3"/>
  <c r="R1027" i="3"/>
  <c r="Q1027" i="3"/>
  <c r="P1027" i="3"/>
  <c r="R1035" i="3"/>
  <c r="Q1035" i="3"/>
  <c r="P1035" i="3"/>
  <c r="R1043" i="3"/>
  <c r="Q1043" i="3"/>
  <c r="P1043" i="3"/>
  <c r="Q1051" i="3"/>
  <c r="R1051" i="3"/>
  <c r="P1051" i="3"/>
  <c r="R1059" i="3"/>
  <c r="Q1059" i="3"/>
  <c r="P1059" i="3"/>
  <c r="R1067" i="3"/>
  <c r="Q1067" i="3"/>
  <c r="P1067" i="3"/>
  <c r="R1075" i="3"/>
  <c r="Q1075" i="3"/>
  <c r="P1075" i="3"/>
  <c r="R1083" i="3"/>
  <c r="Q1083" i="3"/>
  <c r="P1083" i="3"/>
  <c r="R1091" i="3"/>
  <c r="Q1091" i="3"/>
  <c r="P1091" i="3"/>
  <c r="R1099" i="3"/>
  <c r="Q1099" i="3"/>
  <c r="P1099" i="3"/>
  <c r="R1107" i="3"/>
  <c r="Q1107" i="3"/>
  <c r="P1107" i="3"/>
  <c r="R1115" i="3"/>
  <c r="Q1115" i="3"/>
  <c r="P1115" i="3"/>
  <c r="R1123" i="3"/>
  <c r="Q1123" i="3"/>
  <c r="P1123" i="3"/>
  <c r="R1131" i="3"/>
  <c r="Q1131" i="3"/>
  <c r="P1131" i="3"/>
  <c r="R1139" i="3"/>
  <c r="Q1139" i="3"/>
  <c r="P1139" i="3"/>
  <c r="R1147" i="3"/>
  <c r="Q1147" i="3"/>
  <c r="R1155" i="3"/>
  <c r="P1155" i="3"/>
  <c r="Q1155" i="3"/>
  <c r="R1163" i="3"/>
  <c r="Q1163" i="3"/>
  <c r="P1163" i="3"/>
  <c r="R1171" i="3"/>
  <c r="Q1171" i="3"/>
  <c r="R1179" i="3"/>
  <c r="Q1179" i="3"/>
  <c r="P1179" i="3"/>
  <c r="R1187" i="3"/>
  <c r="Q1187" i="3"/>
  <c r="P1187" i="3"/>
  <c r="R1195" i="3"/>
  <c r="Q1195" i="3"/>
  <c r="P1195" i="3"/>
  <c r="R1203" i="3"/>
  <c r="Q1203" i="3"/>
  <c r="P1203" i="3"/>
  <c r="R1211" i="3"/>
  <c r="Q1211" i="3"/>
  <c r="P1211" i="3"/>
  <c r="R1219" i="3"/>
  <c r="Q1219" i="3"/>
  <c r="P1219" i="3"/>
  <c r="R1227" i="3"/>
  <c r="Q1227" i="3"/>
  <c r="P1227" i="3"/>
  <c r="R1235" i="3"/>
  <c r="Q1235" i="3"/>
  <c r="P1235" i="3"/>
  <c r="R1243" i="3"/>
  <c r="Q1243" i="3"/>
  <c r="P1243" i="3"/>
  <c r="P16" i="3"/>
  <c r="P56" i="3"/>
  <c r="P632" i="3"/>
  <c r="P696" i="3"/>
  <c r="P888" i="3"/>
  <c r="Q976" i="3"/>
  <c r="R22" i="3"/>
  <c r="Q22" i="3"/>
  <c r="R72" i="3"/>
  <c r="Q72" i="3"/>
  <c r="R120" i="3"/>
  <c r="Q120" i="3"/>
  <c r="R152" i="3"/>
  <c r="Q152" i="3"/>
  <c r="R192" i="3"/>
  <c r="Q192" i="3"/>
  <c r="Q224" i="3"/>
  <c r="R224" i="3"/>
  <c r="R272" i="3"/>
  <c r="Q272" i="3"/>
  <c r="P272" i="3"/>
  <c r="R312" i="3"/>
  <c r="Q312" i="3"/>
  <c r="R352" i="3"/>
  <c r="Q352" i="3"/>
  <c r="P352" i="3"/>
  <c r="R408" i="3"/>
  <c r="Q408" i="3"/>
  <c r="R464" i="3"/>
  <c r="Q464" i="3"/>
  <c r="P464" i="3"/>
  <c r="R520" i="3"/>
  <c r="Q520" i="3"/>
  <c r="R560" i="3"/>
  <c r="Q560" i="3"/>
  <c r="P560" i="3"/>
  <c r="R608" i="3"/>
  <c r="Q608" i="3"/>
  <c r="P608" i="3"/>
  <c r="R648" i="3"/>
  <c r="Q648" i="3"/>
  <c r="R688" i="3"/>
  <c r="P688" i="3"/>
  <c r="Q688" i="3"/>
  <c r="R728" i="3"/>
  <c r="Q728" i="3"/>
  <c r="R760" i="3"/>
  <c r="Q760" i="3"/>
  <c r="R808" i="3"/>
  <c r="Q808" i="3"/>
  <c r="R856" i="3"/>
  <c r="Q856" i="3"/>
  <c r="R912" i="3"/>
  <c r="Q912" i="3"/>
  <c r="P912" i="3"/>
  <c r="R960" i="3"/>
  <c r="Q960" i="3"/>
  <c r="P960" i="3"/>
  <c r="R992" i="3"/>
  <c r="Q992" i="3"/>
  <c r="P992" i="3"/>
  <c r="R1032" i="3"/>
  <c r="Q1032" i="3"/>
  <c r="R1064" i="3"/>
  <c r="Q1064" i="3"/>
  <c r="R1072" i="3"/>
  <c r="Q1072" i="3"/>
  <c r="P1072" i="3"/>
  <c r="R1112" i="3"/>
  <c r="Q1112" i="3"/>
  <c r="R1144" i="3"/>
  <c r="Q1144" i="3"/>
  <c r="P1144" i="3"/>
  <c r="R1184" i="3"/>
  <c r="Q1184" i="3"/>
  <c r="P1184" i="3"/>
  <c r="P112" i="3"/>
  <c r="P224" i="3"/>
  <c r="R65" i="3"/>
  <c r="Q65" i="3"/>
  <c r="P65" i="3"/>
  <c r="R113" i="3"/>
  <c r="Q113" i="3"/>
  <c r="P113" i="3"/>
  <c r="R161" i="3"/>
  <c r="Q161" i="3"/>
  <c r="P161" i="3"/>
  <c r="R201" i="3"/>
  <c r="Q201" i="3"/>
  <c r="P201" i="3"/>
  <c r="R249" i="3"/>
  <c r="Q249" i="3"/>
  <c r="R297" i="3"/>
  <c r="Q297" i="3"/>
  <c r="R337" i="3"/>
  <c r="Q337" i="3"/>
  <c r="P337" i="3"/>
  <c r="Q385" i="3"/>
  <c r="R385" i="3"/>
  <c r="P385" i="3"/>
  <c r="R497" i="3"/>
  <c r="Q497" i="3"/>
  <c r="P497" i="3"/>
  <c r="R537" i="3"/>
  <c r="Q537" i="3"/>
  <c r="R593" i="3"/>
  <c r="Q593" i="3"/>
  <c r="P593" i="3"/>
  <c r="R649" i="3"/>
  <c r="Q649" i="3"/>
  <c r="R689" i="3"/>
  <c r="Q689" i="3"/>
  <c r="P689" i="3"/>
  <c r="R745" i="3"/>
  <c r="Q745" i="3"/>
  <c r="R769" i="3"/>
  <c r="Q769" i="3"/>
  <c r="P769" i="3"/>
  <c r="R785" i="3"/>
  <c r="Q785" i="3"/>
  <c r="P785" i="3"/>
  <c r="R17" i="3"/>
  <c r="Q17" i="3"/>
  <c r="P17" i="3"/>
  <c r="R27" i="3"/>
  <c r="Q27" i="3"/>
  <c r="P27" i="3"/>
  <c r="R36" i="3"/>
  <c r="Q36" i="3"/>
  <c r="P36" i="3"/>
  <c r="R44" i="3"/>
  <c r="Q44" i="3"/>
  <c r="P44" i="3"/>
  <c r="R52" i="3"/>
  <c r="Q52" i="3"/>
  <c r="P52" i="3"/>
  <c r="R60" i="3"/>
  <c r="P60" i="3"/>
  <c r="R68" i="3"/>
  <c r="Q68" i="3"/>
  <c r="P68" i="3"/>
  <c r="R76" i="3"/>
  <c r="P76" i="3"/>
  <c r="Q76" i="3"/>
  <c r="R84" i="3"/>
  <c r="Q84" i="3"/>
  <c r="P84" i="3"/>
  <c r="R92" i="3"/>
  <c r="Q92" i="3"/>
  <c r="P92" i="3"/>
  <c r="Q100" i="3"/>
  <c r="R100" i="3"/>
  <c r="P100" i="3"/>
  <c r="R108" i="3"/>
  <c r="Q108" i="3"/>
  <c r="P108" i="3"/>
  <c r="R116" i="3"/>
  <c r="Q116" i="3"/>
  <c r="P116" i="3"/>
  <c r="R124" i="3"/>
  <c r="Q124" i="3"/>
  <c r="P124" i="3"/>
  <c r="R132" i="3"/>
  <c r="P132" i="3"/>
  <c r="R140" i="3"/>
  <c r="Q140" i="3"/>
  <c r="P140" i="3"/>
  <c r="R148" i="3"/>
  <c r="P148" i="3"/>
  <c r="Q148" i="3"/>
  <c r="R156" i="3"/>
  <c r="Q156" i="3"/>
  <c r="P156" i="3"/>
  <c r="R164" i="3"/>
  <c r="Q164" i="3"/>
  <c r="P164" i="3"/>
  <c r="R172" i="3"/>
  <c r="Q172" i="3"/>
  <c r="P172" i="3"/>
  <c r="R180" i="3"/>
  <c r="Q180" i="3"/>
  <c r="P180" i="3"/>
  <c r="R188" i="3"/>
  <c r="Q188" i="3"/>
  <c r="P188" i="3"/>
  <c r="R196" i="3"/>
  <c r="Q196" i="3"/>
  <c r="P196" i="3"/>
  <c r="R204" i="3"/>
  <c r="P204" i="3"/>
  <c r="R212" i="3"/>
  <c r="Q212" i="3"/>
  <c r="P212" i="3"/>
  <c r="R220" i="3"/>
  <c r="P220" i="3"/>
  <c r="Q220" i="3"/>
  <c r="R228" i="3"/>
  <c r="Q228" i="3"/>
  <c r="P228" i="3"/>
  <c r="R236" i="3"/>
  <c r="Q236" i="3"/>
  <c r="P236" i="3"/>
  <c r="R244" i="3"/>
  <c r="Q244" i="3"/>
  <c r="P244" i="3"/>
  <c r="R252" i="3"/>
  <c r="Q252" i="3"/>
  <c r="P252" i="3"/>
  <c r="R260" i="3"/>
  <c r="P260" i="3"/>
  <c r="Q260" i="3"/>
  <c r="R268" i="3"/>
  <c r="Q268" i="3"/>
  <c r="P268" i="3"/>
  <c r="R276" i="3"/>
  <c r="P276" i="3"/>
  <c r="Q276" i="3"/>
  <c r="R284" i="3"/>
  <c r="Q284" i="3"/>
  <c r="P284" i="3"/>
  <c r="R292" i="3"/>
  <c r="Q292" i="3"/>
  <c r="P292" i="3"/>
  <c r="R300" i="3"/>
  <c r="Q300" i="3"/>
  <c r="P300" i="3"/>
  <c r="R308" i="3"/>
  <c r="Q308" i="3"/>
  <c r="P308" i="3"/>
  <c r="R316" i="3"/>
  <c r="P316" i="3"/>
  <c r="R324" i="3"/>
  <c r="Q324" i="3"/>
  <c r="P324" i="3"/>
  <c r="R332" i="3"/>
  <c r="Q332" i="3"/>
  <c r="P332" i="3"/>
  <c r="R340" i="3"/>
  <c r="Q340" i="3"/>
  <c r="P340" i="3"/>
  <c r="R348" i="3"/>
  <c r="Q348" i="3"/>
  <c r="P348" i="3"/>
  <c r="R356" i="3"/>
  <c r="P356" i="3"/>
  <c r="Q356" i="3"/>
  <c r="R364" i="3"/>
  <c r="Q364" i="3"/>
  <c r="P364" i="3"/>
  <c r="R372" i="3"/>
  <c r="Q372" i="3"/>
  <c r="P372" i="3"/>
  <c r="R380" i="3"/>
  <c r="P380" i="3"/>
  <c r="Q380" i="3"/>
  <c r="R388" i="3"/>
  <c r="Q388" i="3"/>
  <c r="P388" i="3"/>
  <c r="R396" i="3"/>
  <c r="Q396" i="3"/>
  <c r="P396" i="3"/>
  <c r="R404" i="3"/>
  <c r="Q404" i="3"/>
  <c r="P404" i="3"/>
  <c r="R412" i="3"/>
  <c r="Q412" i="3"/>
  <c r="P412" i="3"/>
  <c r="R420" i="3"/>
  <c r="P420" i="3"/>
  <c r="Q420" i="3"/>
  <c r="R428" i="3"/>
  <c r="Q428" i="3"/>
  <c r="P428" i="3"/>
  <c r="R436" i="3"/>
  <c r="Q436" i="3"/>
  <c r="P436" i="3"/>
  <c r="R444" i="3"/>
  <c r="Q444" i="3"/>
  <c r="P444" i="3"/>
  <c r="R452" i="3"/>
  <c r="Q452" i="3"/>
  <c r="P452" i="3"/>
  <c r="R460" i="3"/>
  <c r="P460" i="3"/>
  <c r="Q460" i="3"/>
  <c r="R468" i="3"/>
  <c r="Q468" i="3"/>
  <c r="P468" i="3"/>
  <c r="R476" i="3"/>
  <c r="Q476" i="3"/>
  <c r="P476" i="3"/>
  <c r="R484" i="3"/>
  <c r="Q484" i="3"/>
  <c r="P484" i="3"/>
  <c r="R492" i="3"/>
  <c r="Q492" i="3"/>
  <c r="P492" i="3"/>
  <c r="R500" i="3"/>
  <c r="Q500" i="3"/>
  <c r="P500" i="3"/>
  <c r="R508" i="3"/>
  <c r="Q508" i="3"/>
  <c r="P508" i="3"/>
  <c r="R516" i="3"/>
  <c r="P516" i="3"/>
  <c r="R524" i="3"/>
  <c r="Q524" i="3"/>
  <c r="P524" i="3"/>
  <c r="R532" i="3"/>
  <c r="Q532" i="3"/>
  <c r="P532" i="3"/>
  <c r="R540" i="3"/>
  <c r="Q540" i="3"/>
  <c r="P540" i="3"/>
  <c r="R548" i="3"/>
  <c r="Q548" i="3"/>
  <c r="P548" i="3"/>
  <c r="R556" i="3"/>
  <c r="Q556" i="3"/>
  <c r="P556" i="3"/>
  <c r="R564" i="3"/>
  <c r="Q564" i="3"/>
  <c r="P564" i="3"/>
  <c r="R572" i="3"/>
  <c r="Q572" i="3"/>
  <c r="P572" i="3"/>
  <c r="R580" i="3"/>
  <c r="Q580" i="3"/>
  <c r="P580" i="3"/>
  <c r="R588" i="3"/>
  <c r="Q588" i="3"/>
  <c r="P588" i="3"/>
  <c r="R596" i="3"/>
  <c r="Q596" i="3"/>
  <c r="P596" i="3"/>
  <c r="R604" i="3"/>
  <c r="Q604" i="3"/>
  <c r="P604" i="3"/>
  <c r="R612" i="3"/>
  <c r="Q612" i="3"/>
  <c r="P612" i="3"/>
  <c r="R620" i="3"/>
  <c r="Q620" i="3"/>
  <c r="P620" i="3"/>
  <c r="R628" i="3"/>
  <c r="Q628" i="3"/>
  <c r="P628" i="3"/>
  <c r="R636" i="3"/>
  <c r="Q636" i="3"/>
  <c r="P636" i="3"/>
  <c r="R644" i="3"/>
  <c r="Q644" i="3"/>
  <c r="P644" i="3"/>
  <c r="R652" i="3"/>
  <c r="Q652" i="3"/>
  <c r="P652" i="3"/>
  <c r="R660" i="3"/>
  <c r="Q660" i="3"/>
  <c r="P660" i="3"/>
  <c r="R668" i="3"/>
  <c r="Q668" i="3"/>
  <c r="P668" i="3"/>
  <c r="R676" i="3"/>
  <c r="Q676" i="3"/>
  <c r="P676" i="3"/>
  <c r="R684" i="3"/>
  <c r="Q684" i="3"/>
  <c r="P684" i="3"/>
  <c r="R692" i="3"/>
  <c r="Q692" i="3"/>
  <c r="P692" i="3"/>
  <c r="R700" i="3"/>
  <c r="Q700" i="3"/>
  <c r="P700" i="3"/>
  <c r="R708" i="3"/>
  <c r="Q708" i="3"/>
  <c r="P708" i="3"/>
  <c r="R716" i="3"/>
  <c r="Q716" i="3"/>
  <c r="P716" i="3"/>
  <c r="R724" i="3"/>
  <c r="Q724" i="3"/>
  <c r="P724" i="3"/>
  <c r="R732" i="3"/>
  <c r="Q732" i="3"/>
  <c r="P732" i="3"/>
  <c r="R740" i="3"/>
  <c r="Q740" i="3"/>
  <c r="P740" i="3"/>
  <c r="R748" i="3"/>
  <c r="Q748" i="3"/>
  <c r="P748" i="3"/>
  <c r="R756" i="3"/>
  <c r="Q756" i="3"/>
  <c r="P756" i="3"/>
  <c r="R764" i="3"/>
  <c r="Q764" i="3"/>
  <c r="P764" i="3"/>
  <c r="R772" i="3"/>
  <c r="Q772" i="3"/>
  <c r="P772" i="3"/>
  <c r="R780" i="3"/>
  <c r="Q780" i="3"/>
  <c r="P780" i="3"/>
  <c r="R788" i="3"/>
  <c r="Q788" i="3"/>
  <c r="P788" i="3"/>
  <c r="R796" i="3"/>
  <c r="Q796" i="3"/>
  <c r="P796" i="3"/>
  <c r="R804" i="3"/>
  <c r="Q804" i="3"/>
  <c r="P804" i="3"/>
  <c r="R812" i="3"/>
  <c r="Q812" i="3"/>
  <c r="P812" i="3"/>
  <c r="R820" i="3"/>
  <c r="Q820" i="3"/>
  <c r="P820" i="3"/>
  <c r="R828" i="3"/>
  <c r="Q828" i="3"/>
  <c r="P828" i="3"/>
  <c r="R836" i="3"/>
  <c r="Q836" i="3"/>
  <c r="P836" i="3"/>
  <c r="R844" i="3"/>
  <c r="Q844" i="3"/>
  <c r="P844" i="3"/>
  <c r="R852" i="3"/>
  <c r="Q852" i="3"/>
  <c r="P852" i="3"/>
  <c r="R860" i="3"/>
  <c r="P860" i="3"/>
  <c r="R868" i="3"/>
  <c r="Q868" i="3"/>
  <c r="P868" i="3"/>
  <c r="R876" i="3"/>
  <c r="Q876" i="3"/>
  <c r="P876" i="3"/>
  <c r="R884" i="3"/>
  <c r="Q884" i="3"/>
  <c r="P884" i="3"/>
  <c r="R892" i="3"/>
  <c r="P892" i="3"/>
  <c r="Q892" i="3"/>
  <c r="R900" i="3"/>
  <c r="Q900" i="3"/>
  <c r="P900" i="3"/>
  <c r="R908" i="3"/>
  <c r="Q908" i="3"/>
  <c r="P908" i="3"/>
  <c r="R916" i="3"/>
  <c r="Q916" i="3"/>
  <c r="P916" i="3"/>
  <c r="R924" i="3"/>
  <c r="Q924" i="3"/>
  <c r="P924" i="3"/>
  <c r="R932" i="3"/>
  <c r="Q932" i="3"/>
  <c r="P932" i="3"/>
  <c r="R940" i="3"/>
  <c r="Q940" i="3"/>
  <c r="P940" i="3"/>
  <c r="R948" i="3"/>
  <c r="Q948" i="3"/>
  <c r="P948" i="3"/>
  <c r="R956" i="3"/>
  <c r="Q956" i="3"/>
  <c r="P956" i="3"/>
  <c r="R964" i="3"/>
  <c r="Q964" i="3"/>
  <c r="P964" i="3"/>
  <c r="R972" i="3"/>
  <c r="Q972" i="3"/>
  <c r="P972" i="3"/>
  <c r="R980" i="3"/>
  <c r="Q980" i="3"/>
  <c r="P980" i="3"/>
  <c r="R988" i="3"/>
  <c r="Q988" i="3"/>
  <c r="P988" i="3"/>
  <c r="R996" i="3"/>
  <c r="Q996" i="3"/>
  <c r="P996" i="3"/>
  <c r="R1004" i="3"/>
  <c r="Q1004" i="3"/>
  <c r="P1004" i="3"/>
  <c r="R1012" i="3"/>
  <c r="Q1012" i="3"/>
  <c r="P1012" i="3"/>
  <c r="R1020" i="3"/>
  <c r="P1020" i="3"/>
  <c r="Q1020" i="3"/>
  <c r="R1028" i="3"/>
  <c r="Q1028" i="3"/>
  <c r="P1028" i="3"/>
  <c r="R1036" i="3"/>
  <c r="Q1036" i="3"/>
  <c r="P1036" i="3"/>
  <c r="R1044" i="3"/>
  <c r="Q1044" i="3"/>
  <c r="P1044" i="3"/>
  <c r="R1052" i="3"/>
  <c r="Q1052" i="3"/>
  <c r="P1052" i="3"/>
  <c r="R1060" i="3"/>
  <c r="Q1060" i="3"/>
  <c r="P1060" i="3"/>
  <c r="R1068" i="3"/>
  <c r="Q1068" i="3"/>
  <c r="P1068" i="3"/>
  <c r="R1076" i="3"/>
  <c r="P1076" i="3"/>
  <c r="Q1076" i="3"/>
  <c r="R1084" i="3"/>
  <c r="Q1084" i="3"/>
  <c r="P1084" i="3"/>
  <c r="R1092" i="3"/>
  <c r="Q1092" i="3"/>
  <c r="P1092" i="3"/>
  <c r="R1100" i="3"/>
  <c r="Q1100" i="3"/>
  <c r="P1100" i="3"/>
  <c r="R1108" i="3"/>
  <c r="Q1108" i="3"/>
  <c r="P1108" i="3"/>
  <c r="R1116" i="3"/>
  <c r="Q1116" i="3"/>
  <c r="P1116" i="3"/>
  <c r="R1124" i="3"/>
  <c r="Q1124" i="3"/>
  <c r="P1124" i="3"/>
  <c r="R1132" i="3"/>
  <c r="Q1132" i="3"/>
  <c r="P1132" i="3"/>
  <c r="R1140" i="3"/>
  <c r="Q1140" i="3"/>
  <c r="P1140" i="3"/>
  <c r="R1148" i="3"/>
  <c r="Q1148" i="3"/>
  <c r="P1148" i="3"/>
  <c r="R1156" i="3"/>
  <c r="P1156" i="3"/>
  <c r="Q1156" i="3"/>
  <c r="R1164" i="3"/>
  <c r="Q1164" i="3"/>
  <c r="P1164" i="3"/>
  <c r="R1172" i="3"/>
  <c r="Q1172" i="3"/>
  <c r="P1172" i="3"/>
  <c r="R1180" i="3"/>
  <c r="Q1180" i="3"/>
  <c r="P1180" i="3"/>
  <c r="R1188" i="3"/>
  <c r="Q1188" i="3"/>
  <c r="P1188" i="3"/>
  <c r="R1196" i="3"/>
  <c r="Q1196" i="3"/>
  <c r="P1196" i="3"/>
  <c r="R1204" i="3"/>
  <c r="Q1204" i="3"/>
  <c r="P1204" i="3"/>
  <c r="R1212" i="3"/>
  <c r="Q1212" i="3"/>
  <c r="P1212" i="3"/>
  <c r="R1220" i="3"/>
  <c r="Q1220" i="3"/>
  <c r="P1220" i="3"/>
  <c r="R1228" i="3"/>
  <c r="Q1228" i="3"/>
  <c r="P1228" i="3"/>
  <c r="R1236" i="3"/>
  <c r="Q1236" i="3"/>
  <c r="P1236" i="3"/>
  <c r="R1244" i="3"/>
  <c r="Q1244" i="3"/>
  <c r="P1244" i="3"/>
  <c r="R1252" i="3"/>
  <c r="Q1252" i="3"/>
  <c r="P1252" i="3"/>
  <c r="R1260" i="3"/>
  <c r="Q1260" i="3"/>
  <c r="P1260" i="3"/>
  <c r="R1268" i="3"/>
  <c r="Q1268" i="3"/>
  <c r="P1268" i="3"/>
  <c r="P22" i="3"/>
  <c r="P80" i="3"/>
  <c r="P167" i="3"/>
  <c r="P208" i="3"/>
  <c r="P249" i="3"/>
  <c r="P441" i="3"/>
  <c r="P697" i="3"/>
  <c r="P1147" i="3"/>
  <c r="Q94" i="3"/>
  <c r="R32" i="3"/>
  <c r="Q32" i="3"/>
  <c r="R64" i="3"/>
  <c r="Q64" i="3"/>
  <c r="R96" i="3"/>
  <c r="Q96" i="3"/>
  <c r="R144" i="3"/>
  <c r="Q144" i="3"/>
  <c r="R200" i="3"/>
  <c r="Q200" i="3"/>
  <c r="R240" i="3"/>
  <c r="P240" i="3"/>
  <c r="R280" i="3"/>
  <c r="Q280" i="3"/>
  <c r="R328" i="3"/>
  <c r="Q328" i="3"/>
  <c r="R368" i="3"/>
  <c r="Q368" i="3"/>
  <c r="P368" i="3"/>
  <c r="R400" i="3"/>
  <c r="P400" i="3"/>
  <c r="R440" i="3"/>
  <c r="Q440" i="3"/>
  <c r="R480" i="3"/>
  <c r="Q480" i="3"/>
  <c r="P480" i="3"/>
  <c r="R504" i="3"/>
  <c r="Q504" i="3"/>
  <c r="Q544" i="3"/>
  <c r="R544" i="3"/>
  <c r="P544" i="3"/>
  <c r="R584" i="3"/>
  <c r="Q584" i="3"/>
  <c r="R624" i="3"/>
  <c r="Q624" i="3"/>
  <c r="P624" i="3"/>
  <c r="R664" i="3"/>
  <c r="Q664" i="3"/>
  <c r="R704" i="3"/>
  <c r="Q704" i="3"/>
  <c r="P704" i="3"/>
  <c r="Q736" i="3"/>
  <c r="R736" i="3"/>
  <c r="P736" i="3"/>
  <c r="R776" i="3"/>
  <c r="Q776" i="3"/>
  <c r="R816" i="3"/>
  <c r="Q816" i="3"/>
  <c r="P816" i="3"/>
  <c r="R864" i="3"/>
  <c r="Q864" i="3"/>
  <c r="P864" i="3"/>
  <c r="R904" i="3"/>
  <c r="Q904" i="3"/>
  <c r="R928" i="3"/>
  <c r="Q928" i="3"/>
  <c r="P928" i="3"/>
  <c r="R968" i="3"/>
  <c r="Q968" i="3"/>
  <c r="R1000" i="3"/>
  <c r="Q1000" i="3"/>
  <c r="R1040" i="3"/>
  <c r="Q1040" i="3"/>
  <c r="P1040" i="3"/>
  <c r="R1080" i="3"/>
  <c r="Q1080" i="3"/>
  <c r="R1120" i="3"/>
  <c r="Q1120" i="3"/>
  <c r="P1120" i="3"/>
  <c r="R1152" i="3"/>
  <c r="Q1152" i="3"/>
  <c r="P1152" i="3"/>
  <c r="R1176" i="3"/>
  <c r="Q1176" i="3"/>
  <c r="P1176" i="3"/>
  <c r="R1200" i="3"/>
  <c r="Q1200" i="3"/>
  <c r="R57" i="3"/>
  <c r="P57" i="3"/>
  <c r="Q57" i="3"/>
  <c r="R97" i="3"/>
  <c r="Q97" i="3"/>
  <c r="P97" i="3"/>
  <c r="R153" i="3"/>
  <c r="Q153" i="3"/>
  <c r="P153" i="3"/>
  <c r="R193" i="3"/>
  <c r="Q193" i="3"/>
  <c r="P193" i="3"/>
  <c r="R233" i="3"/>
  <c r="Q233" i="3"/>
  <c r="Q273" i="3"/>
  <c r="R273" i="3"/>
  <c r="P273" i="3"/>
  <c r="R313" i="3"/>
  <c r="Q313" i="3"/>
  <c r="R361" i="3"/>
  <c r="Q361" i="3"/>
  <c r="R409" i="3"/>
  <c r="Q409" i="3"/>
  <c r="R449" i="3"/>
  <c r="Q449" i="3"/>
  <c r="P449" i="3"/>
  <c r="R489" i="3"/>
  <c r="Q489" i="3"/>
  <c r="R529" i="3"/>
  <c r="Q529" i="3"/>
  <c r="P529" i="3"/>
  <c r="R569" i="3"/>
  <c r="Q569" i="3"/>
  <c r="R609" i="3"/>
  <c r="Q609" i="3"/>
  <c r="P609" i="3"/>
  <c r="R633" i="3"/>
  <c r="Q633" i="3"/>
  <c r="R681" i="3"/>
  <c r="Q681" i="3"/>
  <c r="R721" i="3"/>
  <c r="Q721" i="3"/>
  <c r="P721" i="3"/>
  <c r="R737" i="3"/>
  <c r="Q737" i="3"/>
  <c r="P737" i="3"/>
  <c r="R761" i="3"/>
  <c r="Q761" i="3"/>
  <c r="R809" i="3"/>
  <c r="Q809" i="3"/>
  <c r="P360" i="3"/>
  <c r="P1000" i="3"/>
  <c r="R18" i="3"/>
  <c r="P18" i="3"/>
  <c r="R29" i="3"/>
  <c r="Q29" i="3"/>
  <c r="P29" i="3"/>
  <c r="Q37" i="3"/>
  <c r="P37" i="3"/>
  <c r="R45" i="3"/>
  <c r="Q45" i="3"/>
  <c r="P45" i="3"/>
  <c r="R53" i="3"/>
  <c r="Q53" i="3"/>
  <c r="P53" i="3"/>
  <c r="R61" i="3"/>
  <c r="Q61" i="3"/>
  <c r="P61" i="3"/>
  <c r="R69" i="3"/>
  <c r="Q69" i="3"/>
  <c r="P69" i="3"/>
  <c r="R77" i="3"/>
  <c r="P77" i="3"/>
  <c r="Q77" i="3"/>
  <c r="R85" i="3"/>
  <c r="Q85" i="3"/>
  <c r="P85" i="3"/>
  <c r="R93" i="3"/>
  <c r="P93" i="3"/>
  <c r="Q93" i="3"/>
  <c r="R101" i="3"/>
  <c r="Q101" i="3"/>
  <c r="P101" i="3"/>
  <c r="R109" i="3"/>
  <c r="Q109" i="3"/>
  <c r="P109" i="3"/>
  <c r="Q117" i="3"/>
  <c r="R117" i="3"/>
  <c r="P117" i="3"/>
  <c r="R125" i="3"/>
  <c r="Q125" i="3"/>
  <c r="P125" i="3"/>
  <c r="R133" i="3"/>
  <c r="Q133" i="3"/>
  <c r="P133" i="3"/>
  <c r="R141" i="3"/>
  <c r="Q141" i="3"/>
  <c r="P141" i="3"/>
  <c r="R149" i="3"/>
  <c r="P149" i="3"/>
  <c r="Q149" i="3"/>
  <c r="R157" i="3"/>
  <c r="Q157" i="3"/>
  <c r="P157" i="3"/>
  <c r="R165" i="3"/>
  <c r="Q165" i="3"/>
  <c r="P165" i="3"/>
  <c r="R173" i="3"/>
  <c r="Q173" i="3"/>
  <c r="P173" i="3"/>
  <c r="R181" i="3"/>
  <c r="Q181" i="3"/>
  <c r="P181" i="3"/>
  <c r="R189" i="3"/>
  <c r="Q189" i="3"/>
  <c r="P189" i="3"/>
  <c r="R197" i="3"/>
  <c r="Q197" i="3"/>
  <c r="P197" i="3"/>
  <c r="R205" i="3"/>
  <c r="P205" i="3"/>
  <c r="R213" i="3"/>
  <c r="Q213" i="3"/>
  <c r="P213" i="3"/>
  <c r="R221" i="3"/>
  <c r="P221" i="3"/>
  <c r="Q221" i="3"/>
  <c r="R229" i="3"/>
  <c r="Q229" i="3"/>
  <c r="P229" i="3"/>
  <c r="R237" i="3"/>
  <c r="Q237" i="3"/>
  <c r="P237" i="3"/>
  <c r="R245" i="3"/>
  <c r="Q245" i="3"/>
  <c r="P245" i="3"/>
  <c r="R253" i="3"/>
  <c r="Q253" i="3"/>
  <c r="P253" i="3"/>
  <c r="R261" i="3"/>
  <c r="Q261" i="3"/>
  <c r="P261" i="3"/>
  <c r="R269" i="3"/>
  <c r="Q269" i="3"/>
  <c r="P269" i="3"/>
  <c r="R277" i="3"/>
  <c r="P277" i="3"/>
  <c r="R285" i="3"/>
  <c r="Q285" i="3"/>
  <c r="P285" i="3"/>
  <c r="R293" i="3"/>
  <c r="P293" i="3"/>
  <c r="Q293" i="3"/>
  <c r="R301" i="3"/>
  <c r="Q301" i="3"/>
  <c r="P301" i="3"/>
  <c r="R309" i="3"/>
  <c r="Q309" i="3"/>
  <c r="P309" i="3"/>
  <c r="R317" i="3"/>
  <c r="P317" i="3"/>
  <c r="R325" i="3"/>
  <c r="Q325" i="3"/>
  <c r="P325" i="3"/>
  <c r="R333" i="3"/>
  <c r="Q333" i="3"/>
  <c r="P333" i="3"/>
  <c r="R341" i="3"/>
  <c r="Q341" i="3"/>
  <c r="P341" i="3"/>
  <c r="R349" i="3"/>
  <c r="Q349" i="3"/>
  <c r="P349" i="3"/>
  <c r="Q357" i="3"/>
  <c r="R357" i="3"/>
  <c r="P357" i="3"/>
  <c r="R365" i="3"/>
  <c r="P365" i="3"/>
  <c r="Q365" i="3"/>
  <c r="R373" i="3"/>
  <c r="Q373" i="3"/>
  <c r="P373" i="3"/>
  <c r="R381" i="3"/>
  <c r="Q381" i="3"/>
  <c r="P381" i="3"/>
  <c r="R389" i="3"/>
  <c r="Q389" i="3"/>
  <c r="P389" i="3"/>
  <c r="R397" i="3"/>
  <c r="P397" i="3"/>
  <c r="Q397" i="3"/>
  <c r="R405" i="3"/>
  <c r="Q405" i="3"/>
  <c r="P405" i="3"/>
  <c r="R413" i="3"/>
  <c r="Q413" i="3"/>
  <c r="P413" i="3"/>
  <c r="R421" i="3"/>
  <c r="Q421" i="3"/>
  <c r="P421" i="3"/>
  <c r="R429" i="3"/>
  <c r="Q429" i="3"/>
  <c r="P429" i="3"/>
  <c r="R437" i="3"/>
  <c r="Q437" i="3"/>
  <c r="P437" i="3"/>
  <c r="R445" i="3"/>
  <c r="Q445" i="3"/>
  <c r="P445" i="3"/>
  <c r="R453" i="3"/>
  <c r="Q453" i="3"/>
  <c r="P453" i="3"/>
  <c r="R461" i="3"/>
  <c r="P461" i="3"/>
  <c r="Q461" i="3"/>
  <c r="R469" i="3"/>
  <c r="Q469" i="3"/>
  <c r="P469" i="3"/>
  <c r="R477" i="3"/>
  <c r="Q477" i="3"/>
  <c r="P477" i="3"/>
  <c r="R485" i="3"/>
  <c r="Q485" i="3"/>
  <c r="P485" i="3"/>
  <c r="R493" i="3"/>
  <c r="Q493" i="3"/>
  <c r="P493" i="3"/>
  <c r="Q501" i="3"/>
  <c r="R501" i="3"/>
  <c r="P501" i="3"/>
  <c r="R509" i="3"/>
  <c r="Q509" i="3"/>
  <c r="P509" i="3"/>
  <c r="R517" i="3"/>
  <c r="P517" i="3"/>
  <c r="Q517" i="3"/>
  <c r="R525" i="3"/>
  <c r="Q525" i="3"/>
  <c r="P525" i="3"/>
  <c r="R533" i="3"/>
  <c r="Q533" i="3"/>
  <c r="P533" i="3"/>
  <c r="R541" i="3"/>
  <c r="Q541" i="3"/>
  <c r="P541" i="3"/>
  <c r="R549" i="3"/>
  <c r="P549" i="3"/>
  <c r="Q549" i="3"/>
  <c r="R557" i="3"/>
  <c r="Q557" i="3"/>
  <c r="P557" i="3"/>
  <c r="R565" i="3"/>
  <c r="P565" i="3"/>
  <c r="Q565" i="3"/>
  <c r="R573" i="3"/>
  <c r="Q573" i="3"/>
  <c r="P573" i="3"/>
  <c r="R581" i="3"/>
  <c r="Q581" i="3"/>
  <c r="P581" i="3"/>
  <c r="R589" i="3"/>
  <c r="P589" i="3"/>
  <c r="R597" i="3"/>
  <c r="Q597" i="3"/>
  <c r="P597" i="3"/>
  <c r="R605" i="3"/>
  <c r="Q605" i="3"/>
  <c r="P605" i="3"/>
  <c r="R613" i="3"/>
  <c r="Q613" i="3"/>
  <c r="P613" i="3"/>
  <c r="R621" i="3"/>
  <c r="P621" i="3"/>
  <c r="Q621" i="3"/>
  <c r="R629" i="3"/>
  <c r="Q629" i="3"/>
  <c r="P629" i="3"/>
  <c r="R637" i="3"/>
  <c r="Q637" i="3"/>
  <c r="P637" i="3"/>
  <c r="R645" i="3"/>
  <c r="Q645" i="3"/>
  <c r="P645" i="3"/>
  <c r="R653" i="3"/>
  <c r="P653" i="3"/>
  <c r="Q653" i="3"/>
  <c r="R661" i="3"/>
  <c r="Q661" i="3"/>
  <c r="P661" i="3"/>
  <c r="R669" i="3"/>
  <c r="Q669" i="3"/>
  <c r="P669" i="3"/>
  <c r="R677" i="3"/>
  <c r="Q677" i="3"/>
  <c r="P677" i="3"/>
  <c r="R685" i="3"/>
  <c r="Q685" i="3"/>
  <c r="P685" i="3"/>
  <c r="R693" i="3"/>
  <c r="Q693" i="3"/>
  <c r="P693" i="3"/>
  <c r="R701" i="3"/>
  <c r="Q701" i="3"/>
  <c r="P701" i="3"/>
  <c r="R709" i="3"/>
  <c r="Q709" i="3"/>
  <c r="P709" i="3"/>
  <c r="R717" i="3"/>
  <c r="Q717" i="3"/>
  <c r="P717" i="3"/>
  <c r="R725" i="3"/>
  <c r="P725" i="3"/>
  <c r="Q725" i="3"/>
  <c r="R733" i="3"/>
  <c r="Q733" i="3"/>
  <c r="P733" i="3"/>
  <c r="R741" i="3"/>
  <c r="Q741" i="3"/>
  <c r="P741" i="3"/>
  <c r="R749" i="3"/>
  <c r="Q749" i="3"/>
  <c r="P749" i="3"/>
  <c r="R757" i="3"/>
  <c r="P757" i="3"/>
  <c r="Q757" i="3"/>
  <c r="R765" i="3"/>
  <c r="Q765" i="3"/>
  <c r="P765" i="3"/>
  <c r="R773" i="3"/>
  <c r="Q773" i="3"/>
  <c r="P773" i="3"/>
  <c r="R781" i="3"/>
  <c r="Q781" i="3"/>
  <c r="P781" i="3"/>
  <c r="R789" i="3"/>
  <c r="P789" i="3"/>
  <c r="R797" i="3"/>
  <c r="Q797" i="3"/>
  <c r="P797" i="3"/>
  <c r="R805" i="3"/>
  <c r="Q805" i="3"/>
  <c r="P805" i="3"/>
  <c r="R813" i="3"/>
  <c r="Q813" i="3"/>
  <c r="P813" i="3"/>
  <c r="R821" i="3"/>
  <c r="Q821" i="3"/>
  <c r="P821" i="3"/>
  <c r="R829" i="3"/>
  <c r="Q829" i="3"/>
  <c r="P829" i="3"/>
  <c r="R837" i="3"/>
  <c r="P837" i="3"/>
  <c r="Q837" i="3"/>
  <c r="R845" i="3"/>
  <c r="Q845" i="3"/>
  <c r="P845" i="3"/>
  <c r="R853" i="3"/>
  <c r="Q853" i="3"/>
  <c r="P853" i="3"/>
  <c r="R861" i="3"/>
  <c r="Q861" i="3"/>
  <c r="P861" i="3"/>
  <c r="R869" i="3"/>
  <c r="Q869" i="3"/>
  <c r="P869" i="3"/>
  <c r="R877" i="3"/>
  <c r="Q877" i="3"/>
  <c r="P877" i="3"/>
  <c r="R885" i="3"/>
  <c r="Q885" i="3"/>
  <c r="P885" i="3"/>
  <c r="R893" i="3"/>
  <c r="Q893" i="3"/>
  <c r="P893" i="3"/>
  <c r="R901" i="3"/>
  <c r="Q901" i="3"/>
  <c r="P901" i="3"/>
  <c r="R909" i="3"/>
  <c r="Q909" i="3"/>
  <c r="P909" i="3"/>
  <c r="R917" i="3"/>
  <c r="Q917" i="3"/>
  <c r="P917" i="3"/>
  <c r="R925" i="3"/>
  <c r="Q925" i="3"/>
  <c r="P925" i="3"/>
  <c r="R933" i="3"/>
  <c r="P933" i="3"/>
  <c r="Q933" i="3"/>
  <c r="R941" i="3"/>
  <c r="P941" i="3"/>
  <c r="Q941" i="3"/>
  <c r="R949" i="3"/>
  <c r="Q949" i="3"/>
  <c r="P949" i="3"/>
  <c r="R957" i="3"/>
  <c r="Q957" i="3"/>
  <c r="P957" i="3"/>
  <c r="R965" i="3"/>
  <c r="Q965" i="3"/>
  <c r="P965" i="3"/>
  <c r="R973" i="3"/>
  <c r="Q973" i="3"/>
  <c r="P973" i="3"/>
  <c r="R981" i="3"/>
  <c r="Q981" i="3"/>
  <c r="P981" i="3"/>
  <c r="R989" i="3"/>
  <c r="Q989" i="3"/>
  <c r="P989" i="3"/>
  <c r="R997" i="3"/>
  <c r="Q997" i="3"/>
  <c r="P997" i="3"/>
  <c r="R1005" i="3"/>
  <c r="Q1005" i="3"/>
  <c r="P1005" i="3"/>
  <c r="R1013" i="3"/>
  <c r="Q1013" i="3"/>
  <c r="P1013" i="3"/>
  <c r="R1021" i="3"/>
  <c r="Q1021" i="3"/>
  <c r="P1021" i="3"/>
  <c r="R1029" i="3"/>
  <c r="Q1029" i="3"/>
  <c r="P1029" i="3"/>
  <c r="R1037" i="3"/>
  <c r="Q1037" i="3"/>
  <c r="P1037" i="3"/>
  <c r="R1045" i="3"/>
  <c r="Q1045" i="3"/>
  <c r="P1045" i="3"/>
  <c r="R1053" i="3"/>
  <c r="Q1053" i="3"/>
  <c r="P1053" i="3"/>
  <c r="R1061" i="3"/>
  <c r="Q1061" i="3"/>
  <c r="P1061" i="3"/>
  <c r="R1069" i="3"/>
  <c r="Q1069" i="3"/>
  <c r="P1069" i="3"/>
  <c r="R1077" i="3"/>
  <c r="Q1077" i="3"/>
  <c r="P1077" i="3"/>
  <c r="R1085" i="3"/>
  <c r="Q1085" i="3"/>
  <c r="P1085" i="3"/>
  <c r="R1093" i="3"/>
  <c r="Q1093" i="3"/>
  <c r="P1093" i="3"/>
  <c r="R1101" i="3"/>
  <c r="Q1101" i="3"/>
  <c r="P1101" i="3"/>
  <c r="R1109" i="3"/>
  <c r="Q1109" i="3"/>
  <c r="P1109" i="3"/>
  <c r="R1117" i="3"/>
  <c r="Q1117" i="3"/>
  <c r="P1117" i="3"/>
  <c r="R1125" i="3"/>
  <c r="Q1125" i="3"/>
  <c r="P1125" i="3"/>
  <c r="R1133" i="3"/>
  <c r="Q1133" i="3"/>
  <c r="P1133" i="3"/>
  <c r="R1141" i="3"/>
  <c r="P1141" i="3"/>
  <c r="R1149" i="3"/>
  <c r="Q1149" i="3"/>
  <c r="P1149" i="3"/>
  <c r="R1157" i="3"/>
  <c r="P1157" i="3"/>
  <c r="Q1157" i="3"/>
  <c r="R1165" i="3"/>
  <c r="Q1165" i="3"/>
  <c r="P1165" i="3"/>
  <c r="R1173" i="3"/>
  <c r="Q1173" i="3"/>
  <c r="P1173" i="3"/>
  <c r="R1181" i="3"/>
  <c r="Q1181" i="3"/>
  <c r="P1181" i="3"/>
  <c r="R1189" i="3"/>
  <c r="P1189" i="3"/>
  <c r="Q1189" i="3"/>
  <c r="R1197" i="3"/>
  <c r="Q1197" i="3"/>
  <c r="P1197" i="3"/>
  <c r="R1205" i="3"/>
  <c r="Q1205" i="3"/>
  <c r="P1205" i="3"/>
  <c r="R1213" i="3"/>
  <c r="P1213" i="3"/>
  <c r="Q1213" i="3"/>
  <c r="R1221" i="3"/>
  <c r="P1221" i="3"/>
  <c r="Q1221" i="3"/>
  <c r="R1229" i="3"/>
  <c r="P1229" i="3"/>
  <c r="Q1229" i="3"/>
  <c r="R1237" i="3"/>
  <c r="Q1237" i="3"/>
  <c r="P1237" i="3"/>
  <c r="R1245" i="3"/>
  <c r="Q1245" i="3"/>
  <c r="P1245" i="3"/>
  <c r="R1253" i="3"/>
  <c r="Q1253" i="3"/>
  <c r="P1253" i="3"/>
  <c r="R1261" i="3"/>
  <c r="Q1261" i="3"/>
  <c r="P1261" i="3"/>
  <c r="R1269" i="3"/>
  <c r="Q1269" i="3"/>
  <c r="P1269" i="3"/>
  <c r="P168" i="3"/>
  <c r="P264" i="3"/>
  <c r="P328" i="3"/>
  <c r="P392" i="3"/>
  <c r="P520" i="3"/>
  <c r="P584" i="3"/>
  <c r="P648" i="3"/>
  <c r="P776" i="3"/>
  <c r="P840" i="3"/>
  <c r="P904" i="3"/>
  <c r="P968" i="3"/>
  <c r="P1032" i="3"/>
  <c r="P1171" i="3"/>
  <c r="Q95" i="3"/>
  <c r="Q400" i="3"/>
  <c r="Q1141" i="3"/>
  <c r="R88" i="3"/>
  <c r="Q88" i="3"/>
  <c r="R136" i="3"/>
  <c r="Q136" i="3"/>
  <c r="R184" i="3"/>
  <c r="Q184" i="3"/>
  <c r="R256" i="3"/>
  <c r="P256" i="3"/>
  <c r="Q256" i="3"/>
  <c r="R296" i="3"/>
  <c r="Q296" i="3"/>
  <c r="R344" i="3"/>
  <c r="Q344" i="3"/>
  <c r="R376" i="3"/>
  <c r="Q376" i="3"/>
  <c r="R424" i="3"/>
  <c r="Q424" i="3"/>
  <c r="Q472" i="3"/>
  <c r="R472" i="3"/>
  <c r="R528" i="3"/>
  <c r="Q528" i="3"/>
  <c r="P528" i="3"/>
  <c r="R568" i="3"/>
  <c r="Q568" i="3"/>
  <c r="R616" i="3"/>
  <c r="Q616" i="3"/>
  <c r="R656" i="3"/>
  <c r="Q656" i="3"/>
  <c r="P656" i="3"/>
  <c r="R712" i="3"/>
  <c r="Q712" i="3"/>
  <c r="R752" i="3"/>
  <c r="Q752" i="3"/>
  <c r="P752" i="3"/>
  <c r="R792" i="3"/>
  <c r="Q792" i="3"/>
  <c r="R824" i="3"/>
  <c r="Q824" i="3"/>
  <c r="R880" i="3"/>
  <c r="Q880" i="3"/>
  <c r="P880" i="3"/>
  <c r="R920" i="3"/>
  <c r="Q920" i="3"/>
  <c r="R952" i="3"/>
  <c r="Q952" i="3"/>
  <c r="R1016" i="3"/>
  <c r="Q1016" i="3"/>
  <c r="R1048" i="3"/>
  <c r="Q1048" i="3"/>
  <c r="R1096" i="3"/>
  <c r="Q1096" i="3"/>
  <c r="R1136" i="3"/>
  <c r="Q1136" i="3"/>
  <c r="P1136" i="3"/>
  <c r="R1160" i="3"/>
  <c r="Q1160" i="3"/>
  <c r="P1160" i="3"/>
  <c r="R1192" i="3"/>
  <c r="Q1192" i="3"/>
  <c r="P1192" i="3"/>
  <c r="P1200" i="3"/>
  <c r="Q488" i="3"/>
  <c r="R41" i="3"/>
  <c r="Q41" i="3"/>
  <c r="P41" i="3"/>
  <c r="R89" i="3"/>
  <c r="Q89" i="3"/>
  <c r="P89" i="3"/>
  <c r="R145" i="3"/>
  <c r="Q145" i="3"/>
  <c r="P145" i="3"/>
  <c r="R185" i="3"/>
  <c r="Q185" i="3"/>
  <c r="P185" i="3"/>
  <c r="R241" i="3"/>
  <c r="P241" i="3"/>
  <c r="R281" i="3"/>
  <c r="Q281" i="3"/>
  <c r="R305" i="3"/>
  <c r="Q305" i="3"/>
  <c r="P305" i="3"/>
  <c r="R353" i="3"/>
  <c r="Q353" i="3"/>
  <c r="P353" i="3"/>
  <c r="R393" i="3"/>
  <c r="Q393" i="3"/>
  <c r="R465" i="3"/>
  <c r="Q465" i="3"/>
  <c r="P465" i="3"/>
  <c r="R505" i="3"/>
  <c r="Q505" i="3"/>
  <c r="R665" i="3"/>
  <c r="Q665" i="3"/>
  <c r="R705" i="3"/>
  <c r="Q705" i="3"/>
  <c r="P705" i="3"/>
  <c r="R801" i="3"/>
  <c r="Q801" i="3"/>
  <c r="P801" i="3"/>
  <c r="P136" i="3"/>
  <c r="P296" i="3"/>
  <c r="P1064" i="3"/>
  <c r="R20" i="3"/>
  <c r="Q20" i="3"/>
  <c r="P20" i="3"/>
  <c r="R30" i="3"/>
  <c r="Q30" i="3"/>
  <c r="R38" i="3"/>
  <c r="Q38" i="3"/>
  <c r="R46" i="3"/>
  <c r="Q46" i="3"/>
  <c r="Q54" i="3"/>
  <c r="R54" i="3"/>
  <c r="Q62" i="3"/>
  <c r="R62" i="3"/>
  <c r="R70" i="3"/>
  <c r="Q70" i="3"/>
  <c r="R78" i="3"/>
  <c r="Q78" i="3"/>
  <c r="R86" i="3"/>
  <c r="Q86" i="3"/>
  <c r="R102" i="3"/>
  <c r="Q102" i="3"/>
  <c r="R110" i="3"/>
  <c r="Q110" i="3"/>
  <c r="R118" i="3"/>
  <c r="Q118" i="3"/>
  <c r="R126" i="3"/>
  <c r="Q126" i="3"/>
  <c r="R134" i="3"/>
  <c r="Q134" i="3"/>
  <c r="R142" i="3"/>
  <c r="Q142" i="3"/>
  <c r="R150" i="3"/>
  <c r="Q150" i="3"/>
  <c r="R158" i="3"/>
  <c r="Q158" i="3"/>
  <c r="R166" i="3"/>
  <c r="Q166" i="3"/>
  <c r="R174" i="3"/>
  <c r="Q174" i="3"/>
  <c r="R182" i="3"/>
  <c r="Q182" i="3"/>
  <c r="Q190" i="3"/>
  <c r="R190" i="3"/>
  <c r="R198" i="3"/>
  <c r="Q198" i="3"/>
  <c r="R206" i="3"/>
  <c r="Q206" i="3"/>
  <c r="R214" i="3"/>
  <c r="Q214" i="3"/>
  <c r="P214" i="3"/>
  <c r="R222" i="3"/>
  <c r="Q222" i="3"/>
  <c r="P222" i="3"/>
  <c r="R230" i="3"/>
  <c r="P230" i="3"/>
  <c r="Q230" i="3"/>
  <c r="R238" i="3"/>
  <c r="P238" i="3"/>
  <c r="Q238" i="3"/>
  <c r="R246" i="3"/>
  <c r="Q246" i="3"/>
  <c r="P246" i="3"/>
  <c r="R254" i="3"/>
  <c r="Q254" i="3"/>
  <c r="P254" i="3"/>
  <c r="R262" i="3"/>
  <c r="Q262" i="3"/>
  <c r="P262" i="3"/>
  <c r="R270" i="3"/>
  <c r="Q270" i="3"/>
  <c r="P270" i="3"/>
  <c r="R278" i="3"/>
  <c r="P278" i="3"/>
  <c r="R286" i="3"/>
  <c r="Q286" i="3"/>
  <c r="P286" i="3"/>
  <c r="R294" i="3"/>
  <c r="P294" i="3"/>
  <c r="Q294" i="3"/>
  <c r="Q302" i="3"/>
  <c r="R302" i="3"/>
  <c r="P302" i="3"/>
  <c r="R310" i="3"/>
  <c r="Q310" i="3"/>
  <c r="P310" i="3"/>
  <c r="R318" i="3"/>
  <c r="Q318" i="3"/>
  <c r="P318" i="3"/>
  <c r="R326" i="3"/>
  <c r="Q326" i="3"/>
  <c r="P326" i="3"/>
  <c r="R334" i="3"/>
  <c r="P334" i="3"/>
  <c r="Q334" i="3"/>
  <c r="R342" i="3"/>
  <c r="Q342" i="3"/>
  <c r="P342" i="3"/>
  <c r="R350" i="3"/>
  <c r="Q350" i="3"/>
  <c r="P350" i="3"/>
  <c r="R358" i="3"/>
  <c r="P358" i="3"/>
  <c r="R366" i="3"/>
  <c r="Q366" i="3"/>
  <c r="P366" i="3"/>
  <c r="R374" i="3"/>
  <c r="Q374" i="3"/>
  <c r="P374" i="3"/>
  <c r="R382" i="3"/>
  <c r="Q382" i="3"/>
  <c r="P382" i="3"/>
  <c r="R390" i="3"/>
  <c r="Q390" i="3"/>
  <c r="P390" i="3"/>
  <c r="R398" i="3"/>
  <c r="P398" i="3"/>
  <c r="Q398" i="3"/>
  <c r="R406" i="3"/>
  <c r="Q406" i="3"/>
  <c r="P406" i="3"/>
  <c r="R414" i="3"/>
  <c r="Q414" i="3"/>
  <c r="P414" i="3"/>
  <c r="R422" i="3"/>
  <c r="P422" i="3"/>
  <c r="Q422" i="3"/>
  <c r="R430" i="3"/>
  <c r="Q430" i="3"/>
  <c r="P430" i="3"/>
  <c r="R438" i="3"/>
  <c r="P438" i="3"/>
  <c r="Q438" i="3"/>
  <c r="R446" i="3"/>
  <c r="Q446" i="3"/>
  <c r="P446" i="3"/>
  <c r="R454" i="3"/>
  <c r="Q454" i="3"/>
  <c r="P454" i="3"/>
  <c r="R462" i="3"/>
  <c r="P462" i="3"/>
  <c r="Q462" i="3"/>
  <c r="R470" i="3"/>
  <c r="Q470" i="3"/>
  <c r="P470" i="3"/>
  <c r="R478" i="3"/>
  <c r="Q478" i="3"/>
  <c r="P478" i="3"/>
  <c r="R486" i="3"/>
  <c r="P486" i="3"/>
  <c r="Q486" i="3"/>
  <c r="R494" i="3"/>
  <c r="Q494" i="3"/>
  <c r="P494" i="3"/>
  <c r="R502" i="3"/>
  <c r="Q502" i="3"/>
  <c r="P502" i="3"/>
  <c r="R510" i="3"/>
  <c r="Q510" i="3"/>
  <c r="P510" i="3"/>
  <c r="R518" i="3"/>
  <c r="P518" i="3"/>
  <c r="Q518" i="3"/>
  <c r="R526" i="3"/>
  <c r="Q526" i="3"/>
  <c r="P526" i="3"/>
  <c r="R534" i="3"/>
  <c r="Q534" i="3"/>
  <c r="P534" i="3"/>
  <c r="R542" i="3"/>
  <c r="Q542" i="3"/>
  <c r="P542" i="3"/>
  <c r="R550" i="3"/>
  <c r="P550" i="3"/>
  <c r="Q550" i="3"/>
  <c r="R558" i="3"/>
  <c r="Q558" i="3"/>
  <c r="P558" i="3"/>
  <c r="R566" i="3"/>
  <c r="Q566" i="3"/>
  <c r="P566" i="3"/>
  <c r="R574" i="3"/>
  <c r="Q574" i="3"/>
  <c r="P574" i="3"/>
  <c r="R582" i="3"/>
  <c r="P582" i="3"/>
  <c r="Q582" i="3"/>
  <c r="R590" i="3"/>
  <c r="Q590" i="3"/>
  <c r="P590" i="3"/>
  <c r="R598" i="3"/>
  <c r="Q598" i="3"/>
  <c r="P598" i="3"/>
  <c r="R606" i="3"/>
  <c r="Q606" i="3"/>
  <c r="P606" i="3"/>
  <c r="R614" i="3"/>
  <c r="Q614" i="3"/>
  <c r="P614" i="3"/>
  <c r="R622" i="3"/>
  <c r="P622" i="3"/>
  <c r="Q622" i="3"/>
  <c r="R630" i="3"/>
  <c r="Q630" i="3"/>
  <c r="P630" i="3"/>
  <c r="R638" i="3"/>
  <c r="Q638" i="3"/>
  <c r="P638" i="3"/>
  <c r="R646" i="3"/>
  <c r="Q646" i="3"/>
  <c r="P646" i="3"/>
  <c r="R654" i="3"/>
  <c r="P654" i="3"/>
  <c r="Q654" i="3"/>
  <c r="R662" i="3"/>
  <c r="Q662" i="3"/>
  <c r="P662" i="3"/>
  <c r="R670" i="3"/>
  <c r="Q670" i="3"/>
  <c r="P670" i="3"/>
  <c r="R678" i="3"/>
  <c r="Q678" i="3"/>
  <c r="P678" i="3"/>
  <c r="R686" i="3"/>
  <c r="P686" i="3"/>
  <c r="R694" i="3"/>
  <c r="Q694" i="3"/>
  <c r="P694" i="3"/>
  <c r="R702" i="3"/>
  <c r="Q702" i="3"/>
  <c r="P702" i="3"/>
  <c r="R710" i="3"/>
  <c r="Q710" i="3"/>
  <c r="P710" i="3"/>
  <c r="R718" i="3"/>
  <c r="Q718" i="3"/>
  <c r="P718" i="3"/>
  <c r="R726" i="3"/>
  <c r="Q726" i="3"/>
  <c r="P726" i="3"/>
  <c r="R734" i="3"/>
  <c r="Q734" i="3"/>
  <c r="P734" i="3"/>
  <c r="R742" i="3"/>
  <c r="Q742" i="3"/>
  <c r="P742" i="3"/>
  <c r="R750" i="3"/>
  <c r="Q750" i="3"/>
  <c r="P750" i="3"/>
  <c r="R758" i="3"/>
  <c r="Q758" i="3"/>
  <c r="P758" i="3"/>
  <c r="R766" i="3"/>
  <c r="Q766" i="3"/>
  <c r="P766" i="3"/>
  <c r="R774" i="3"/>
  <c r="Q774" i="3"/>
  <c r="P774" i="3"/>
  <c r="R782" i="3"/>
  <c r="Q782" i="3"/>
  <c r="P782" i="3"/>
  <c r="R790" i="3"/>
  <c r="Q790" i="3"/>
  <c r="P790" i="3"/>
  <c r="R798" i="3"/>
  <c r="Q798" i="3"/>
  <c r="P798" i="3"/>
  <c r="R806" i="3"/>
  <c r="Q806" i="3"/>
  <c r="P806" i="3"/>
  <c r="R814" i="3"/>
  <c r="Q814" i="3"/>
  <c r="P814" i="3"/>
  <c r="R822" i="3"/>
  <c r="Q822" i="3"/>
  <c r="P822" i="3"/>
  <c r="R830" i="3"/>
  <c r="Q830" i="3"/>
  <c r="P830" i="3"/>
  <c r="R838" i="3"/>
  <c r="P838" i="3"/>
  <c r="Q838" i="3"/>
  <c r="R846" i="3"/>
  <c r="Q846" i="3"/>
  <c r="P846" i="3"/>
  <c r="R854" i="3"/>
  <c r="Q854" i="3"/>
  <c r="P854" i="3"/>
  <c r="R862" i="3"/>
  <c r="Q862" i="3"/>
  <c r="P862" i="3"/>
  <c r="R870" i="3"/>
  <c r="P870" i="3"/>
  <c r="Q870" i="3"/>
  <c r="R878" i="3"/>
  <c r="Q878" i="3"/>
  <c r="P878" i="3"/>
  <c r="R886" i="3"/>
  <c r="Q886" i="3"/>
  <c r="P886" i="3"/>
  <c r="R894" i="3"/>
  <c r="Q894" i="3"/>
  <c r="P894" i="3"/>
  <c r="R902" i="3"/>
  <c r="Q902" i="3"/>
  <c r="P902" i="3"/>
  <c r="R910" i="3"/>
  <c r="P910" i="3"/>
  <c r="Q910" i="3"/>
  <c r="R918" i="3"/>
  <c r="Q918" i="3"/>
  <c r="P918" i="3"/>
  <c r="R926" i="3"/>
  <c r="Q926" i="3"/>
  <c r="P926" i="3"/>
  <c r="R934" i="3"/>
  <c r="P934" i="3"/>
  <c r="Q934" i="3"/>
  <c r="R942" i="3"/>
  <c r="Q942" i="3"/>
  <c r="P942" i="3"/>
  <c r="R950" i="3"/>
  <c r="Q950" i="3"/>
  <c r="P950" i="3"/>
  <c r="R958" i="3"/>
  <c r="Q958" i="3"/>
  <c r="P958" i="3"/>
  <c r="R966" i="3"/>
  <c r="Q966" i="3"/>
  <c r="P966" i="3"/>
  <c r="R974" i="3"/>
  <c r="Q974" i="3"/>
  <c r="P974" i="3"/>
  <c r="R982" i="3"/>
  <c r="Q982" i="3"/>
  <c r="P982" i="3"/>
  <c r="R990" i="3"/>
  <c r="Q990" i="3"/>
  <c r="P990" i="3"/>
  <c r="R998" i="3"/>
  <c r="Q998" i="3"/>
  <c r="P998" i="3"/>
  <c r="R1006" i="3"/>
  <c r="Q1006" i="3"/>
  <c r="P1006" i="3"/>
  <c r="R1014" i="3"/>
  <c r="Q1014" i="3"/>
  <c r="P1014" i="3"/>
  <c r="R1022" i="3"/>
  <c r="Q1022" i="3"/>
  <c r="P1022" i="3"/>
  <c r="R1030" i="3"/>
  <c r="Q1030" i="3"/>
  <c r="P1030" i="3"/>
  <c r="R1038" i="3"/>
  <c r="Q1038" i="3"/>
  <c r="P1038" i="3"/>
  <c r="R1046" i="3"/>
  <c r="Q1046" i="3"/>
  <c r="P1046" i="3"/>
  <c r="R1054" i="3"/>
  <c r="Q1054" i="3"/>
  <c r="P1054" i="3"/>
  <c r="R1062" i="3"/>
  <c r="Q1062" i="3"/>
  <c r="P1062" i="3"/>
  <c r="R1070" i="3"/>
  <c r="Q1070" i="3"/>
  <c r="P1070" i="3"/>
  <c r="R1078" i="3"/>
  <c r="Q1078" i="3"/>
  <c r="P1078" i="3"/>
  <c r="R1086" i="3"/>
  <c r="P1086" i="3"/>
  <c r="R1094" i="3"/>
  <c r="Q1094" i="3"/>
  <c r="P1094" i="3"/>
  <c r="R1102" i="3"/>
  <c r="Q1102" i="3"/>
  <c r="P1102" i="3"/>
  <c r="R1110" i="3"/>
  <c r="Q1110" i="3"/>
  <c r="P1110" i="3"/>
  <c r="R1118" i="3"/>
  <c r="Q1118" i="3"/>
  <c r="P1118" i="3"/>
  <c r="R1126" i="3"/>
  <c r="Q1126" i="3"/>
  <c r="P1126" i="3"/>
  <c r="R1134" i="3"/>
  <c r="Q1134" i="3"/>
  <c r="P1134" i="3"/>
  <c r="R1142" i="3"/>
  <c r="P1142" i="3"/>
  <c r="Q1142" i="3"/>
  <c r="R1150" i="3"/>
  <c r="Q1150" i="3"/>
  <c r="P1150" i="3"/>
  <c r="R1158" i="3"/>
  <c r="Q1158" i="3"/>
  <c r="P1158" i="3"/>
  <c r="R1166" i="3"/>
  <c r="Q1166" i="3"/>
  <c r="P1166" i="3"/>
  <c r="R1174" i="3"/>
  <c r="P1174" i="3"/>
  <c r="Q1174" i="3"/>
  <c r="R1182" i="3"/>
  <c r="Q1182" i="3"/>
  <c r="P1182" i="3"/>
  <c r="R1190" i="3"/>
  <c r="P1190" i="3"/>
  <c r="Q1190" i="3"/>
  <c r="R1198" i="3"/>
  <c r="Q1198" i="3"/>
  <c r="P1198" i="3"/>
  <c r="R1206" i="3"/>
  <c r="P1206" i="3"/>
  <c r="Q1206" i="3"/>
  <c r="R1214" i="3"/>
  <c r="Q1214" i="3"/>
  <c r="P1214" i="3"/>
  <c r="R1222" i="3"/>
  <c r="Q1222" i="3"/>
  <c r="P1222" i="3"/>
  <c r="R1230" i="3"/>
  <c r="Q1230" i="3"/>
  <c r="P1230" i="3"/>
  <c r="R1238" i="3"/>
  <c r="Q1238" i="3"/>
  <c r="P1238" i="3"/>
  <c r="R1246" i="3"/>
  <c r="Q1246" i="3"/>
  <c r="P1246" i="3"/>
  <c r="R1254" i="3"/>
  <c r="Q1254" i="3"/>
  <c r="P1254" i="3"/>
  <c r="R1262" i="3"/>
  <c r="Q1262" i="3"/>
  <c r="P1262" i="3"/>
  <c r="R1270" i="3"/>
  <c r="Q1270" i="3"/>
  <c r="P1270" i="3"/>
  <c r="P46" i="3"/>
  <c r="P64" i="3"/>
  <c r="P110" i="3"/>
  <c r="P128" i="3"/>
  <c r="P174" i="3"/>
  <c r="P192" i="3"/>
  <c r="P393" i="3"/>
  <c r="P521" i="3"/>
  <c r="P585" i="3"/>
  <c r="P649" i="3"/>
  <c r="P713" i="3"/>
  <c r="Q18" i="3"/>
  <c r="Q130" i="3"/>
  <c r="Q277" i="3"/>
  <c r="Q441" i="3"/>
  <c r="R40" i="3"/>
  <c r="Q40" i="3"/>
  <c r="R104" i="3"/>
  <c r="Q104" i="3"/>
  <c r="R216" i="3"/>
  <c r="Q216" i="3"/>
  <c r="R248" i="3"/>
  <c r="Q248" i="3"/>
  <c r="R288" i="3"/>
  <c r="Q288" i="3"/>
  <c r="P288" i="3"/>
  <c r="R336" i="3"/>
  <c r="Q336" i="3"/>
  <c r="P336" i="3"/>
  <c r="R384" i="3"/>
  <c r="Q384" i="3"/>
  <c r="P384" i="3"/>
  <c r="R432" i="3"/>
  <c r="Q432" i="3"/>
  <c r="P432" i="3"/>
  <c r="R456" i="3"/>
  <c r="Q456" i="3"/>
  <c r="R496" i="3"/>
  <c r="Q496" i="3"/>
  <c r="P496" i="3"/>
  <c r="R552" i="3"/>
  <c r="Q552" i="3"/>
  <c r="R592" i="3"/>
  <c r="Q592" i="3"/>
  <c r="P592" i="3"/>
  <c r="R640" i="3"/>
  <c r="Q640" i="3"/>
  <c r="P640" i="3"/>
  <c r="R680" i="3"/>
  <c r="Q680" i="3"/>
  <c r="R720" i="3"/>
  <c r="Q720" i="3"/>
  <c r="P720" i="3"/>
  <c r="R768" i="3"/>
  <c r="Q768" i="3"/>
  <c r="P768" i="3"/>
  <c r="R800" i="3"/>
  <c r="Q800" i="3"/>
  <c r="P800" i="3"/>
  <c r="R832" i="3"/>
  <c r="Q832" i="3"/>
  <c r="P832" i="3"/>
  <c r="R872" i="3"/>
  <c r="Q872" i="3"/>
  <c r="R896" i="3"/>
  <c r="Q896" i="3"/>
  <c r="P896" i="3"/>
  <c r="R944" i="3"/>
  <c r="Q944" i="3"/>
  <c r="P944" i="3"/>
  <c r="R984" i="3"/>
  <c r="Q984" i="3"/>
  <c r="R1008" i="3"/>
  <c r="Q1008" i="3"/>
  <c r="P1008" i="3"/>
  <c r="R1056" i="3"/>
  <c r="Q1056" i="3"/>
  <c r="P1056" i="3"/>
  <c r="R1088" i="3"/>
  <c r="Q1088" i="3"/>
  <c r="P1088" i="3"/>
  <c r="R1128" i="3"/>
  <c r="Q1128" i="3"/>
  <c r="R1168" i="3"/>
  <c r="Q1168" i="3"/>
  <c r="P1168" i="3"/>
  <c r="R1208" i="3"/>
  <c r="Q1208" i="3"/>
  <c r="P1208" i="3"/>
  <c r="P48" i="3"/>
  <c r="P176" i="3"/>
  <c r="R24" i="3"/>
  <c r="Q24" i="3"/>
  <c r="R73" i="3"/>
  <c r="Q73" i="3"/>
  <c r="P73" i="3"/>
  <c r="R121" i="3"/>
  <c r="Q121" i="3"/>
  <c r="P121" i="3"/>
  <c r="R169" i="3"/>
  <c r="Q169" i="3"/>
  <c r="P169" i="3"/>
  <c r="R217" i="3"/>
  <c r="Q217" i="3"/>
  <c r="P217" i="3"/>
  <c r="R265" i="3"/>
  <c r="Q265" i="3"/>
  <c r="R329" i="3"/>
  <c r="Q329" i="3"/>
  <c r="R377" i="3"/>
  <c r="Q377" i="3"/>
  <c r="R425" i="3"/>
  <c r="Q425" i="3"/>
  <c r="Q457" i="3"/>
  <c r="R457" i="3"/>
  <c r="R513" i="3"/>
  <c r="Q513" i="3"/>
  <c r="P513" i="3"/>
  <c r="R553" i="3"/>
  <c r="Q553" i="3"/>
  <c r="R577" i="3"/>
  <c r="Q577" i="3"/>
  <c r="P577" i="3"/>
  <c r="R625" i="3"/>
  <c r="Q625" i="3"/>
  <c r="P625" i="3"/>
  <c r="R673" i="3"/>
  <c r="Q673" i="3"/>
  <c r="P673" i="3"/>
  <c r="R777" i="3"/>
  <c r="Q777" i="3"/>
  <c r="P72" i="3"/>
  <c r="P200" i="3"/>
  <c r="P488" i="3"/>
  <c r="P744" i="3"/>
  <c r="P872" i="3"/>
  <c r="P936" i="3"/>
  <c r="Q168" i="3"/>
  <c r="Q21" i="3"/>
  <c r="R21" i="3"/>
  <c r="P21" i="3"/>
  <c r="R31" i="3"/>
  <c r="Q31" i="3"/>
  <c r="R39" i="3"/>
  <c r="Q39" i="3"/>
  <c r="R47" i="3"/>
  <c r="Q47" i="3"/>
  <c r="R55" i="3"/>
  <c r="Q55" i="3"/>
  <c r="R63" i="3"/>
  <c r="Q63" i="3"/>
  <c r="R71" i="3"/>
  <c r="Q71" i="3"/>
  <c r="R79" i="3"/>
  <c r="Q79" i="3"/>
  <c r="R87" i="3"/>
  <c r="Q87" i="3"/>
  <c r="R103" i="3"/>
  <c r="Q103" i="3"/>
  <c r="R111" i="3"/>
  <c r="Q111" i="3"/>
  <c r="R119" i="3"/>
  <c r="Q119" i="3"/>
  <c r="R127" i="3"/>
  <c r="Q127" i="3"/>
  <c r="R135" i="3"/>
  <c r="Q135" i="3"/>
  <c r="R143" i="3"/>
  <c r="Q143" i="3"/>
  <c r="R151" i="3"/>
  <c r="Q151" i="3"/>
  <c r="R159" i="3"/>
  <c r="Q159" i="3"/>
  <c r="R175" i="3"/>
  <c r="Q175" i="3"/>
  <c r="R183" i="3"/>
  <c r="Q183" i="3"/>
  <c r="R191" i="3"/>
  <c r="Q191" i="3"/>
  <c r="R199" i="3"/>
  <c r="Q199" i="3"/>
  <c r="R207" i="3"/>
  <c r="Q207" i="3"/>
  <c r="R215" i="3"/>
  <c r="Q215" i="3"/>
  <c r="R223" i="3"/>
  <c r="Q223" i="3"/>
  <c r="R231" i="3"/>
  <c r="P231" i="3"/>
  <c r="Q231" i="3"/>
  <c r="R239" i="3"/>
  <c r="P239" i="3"/>
  <c r="Q239" i="3"/>
  <c r="R247" i="3"/>
  <c r="P247" i="3"/>
  <c r="Q247" i="3"/>
  <c r="R255" i="3"/>
  <c r="Q255" i="3"/>
  <c r="P255" i="3"/>
  <c r="R263" i="3"/>
  <c r="Q263" i="3"/>
  <c r="P263" i="3"/>
  <c r="R271" i="3"/>
  <c r="Q271" i="3"/>
  <c r="P271" i="3"/>
  <c r="R279" i="3"/>
  <c r="Q279" i="3"/>
  <c r="P279" i="3"/>
  <c r="R287" i="3"/>
  <c r="Q287" i="3"/>
  <c r="P287" i="3"/>
  <c r="R295" i="3"/>
  <c r="P295" i="3"/>
  <c r="Q295" i="3"/>
  <c r="R303" i="3"/>
  <c r="P303" i="3"/>
  <c r="Q303" i="3"/>
  <c r="R311" i="3"/>
  <c r="Q311" i="3"/>
  <c r="P311" i="3"/>
  <c r="R319" i="3"/>
  <c r="Q319" i="3"/>
  <c r="P319" i="3"/>
  <c r="R327" i="3"/>
  <c r="Q327" i="3"/>
  <c r="P327" i="3"/>
  <c r="R335" i="3"/>
  <c r="P335" i="3"/>
  <c r="Q335" i="3"/>
  <c r="R343" i="3"/>
  <c r="Q343" i="3"/>
  <c r="P343" i="3"/>
  <c r="R351" i="3"/>
  <c r="Q351" i="3"/>
  <c r="P351" i="3"/>
  <c r="R359" i="3"/>
  <c r="P359" i="3"/>
  <c r="R367" i="3"/>
  <c r="P367" i="3"/>
  <c r="Q367" i="3"/>
  <c r="R375" i="3"/>
  <c r="Q375" i="3"/>
  <c r="P375" i="3"/>
  <c r="R383" i="3"/>
  <c r="Q383" i="3"/>
  <c r="P383" i="3"/>
  <c r="R391" i="3"/>
  <c r="Q391" i="3"/>
  <c r="P391" i="3"/>
  <c r="R399" i="3"/>
  <c r="P399" i="3"/>
  <c r="R407" i="3"/>
  <c r="P407" i="3"/>
  <c r="Q407" i="3"/>
  <c r="R415" i="3"/>
  <c r="Q415" i="3"/>
  <c r="P415" i="3"/>
  <c r="R423" i="3"/>
  <c r="Q423" i="3"/>
  <c r="P423" i="3"/>
  <c r="R431" i="3"/>
  <c r="P431" i="3"/>
  <c r="Q431" i="3"/>
  <c r="R439" i="3"/>
  <c r="Q439" i="3"/>
  <c r="P439" i="3"/>
  <c r="R447" i="3"/>
  <c r="Q447" i="3"/>
  <c r="P447" i="3"/>
  <c r="R455" i="3"/>
  <c r="Q455" i="3"/>
  <c r="P455" i="3"/>
  <c r="R463" i="3"/>
  <c r="Q463" i="3"/>
  <c r="P463" i="3"/>
  <c r="R471" i="3"/>
  <c r="P471" i="3"/>
  <c r="Q471" i="3"/>
  <c r="R479" i="3"/>
  <c r="Q479" i="3"/>
  <c r="P479" i="3"/>
  <c r="R487" i="3"/>
  <c r="P487" i="3"/>
  <c r="Q487" i="3"/>
  <c r="R495" i="3"/>
  <c r="Q495" i="3"/>
  <c r="P495" i="3"/>
  <c r="R503" i="3"/>
  <c r="Q503" i="3"/>
  <c r="P503" i="3"/>
  <c r="R511" i="3"/>
  <c r="Q511" i="3"/>
  <c r="P511" i="3"/>
  <c r="R519" i="3"/>
  <c r="Q519" i="3"/>
  <c r="P519" i="3"/>
  <c r="R527" i="3"/>
  <c r="Q527" i="3"/>
  <c r="P527" i="3"/>
  <c r="R535" i="3"/>
  <c r="P535" i="3"/>
  <c r="Q535" i="3"/>
  <c r="R543" i="3"/>
  <c r="Q543" i="3"/>
  <c r="P543" i="3"/>
  <c r="R551" i="3"/>
  <c r="Q551" i="3"/>
  <c r="P551" i="3"/>
  <c r="R559" i="3"/>
  <c r="Q559" i="3"/>
  <c r="P559" i="3"/>
  <c r="R567" i="3"/>
  <c r="P567" i="3"/>
  <c r="Q567" i="3"/>
  <c r="R575" i="3"/>
  <c r="Q575" i="3"/>
  <c r="P575" i="3"/>
  <c r="R583" i="3"/>
  <c r="Q583" i="3"/>
  <c r="P583" i="3"/>
  <c r="R591" i="3"/>
  <c r="Q591" i="3"/>
  <c r="P591" i="3"/>
  <c r="R599" i="3"/>
  <c r="P599" i="3"/>
  <c r="Q599" i="3"/>
  <c r="R607" i="3"/>
  <c r="Q607" i="3"/>
  <c r="P607" i="3"/>
  <c r="R615" i="3"/>
  <c r="Q615" i="3"/>
  <c r="P615" i="3"/>
  <c r="R623" i="3"/>
  <c r="Q623" i="3"/>
  <c r="P623" i="3"/>
  <c r="R631" i="3"/>
  <c r="Q631" i="3"/>
  <c r="P631" i="3"/>
  <c r="R639" i="3"/>
  <c r="Q639" i="3"/>
  <c r="P639" i="3"/>
  <c r="R647" i="3"/>
  <c r="Q647" i="3"/>
  <c r="P647" i="3"/>
  <c r="R655" i="3"/>
  <c r="P655" i="3"/>
  <c r="Q655" i="3"/>
  <c r="R663" i="3"/>
  <c r="Q663" i="3"/>
  <c r="P663" i="3"/>
  <c r="R671" i="3"/>
  <c r="P671" i="3"/>
  <c r="Q671" i="3"/>
  <c r="R679" i="3"/>
  <c r="Q679" i="3"/>
  <c r="P679" i="3"/>
  <c r="R687" i="3"/>
  <c r="P687" i="3"/>
  <c r="R695" i="3"/>
  <c r="Q695" i="3"/>
  <c r="P695" i="3"/>
  <c r="R703" i="3"/>
  <c r="P703" i="3"/>
  <c r="Q703" i="3"/>
  <c r="R711" i="3"/>
  <c r="Q711" i="3"/>
  <c r="P711" i="3"/>
  <c r="R719" i="3"/>
  <c r="P719" i="3"/>
  <c r="Q719" i="3"/>
  <c r="R727" i="3"/>
  <c r="Q727" i="3"/>
  <c r="P727" i="3"/>
  <c r="P47" i="3"/>
  <c r="P70" i="3"/>
  <c r="P88" i="3"/>
  <c r="P111" i="3"/>
  <c r="P134" i="3"/>
  <c r="P152" i="3"/>
  <c r="P175" i="3"/>
  <c r="P198" i="3"/>
  <c r="P223" i="3"/>
  <c r="P280" i="3"/>
  <c r="P344" i="3"/>
  <c r="P408" i="3"/>
  <c r="P472" i="3"/>
  <c r="P536" i="3"/>
  <c r="P600" i="3"/>
  <c r="P664" i="3"/>
  <c r="P728" i="3"/>
  <c r="P792" i="3"/>
  <c r="P856" i="3"/>
  <c r="P920" i="3"/>
  <c r="P984" i="3"/>
  <c r="P1048" i="3"/>
  <c r="P1112" i="3"/>
  <c r="Q132" i="3"/>
  <c r="Q278" i="3"/>
  <c r="Q442" i="3"/>
  <c r="Q789" i="3"/>
  <c r="R938" i="3"/>
  <c r="R735" i="3"/>
  <c r="P735" i="3"/>
  <c r="Q735" i="3"/>
  <c r="R743" i="3"/>
  <c r="Q743" i="3"/>
  <c r="P743" i="3"/>
  <c r="R751" i="3"/>
  <c r="Q751" i="3"/>
  <c r="P751" i="3"/>
  <c r="R759" i="3"/>
  <c r="P759" i="3"/>
  <c r="R767" i="3"/>
  <c r="Q767" i="3"/>
  <c r="P767" i="3"/>
  <c r="R775" i="3"/>
  <c r="Q775" i="3"/>
  <c r="P775" i="3"/>
  <c r="R783" i="3"/>
  <c r="Q783" i="3"/>
  <c r="P783" i="3"/>
  <c r="R791" i="3"/>
  <c r="P791" i="3"/>
  <c r="R799" i="3"/>
  <c r="Q799" i="3"/>
  <c r="P799" i="3"/>
  <c r="R807" i="3"/>
  <c r="Q807" i="3"/>
  <c r="P807" i="3"/>
  <c r="R815" i="3"/>
  <c r="Q815" i="3"/>
  <c r="P815" i="3"/>
  <c r="R823" i="3"/>
  <c r="P823" i="3"/>
  <c r="R831" i="3"/>
  <c r="Q831" i="3"/>
  <c r="P831" i="3"/>
  <c r="R839" i="3"/>
  <c r="Q839" i="3"/>
  <c r="P839" i="3"/>
  <c r="R847" i="3"/>
  <c r="Q847" i="3"/>
  <c r="P847" i="3"/>
  <c r="R855" i="3"/>
  <c r="Q855" i="3"/>
  <c r="P855" i="3"/>
  <c r="R863" i="3"/>
  <c r="Q863" i="3"/>
  <c r="P863" i="3"/>
  <c r="R871" i="3"/>
  <c r="Q871" i="3"/>
  <c r="P871" i="3"/>
  <c r="R879" i="3"/>
  <c r="Q879" i="3"/>
  <c r="P879" i="3"/>
  <c r="R887" i="3"/>
  <c r="Q887" i="3"/>
  <c r="P887" i="3"/>
  <c r="R895" i="3"/>
  <c r="Q895" i="3"/>
  <c r="P895" i="3"/>
  <c r="R903" i="3"/>
  <c r="Q903" i="3"/>
  <c r="P903" i="3"/>
  <c r="R911" i="3"/>
  <c r="P911" i="3"/>
  <c r="Q911" i="3"/>
  <c r="R919" i="3"/>
  <c r="Q919" i="3"/>
  <c r="P919" i="3"/>
  <c r="R927" i="3"/>
  <c r="Q927" i="3"/>
  <c r="P927" i="3"/>
  <c r="R935" i="3"/>
  <c r="Q935" i="3"/>
  <c r="P935" i="3"/>
  <c r="R943" i="3"/>
  <c r="Q943" i="3"/>
  <c r="P943" i="3"/>
  <c r="R951" i="3"/>
  <c r="Q951" i="3"/>
  <c r="P951" i="3"/>
  <c r="R959" i="3"/>
  <c r="Q959" i="3"/>
  <c r="P959" i="3"/>
  <c r="R967" i="3"/>
  <c r="Q967" i="3"/>
  <c r="P967" i="3"/>
  <c r="R975" i="3"/>
  <c r="P975" i="3"/>
  <c r="R983" i="3"/>
  <c r="P983" i="3"/>
  <c r="R991" i="3"/>
  <c r="Q991" i="3"/>
  <c r="P991" i="3"/>
  <c r="R999" i="3"/>
  <c r="Q999" i="3"/>
  <c r="P999" i="3"/>
  <c r="R1007" i="3"/>
  <c r="Q1007" i="3"/>
  <c r="P1007" i="3"/>
  <c r="R1015" i="3"/>
  <c r="Q1015" i="3"/>
  <c r="P1015" i="3"/>
  <c r="R1023" i="3"/>
  <c r="Q1023" i="3"/>
  <c r="P1023" i="3"/>
  <c r="R1031" i="3"/>
  <c r="Q1031" i="3"/>
  <c r="P1031" i="3"/>
  <c r="R1039" i="3"/>
  <c r="Q1039" i="3"/>
  <c r="P1039" i="3"/>
  <c r="R1047" i="3"/>
  <c r="Q1047" i="3"/>
  <c r="P1047" i="3"/>
  <c r="R1055" i="3"/>
  <c r="Q1055" i="3"/>
  <c r="P1055" i="3"/>
  <c r="R1063" i="3"/>
  <c r="Q1063" i="3"/>
  <c r="P1063" i="3"/>
  <c r="R1071" i="3"/>
  <c r="Q1071" i="3"/>
  <c r="P1071" i="3"/>
  <c r="R1079" i="3"/>
  <c r="Q1079" i="3"/>
  <c r="P1079" i="3"/>
  <c r="R1087" i="3"/>
  <c r="Q1087" i="3"/>
  <c r="P1087" i="3"/>
  <c r="R1095" i="3"/>
  <c r="Q1095" i="3"/>
  <c r="P1095" i="3"/>
  <c r="R1103" i="3"/>
  <c r="P1103" i="3"/>
  <c r="Q1103" i="3"/>
  <c r="R1111" i="3"/>
  <c r="Q1111" i="3"/>
  <c r="P1111" i="3"/>
  <c r="R1119" i="3"/>
  <c r="Q1119" i="3"/>
  <c r="P1119" i="3"/>
  <c r="R1127" i="3"/>
  <c r="Q1127" i="3"/>
  <c r="P1127" i="3"/>
  <c r="R1135" i="3"/>
  <c r="Q1135" i="3"/>
  <c r="P1135" i="3"/>
  <c r="R1143" i="3"/>
  <c r="Q1143" i="3"/>
  <c r="P1143" i="3"/>
  <c r="R1151" i="3"/>
  <c r="Q1151" i="3"/>
  <c r="R1159" i="3"/>
  <c r="Q1159" i="3"/>
  <c r="P1159" i="3"/>
  <c r="R1167" i="3"/>
  <c r="Q1167" i="3"/>
  <c r="P1167" i="3"/>
  <c r="R1175" i="3"/>
  <c r="Q1175" i="3"/>
  <c r="R1183" i="3"/>
  <c r="Q1183" i="3"/>
  <c r="P1183" i="3"/>
  <c r="R1191" i="3"/>
  <c r="Q1191" i="3"/>
  <c r="R1199" i="3"/>
  <c r="Q1199" i="3"/>
  <c r="R1207" i="3"/>
  <c r="Q1207" i="3"/>
  <c r="P1207" i="3"/>
  <c r="R1215" i="3"/>
  <c r="Q1215" i="3"/>
  <c r="R1223" i="3"/>
  <c r="Q1223" i="3"/>
  <c r="P1223" i="3"/>
  <c r="R1231" i="3"/>
  <c r="Q1231" i="3"/>
  <c r="P1231" i="3"/>
  <c r="R1239" i="3"/>
  <c r="Q1239" i="3"/>
  <c r="R1247" i="3"/>
  <c r="Q1247" i="3"/>
  <c r="P1247" i="3"/>
  <c r="R1255" i="3"/>
  <c r="Q1255" i="3"/>
  <c r="R1263" i="3"/>
  <c r="Q1263" i="3"/>
  <c r="P938" i="3"/>
  <c r="P1151" i="3"/>
  <c r="P1226" i="3"/>
  <c r="Q19" i="3"/>
  <c r="Q791" i="3"/>
  <c r="Q889" i="3"/>
  <c r="Q983" i="3"/>
  <c r="R1216" i="3"/>
  <c r="Q1216" i="3"/>
  <c r="R1224" i="3"/>
  <c r="Q1224" i="3"/>
  <c r="R1232" i="3"/>
  <c r="Q1232" i="3"/>
  <c r="P1232" i="3"/>
  <c r="R1240" i="3"/>
  <c r="Q1240" i="3"/>
  <c r="R1248" i="3"/>
  <c r="Q1248" i="3"/>
  <c r="P1248" i="3"/>
  <c r="R1256" i="3"/>
  <c r="Q1256" i="3"/>
  <c r="P1256" i="3"/>
  <c r="R1264" i="3"/>
  <c r="Q1264" i="3"/>
  <c r="P1255" i="3"/>
  <c r="Q23" i="3"/>
  <c r="Q1017" i="3"/>
  <c r="R833" i="3"/>
  <c r="Q833" i="3"/>
  <c r="R841" i="3"/>
  <c r="Q841" i="3"/>
  <c r="R849" i="3"/>
  <c r="Q849" i="3"/>
  <c r="R865" i="3"/>
  <c r="Q865" i="3"/>
  <c r="R873" i="3"/>
  <c r="Q873" i="3"/>
  <c r="R881" i="3"/>
  <c r="Q881" i="3"/>
  <c r="R905" i="3"/>
  <c r="Q905" i="3"/>
  <c r="R913" i="3"/>
  <c r="Q913" i="3"/>
  <c r="R921" i="3"/>
  <c r="Q921" i="3"/>
  <c r="R929" i="3"/>
  <c r="Q929" i="3"/>
  <c r="R937" i="3"/>
  <c r="Q937" i="3"/>
  <c r="R945" i="3"/>
  <c r="Q945" i="3"/>
  <c r="R953" i="3"/>
  <c r="Q953" i="3"/>
  <c r="R961" i="3"/>
  <c r="Q961" i="3"/>
  <c r="R969" i="3"/>
  <c r="Q969" i="3"/>
  <c r="R977" i="3"/>
  <c r="Q977" i="3"/>
  <c r="R985" i="3"/>
  <c r="Q985" i="3"/>
  <c r="R993" i="3"/>
  <c r="Q993" i="3"/>
  <c r="R1001" i="3"/>
  <c r="Q1001" i="3"/>
  <c r="R1009" i="3"/>
  <c r="Q1009" i="3"/>
  <c r="R1033" i="3"/>
  <c r="Q1033" i="3"/>
  <c r="R1041" i="3"/>
  <c r="Q1041" i="3"/>
  <c r="R1049" i="3"/>
  <c r="Q1049" i="3"/>
  <c r="R1057" i="3"/>
  <c r="Q1057" i="3"/>
  <c r="R1065" i="3"/>
  <c r="Q1065" i="3"/>
  <c r="R1073" i="3"/>
  <c r="Q1073" i="3"/>
  <c r="R1081" i="3"/>
  <c r="Q1081" i="3"/>
  <c r="R1089" i="3"/>
  <c r="Q1089" i="3"/>
  <c r="R1097" i="3"/>
  <c r="Q1097" i="3"/>
  <c r="R1105" i="3"/>
  <c r="Q1105" i="3"/>
  <c r="R1113" i="3"/>
  <c r="Q1113" i="3"/>
  <c r="R1121" i="3"/>
  <c r="Q1121" i="3"/>
  <c r="R1129" i="3"/>
  <c r="Q1129" i="3"/>
  <c r="R1137" i="3"/>
  <c r="Q1137" i="3"/>
  <c r="R1145" i="3"/>
  <c r="Q1145" i="3"/>
  <c r="P1145" i="3"/>
  <c r="R1153" i="3"/>
  <c r="Q1153" i="3"/>
  <c r="P1153" i="3"/>
  <c r="R1161" i="3"/>
  <c r="Q1161" i="3"/>
  <c r="R1169" i="3"/>
  <c r="Q1169" i="3"/>
  <c r="P1169" i="3"/>
  <c r="R1177" i="3"/>
  <c r="Q1177" i="3"/>
  <c r="R1185" i="3"/>
  <c r="Q1185" i="3"/>
  <c r="R1193" i="3"/>
  <c r="Q1193" i="3"/>
  <c r="P1193" i="3"/>
  <c r="R1201" i="3"/>
  <c r="Q1201" i="3"/>
  <c r="R1209" i="3"/>
  <c r="Q1209" i="3"/>
  <c r="P1209" i="3"/>
  <c r="R1217" i="3"/>
  <c r="Q1217" i="3"/>
  <c r="P1217" i="3"/>
  <c r="R1225" i="3"/>
  <c r="Q1225" i="3"/>
  <c r="R1233" i="3"/>
  <c r="Q1233" i="3"/>
  <c r="P1233" i="3"/>
  <c r="R1241" i="3"/>
  <c r="Q1241" i="3"/>
  <c r="R1249" i="3"/>
  <c r="Q1249" i="3"/>
  <c r="R1257" i="3"/>
  <c r="Q1257" i="3"/>
  <c r="P1257" i="3"/>
  <c r="R1265" i="3"/>
  <c r="Q1265" i="3"/>
  <c r="P19" i="3"/>
  <c r="P1185" i="3"/>
  <c r="P1263" i="3"/>
  <c r="Q823" i="3"/>
  <c r="Q897" i="3"/>
  <c r="R834" i="3"/>
  <c r="Q834" i="3"/>
  <c r="R842" i="3"/>
  <c r="Q842" i="3"/>
  <c r="R850" i="3"/>
  <c r="Q850" i="3"/>
  <c r="R858" i="3"/>
  <c r="Q858" i="3"/>
  <c r="R866" i="3"/>
  <c r="Q866" i="3"/>
  <c r="R874" i="3"/>
  <c r="Q874" i="3"/>
  <c r="R882" i="3"/>
  <c r="Q882" i="3"/>
  <c r="R890" i="3"/>
  <c r="Q890" i="3"/>
  <c r="R898" i="3"/>
  <c r="Q898" i="3"/>
  <c r="R906" i="3"/>
  <c r="Q906" i="3"/>
  <c r="R914" i="3"/>
  <c r="Q914" i="3"/>
  <c r="R922" i="3"/>
  <c r="Q922" i="3"/>
  <c r="R930" i="3"/>
  <c r="Q930" i="3"/>
  <c r="R946" i="3"/>
  <c r="Q946" i="3"/>
  <c r="R954" i="3"/>
  <c r="Q954" i="3"/>
  <c r="R962" i="3"/>
  <c r="Q962" i="3"/>
  <c r="Q970" i="3"/>
  <c r="R970" i="3"/>
  <c r="R978" i="3"/>
  <c r="Q978" i="3"/>
  <c r="R986" i="3"/>
  <c r="Q986" i="3"/>
  <c r="R994" i="3"/>
  <c r="Q994" i="3"/>
  <c r="R1002" i="3"/>
  <c r="Q1002" i="3"/>
  <c r="R1010" i="3"/>
  <c r="Q1010" i="3"/>
  <c r="R1018" i="3"/>
  <c r="Q1018" i="3"/>
  <c r="R1026" i="3"/>
  <c r="Q1026" i="3"/>
  <c r="Q1034" i="3"/>
  <c r="R1034" i="3"/>
  <c r="R1042" i="3"/>
  <c r="Q1042" i="3"/>
  <c r="R1050" i="3"/>
  <c r="Q1050" i="3"/>
  <c r="R1058" i="3"/>
  <c r="Q1058" i="3"/>
  <c r="Q1066" i="3"/>
  <c r="R1066" i="3"/>
  <c r="R1074" i="3"/>
  <c r="Q1074" i="3"/>
  <c r="R1082" i="3"/>
  <c r="Q1082" i="3"/>
  <c r="R1090" i="3"/>
  <c r="Q1090" i="3"/>
  <c r="R1098" i="3"/>
  <c r="Q1098" i="3"/>
  <c r="R1106" i="3"/>
  <c r="Q1106" i="3"/>
  <c r="R1114" i="3"/>
  <c r="Q1114" i="3"/>
  <c r="R1122" i="3"/>
  <c r="Q1122" i="3"/>
  <c r="Q1130" i="3"/>
  <c r="R1130" i="3"/>
  <c r="R1138" i="3"/>
  <c r="Q1138" i="3"/>
  <c r="R1146" i="3"/>
  <c r="Q1146" i="3"/>
  <c r="R1154" i="3"/>
  <c r="Q1154" i="3"/>
  <c r="P1154" i="3"/>
  <c r="Q1162" i="3"/>
  <c r="R1162" i="3"/>
  <c r="R1170" i="3"/>
  <c r="Q1170" i="3"/>
  <c r="P1170" i="3"/>
  <c r="R1178" i="3"/>
  <c r="Q1178" i="3"/>
  <c r="P1178" i="3"/>
  <c r="R1186" i="3"/>
  <c r="Q1186" i="3"/>
  <c r="Q1194" i="3"/>
  <c r="R1194" i="3"/>
  <c r="P1194" i="3"/>
  <c r="R1202" i="3"/>
  <c r="Q1202" i="3"/>
  <c r="R1210" i="3"/>
  <c r="Q1210" i="3"/>
  <c r="R1218" i="3"/>
  <c r="Q1218" i="3"/>
  <c r="P1218" i="3"/>
  <c r="R1234" i="3"/>
  <c r="Q1234" i="3"/>
  <c r="P1234" i="3"/>
  <c r="R1242" i="3"/>
  <c r="Q1242" i="3"/>
  <c r="P1242" i="3"/>
  <c r="R1250" i="3"/>
  <c r="Q1250" i="3"/>
  <c r="Q1258" i="3"/>
  <c r="R1258" i="3"/>
  <c r="P1258" i="3"/>
  <c r="R1266" i="3"/>
  <c r="Q1266" i="3"/>
  <c r="P833" i="3"/>
  <c r="P849" i="3"/>
  <c r="P865" i="3"/>
  <c r="P881" i="3"/>
  <c r="P897" i="3"/>
  <c r="P913" i="3"/>
  <c r="P929" i="3"/>
  <c r="P945" i="3"/>
  <c r="P961" i="3"/>
  <c r="P977" i="3"/>
  <c r="P993" i="3"/>
  <c r="P1009" i="3"/>
  <c r="P1025" i="3"/>
  <c r="P1041" i="3"/>
  <c r="P1057" i="3"/>
  <c r="P1073" i="3"/>
  <c r="P1089" i="3"/>
  <c r="P1105" i="3"/>
  <c r="P1121" i="3"/>
  <c r="P1137" i="3"/>
  <c r="P1161" i="3"/>
  <c r="P1186" i="3"/>
  <c r="P1239" i="3"/>
  <c r="P1264" i="3"/>
  <c r="Q1025" i="3"/>
  <c r="R1251" i="3"/>
  <c r="Q1251" i="3"/>
  <c r="R1259" i="3"/>
  <c r="P1259" i="3"/>
  <c r="Q1259" i="3"/>
  <c r="R1267" i="3"/>
  <c r="Q1267" i="3"/>
  <c r="P1267" i="3"/>
  <c r="P834" i="3"/>
  <c r="P850" i="3"/>
  <c r="P866" i="3"/>
  <c r="P882" i="3"/>
  <c r="P898" i="3"/>
  <c r="P914" i="3"/>
  <c r="P930" i="3"/>
  <c r="P946" i="3"/>
  <c r="P962" i="3"/>
  <c r="P978" i="3"/>
  <c r="P994" i="3"/>
  <c r="P1010" i="3"/>
  <c r="P1026" i="3"/>
  <c r="P1042" i="3"/>
  <c r="P1058" i="3"/>
  <c r="P1074" i="3"/>
  <c r="P1090" i="3"/>
  <c r="P1106" i="3"/>
  <c r="P1122" i="3"/>
  <c r="P1138" i="3"/>
  <c r="P1162" i="3"/>
  <c r="P1215" i="3"/>
  <c r="P1240" i="3"/>
  <c r="P1265" i="3"/>
  <c r="Q825" i="3"/>
  <c r="N19" i="3" l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903" i="3" s="1"/>
  <c r="N904" i="3" s="1"/>
  <c r="N905" i="3" s="1"/>
  <c r="N906" i="3" s="1"/>
  <c r="N907" i="3" s="1"/>
  <c r="N908" i="3" s="1"/>
  <c r="N909" i="3" s="1"/>
  <c r="N910" i="3" s="1"/>
  <c r="N911" i="3" s="1"/>
  <c r="N912" i="3" s="1"/>
  <c r="N913" i="3" s="1"/>
  <c r="N914" i="3" s="1"/>
  <c r="N915" i="3" s="1"/>
  <c r="N916" i="3" s="1"/>
  <c r="N917" i="3" s="1"/>
  <c r="N918" i="3" s="1"/>
  <c r="N919" i="3" s="1"/>
  <c r="N920" i="3" s="1"/>
  <c r="N921" i="3" s="1"/>
  <c r="N922" i="3" s="1"/>
  <c r="N923" i="3" s="1"/>
  <c r="N924" i="3" s="1"/>
  <c r="N925" i="3" s="1"/>
  <c r="N926" i="3" s="1"/>
  <c r="N927" i="3" s="1"/>
  <c r="N928" i="3" s="1"/>
  <c r="N929" i="3" s="1"/>
  <c r="N930" i="3" s="1"/>
  <c r="N931" i="3" s="1"/>
  <c r="N932" i="3" s="1"/>
  <c r="N933" i="3" s="1"/>
  <c r="N934" i="3" s="1"/>
  <c r="N935" i="3" s="1"/>
  <c r="N936" i="3" s="1"/>
  <c r="N937" i="3" s="1"/>
  <c r="N938" i="3" s="1"/>
  <c r="N939" i="3" s="1"/>
  <c r="N940" i="3" s="1"/>
  <c r="N941" i="3" s="1"/>
  <c r="N942" i="3" s="1"/>
  <c r="N943" i="3" s="1"/>
  <c r="N944" i="3" s="1"/>
  <c r="N945" i="3" s="1"/>
  <c r="N946" i="3" s="1"/>
  <c r="N947" i="3" s="1"/>
  <c r="N948" i="3" s="1"/>
  <c r="N949" i="3" s="1"/>
  <c r="N950" i="3" s="1"/>
  <c r="N951" i="3" s="1"/>
  <c r="N952" i="3" s="1"/>
  <c r="N953" i="3" s="1"/>
  <c r="N954" i="3" s="1"/>
  <c r="N955" i="3" s="1"/>
  <c r="N956" i="3" s="1"/>
  <c r="N957" i="3" s="1"/>
  <c r="N958" i="3" s="1"/>
  <c r="N959" i="3" s="1"/>
  <c r="N960" i="3" s="1"/>
  <c r="N961" i="3" s="1"/>
  <c r="N962" i="3" s="1"/>
  <c r="N963" i="3" s="1"/>
  <c r="N964" i="3" s="1"/>
  <c r="N965" i="3" s="1"/>
  <c r="N966" i="3" s="1"/>
  <c r="N967" i="3" s="1"/>
  <c r="N968" i="3" s="1"/>
  <c r="N969" i="3" s="1"/>
  <c r="N970" i="3" s="1"/>
  <c r="N971" i="3" s="1"/>
  <c r="N972" i="3" s="1"/>
  <c r="N973" i="3" s="1"/>
  <c r="N974" i="3" s="1"/>
  <c r="N975" i="3" s="1"/>
  <c r="N976" i="3" s="1"/>
  <c r="N977" i="3" s="1"/>
  <c r="N978" i="3" s="1"/>
  <c r="N979" i="3" s="1"/>
  <c r="N980" i="3" s="1"/>
  <c r="N981" i="3" s="1"/>
  <c r="N982" i="3" s="1"/>
  <c r="N983" i="3" s="1"/>
  <c r="N984" i="3" s="1"/>
  <c r="N985" i="3" s="1"/>
  <c r="N986" i="3" s="1"/>
  <c r="N987" i="3" s="1"/>
  <c r="N988" i="3" s="1"/>
  <c r="N989" i="3" s="1"/>
  <c r="N990" i="3" s="1"/>
  <c r="N991" i="3" s="1"/>
  <c r="N992" i="3" s="1"/>
  <c r="N993" i="3" s="1"/>
  <c r="N994" i="3" s="1"/>
  <c r="N995" i="3" s="1"/>
  <c r="N996" i="3" s="1"/>
  <c r="N997" i="3" s="1"/>
  <c r="N998" i="3" s="1"/>
  <c r="N999" i="3" s="1"/>
  <c r="N1000" i="3" s="1"/>
  <c r="N1001" i="3" s="1"/>
  <c r="N1002" i="3" s="1"/>
  <c r="N1003" i="3" s="1"/>
  <c r="N1004" i="3" s="1"/>
  <c r="N1005" i="3" s="1"/>
  <c r="N1006" i="3" s="1"/>
  <c r="N1007" i="3" s="1"/>
  <c r="N1008" i="3" s="1"/>
  <c r="N1009" i="3" s="1"/>
  <c r="N1010" i="3" s="1"/>
  <c r="N1011" i="3" s="1"/>
  <c r="N1012" i="3" s="1"/>
  <c r="N1013" i="3" s="1"/>
  <c r="N1014" i="3" s="1"/>
  <c r="N1015" i="3" s="1"/>
  <c r="N1016" i="3" s="1"/>
  <c r="N1017" i="3" s="1"/>
  <c r="N1018" i="3" s="1"/>
  <c r="N1019" i="3" s="1"/>
  <c r="N1020" i="3" s="1"/>
  <c r="N1021" i="3" s="1"/>
  <c r="N1022" i="3" s="1"/>
  <c r="N1023" i="3" s="1"/>
  <c r="N1024" i="3" s="1"/>
  <c r="N1025" i="3" s="1"/>
  <c r="N1026" i="3" s="1"/>
  <c r="N1027" i="3" s="1"/>
  <c r="N1028" i="3" s="1"/>
  <c r="N1029" i="3" s="1"/>
  <c r="N1030" i="3" s="1"/>
  <c r="N1031" i="3" s="1"/>
  <c r="N1032" i="3" s="1"/>
  <c r="N1033" i="3" s="1"/>
  <c r="N1034" i="3" s="1"/>
  <c r="N1035" i="3" s="1"/>
  <c r="N1036" i="3" s="1"/>
  <c r="N1037" i="3" s="1"/>
  <c r="N1038" i="3" s="1"/>
  <c r="N1039" i="3" s="1"/>
  <c r="N1040" i="3" s="1"/>
  <c r="N1041" i="3" s="1"/>
  <c r="N1042" i="3" s="1"/>
  <c r="N1043" i="3" s="1"/>
  <c r="N1044" i="3" s="1"/>
  <c r="N1045" i="3" s="1"/>
  <c r="N1046" i="3" s="1"/>
  <c r="N1047" i="3" s="1"/>
  <c r="N1048" i="3" s="1"/>
  <c r="N1049" i="3" s="1"/>
  <c r="N1050" i="3" s="1"/>
  <c r="N1051" i="3" s="1"/>
  <c r="N1052" i="3" s="1"/>
  <c r="N1053" i="3" s="1"/>
  <c r="N1054" i="3" s="1"/>
  <c r="N1055" i="3" s="1"/>
  <c r="N1056" i="3" s="1"/>
  <c r="N1057" i="3" s="1"/>
  <c r="N1058" i="3" s="1"/>
  <c r="N1059" i="3" s="1"/>
  <c r="N1060" i="3" s="1"/>
  <c r="N1061" i="3" s="1"/>
  <c r="N1062" i="3" s="1"/>
  <c r="N1063" i="3" s="1"/>
  <c r="N1064" i="3" s="1"/>
  <c r="N1065" i="3" s="1"/>
  <c r="N1066" i="3" s="1"/>
  <c r="N1067" i="3" s="1"/>
  <c r="N1068" i="3" s="1"/>
  <c r="N1069" i="3" s="1"/>
  <c r="N1070" i="3" s="1"/>
  <c r="N1071" i="3" s="1"/>
  <c r="N1072" i="3" s="1"/>
  <c r="N1073" i="3" s="1"/>
  <c r="N1074" i="3" s="1"/>
  <c r="N1075" i="3" s="1"/>
  <c r="N1076" i="3" s="1"/>
  <c r="N1077" i="3" s="1"/>
  <c r="N1078" i="3" s="1"/>
  <c r="N1079" i="3" s="1"/>
  <c r="N1080" i="3" s="1"/>
  <c r="N1081" i="3" s="1"/>
  <c r="N1082" i="3" s="1"/>
  <c r="N1083" i="3" s="1"/>
  <c r="N1084" i="3" s="1"/>
  <c r="N1085" i="3" s="1"/>
  <c r="N1086" i="3" s="1"/>
  <c r="N1087" i="3" s="1"/>
  <c r="N1088" i="3" s="1"/>
  <c r="N1089" i="3" s="1"/>
  <c r="N1090" i="3" s="1"/>
  <c r="N1091" i="3" s="1"/>
  <c r="N1092" i="3" s="1"/>
  <c r="N1093" i="3" s="1"/>
  <c r="N1094" i="3" s="1"/>
  <c r="N1095" i="3" s="1"/>
  <c r="N1096" i="3" s="1"/>
  <c r="N1097" i="3" s="1"/>
  <c r="N1098" i="3" s="1"/>
  <c r="N1099" i="3" s="1"/>
  <c r="N1100" i="3" s="1"/>
  <c r="N1101" i="3" s="1"/>
  <c r="N1102" i="3" s="1"/>
  <c r="N1103" i="3" s="1"/>
  <c r="N1104" i="3" s="1"/>
  <c r="N1105" i="3" s="1"/>
  <c r="N1106" i="3" s="1"/>
  <c r="N1107" i="3" s="1"/>
  <c r="N1108" i="3" s="1"/>
  <c r="N1109" i="3" s="1"/>
  <c r="N1110" i="3" s="1"/>
  <c r="N1111" i="3" s="1"/>
  <c r="N1112" i="3" s="1"/>
  <c r="N1113" i="3" s="1"/>
  <c r="N1114" i="3" s="1"/>
  <c r="N1115" i="3" s="1"/>
  <c r="N1116" i="3" s="1"/>
  <c r="N1117" i="3" s="1"/>
  <c r="N1118" i="3" s="1"/>
  <c r="N1119" i="3" s="1"/>
  <c r="N1120" i="3" s="1"/>
  <c r="N1121" i="3" s="1"/>
  <c r="N1122" i="3" s="1"/>
  <c r="N1123" i="3" s="1"/>
  <c r="N1124" i="3" s="1"/>
  <c r="N1125" i="3" s="1"/>
  <c r="N1126" i="3" s="1"/>
  <c r="N1127" i="3" s="1"/>
  <c r="N1128" i="3" s="1"/>
  <c r="N1129" i="3" s="1"/>
  <c r="N1130" i="3" s="1"/>
  <c r="N1131" i="3" s="1"/>
  <c r="N1132" i="3" s="1"/>
  <c r="N1133" i="3" s="1"/>
  <c r="N1134" i="3" s="1"/>
  <c r="N1135" i="3" s="1"/>
  <c r="N1136" i="3" s="1"/>
  <c r="N1137" i="3" s="1"/>
  <c r="N1138" i="3" s="1"/>
  <c r="N1139" i="3" s="1"/>
  <c r="N1140" i="3" s="1"/>
  <c r="N1141" i="3" s="1"/>
  <c r="N1142" i="3" s="1"/>
  <c r="N1143" i="3" s="1"/>
  <c r="N1144" i="3" s="1"/>
  <c r="N1145" i="3" s="1"/>
  <c r="N1146" i="3" s="1"/>
  <c r="N1147" i="3" s="1"/>
  <c r="N1148" i="3" s="1"/>
  <c r="N1149" i="3" s="1"/>
  <c r="N1150" i="3" s="1"/>
  <c r="N1151" i="3" s="1"/>
  <c r="N1152" i="3" s="1"/>
  <c r="N1153" i="3" s="1"/>
  <c r="N1154" i="3" s="1"/>
  <c r="N1155" i="3" s="1"/>
  <c r="N1156" i="3" s="1"/>
  <c r="N1157" i="3" s="1"/>
  <c r="N1158" i="3" s="1"/>
  <c r="N1159" i="3" s="1"/>
  <c r="N1160" i="3" s="1"/>
  <c r="N1161" i="3" s="1"/>
  <c r="N1162" i="3" s="1"/>
  <c r="N1163" i="3" s="1"/>
  <c r="N1164" i="3" s="1"/>
  <c r="N1165" i="3" s="1"/>
  <c r="N1166" i="3" s="1"/>
  <c r="N1167" i="3" s="1"/>
  <c r="N1168" i="3" s="1"/>
  <c r="N1169" i="3" s="1"/>
  <c r="N1170" i="3" s="1"/>
  <c r="N1171" i="3" s="1"/>
  <c r="N1172" i="3" s="1"/>
  <c r="N1173" i="3" s="1"/>
  <c r="N1174" i="3" s="1"/>
  <c r="N1175" i="3" s="1"/>
  <c r="N1176" i="3" s="1"/>
  <c r="N1177" i="3" s="1"/>
  <c r="N1178" i="3" s="1"/>
  <c r="N1179" i="3" s="1"/>
  <c r="N1180" i="3" s="1"/>
  <c r="N1181" i="3" s="1"/>
  <c r="N1182" i="3" s="1"/>
  <c r="N1183" i="3" s="1"/>
  <c r="N1184" i="3" s="1"/>
  <c r="N1185" i="3" s="1"/>
  <c r="N1186" i="3" s="1"/>
  <c r="N1187" i="3" s="1"/>
  <c r="N1188" i="3" s="1"/>
  <c r="N1189" i="3" s="1"/>
  <c r="N1190" i="3" s="1"/>
  <c r="N1191" i="3" s="1"/>
  <c r="N1192" i="3" s="1"/>
  <c r="N1193" i="3" s="1"/>
  <c r="N1194" i="3" s="1"/>
  <c r="N1195" i="3" s="1"/>
  <c r="N1196" i="3" s="1"/>
  <c r="N1197" i="3" s="1"/>
  <c r="N1198" i="3" s="1"/>
  <c r="N1199" i="3" s="1"/>
  <c r="N1200" i="3" s="1"/>
  <c r="N1201" i="3" s="1"/>
  <c r="N1202" i="3" s="1"/>
  <c r="N1203" i="3" s="1"/>
  <c r="N1204" i="3" s="1"/>
  <c r="N1205" i="3" s="1"/>
  <c r="N1206" i="3" s="1"/>
  <c r="N1207" i="3" s="1"/>
  <c r="N1208" i="3" s="1"/>
  <c r="N1209" i="3" s="1"/>
  <c r="N1210" i="3" s="1"/>
  <c r="N1211" i="3" s="1"/>
  <c r="N1212" i="3" s="1"/>
  <c r="N1213" i="3" s="1"/>
  <c r="N1214" i="3" s="1"/>
  <c r="N1215" i="3" s="1"/>
  <c r="N1216" i="3" s="1"/>
  <c r="N1217" i="3" s="1"/>
  <c r="N1218" i="3" s="1"/>
  <c r="N1219" i="3" s="1"/>
  <c r="N1220" i="3" s="1"/>
  <c r="N1221" i="3" s="1"/>
  <c r="N1222" i="3" s="1"/>
  <c r="N1223" i="3" s="1"/>
  <c r="N1224" i="3" s="1"/>
  <c r="N1225" i="3" s="1"/>
  <c r="N1226" i="3" s="1"/>
  <c r="N1227" i="3" s="1"/>
  <c r="N1228" i="3" s="1"/>
  <c r="N1229" i="3" s="1"/>
  <c r="N1230" i="3" s="1"/>
  <c r="N1231" i="3" s="1"/>
  <c r="N1232" i="3" s="1"/>
  <c r="N1233" i="3" s="1"/>
  <c r="N1234" i="3" s="1"/>
  <c r="N1235" i="3" s="1"/>
  <c r="N1236" i="3" s="1"/>
  <c r="N1237" i="3" s="1"/>
  <c r="N1238" i="3" s="1"/>
  <c r="N1239" i="3" s="1"/>
  <c r="N1240" i="3" s="1"/>
  <c r="N1241" i="3" s="1"/>
  <c r="N1242" i="3" s="1"/>
  <c r="N1243" i="3" s="1"/>
  <c r="N1244" i="3" s="1"/>
  <c r="N1245" i="3" s="1"/>
  <c r="N1246" i="3" s="1"/>
  <c r="N1247" i="3" s="1"/>
  <c r="N1248" i="3" s="1"/>
  <c r="N1249" i="3" s="1"/>
  <c r="N1250" i="3" s="1"/>
  <c r="N1251" i="3" s="1"/>
  <c r="N1252" i="3" s="1"/>
  <c r="N1253" i="3" s="1"/>
  <c r="N1254" i="3" s="1"/>
  <c r="N1255" i="3" s="1"/>
  <c r="N1256" i="3" s="1"/>
  <c r="N1257" i="3" s="1"/>
  <c r="N1258" i="3" s="1"/>
  <c r="N1259" i="3" s="1"/>
  <c r="N1260" i="3" s="1"/>
  <c r="N1261" i="3" s="1"/>
  <c r="N1262" i="3" s="1"/>
  <c r="N1263" i="3" s="1"/>
  <c r="N1264" i="3" s="1"/>
  <c r="N1265" i="3" s="1"/>
  <c r="N1266" i="3" s="1"/>
  <c r="N1267" i="3" s="1"/>
  <c r="N1268" i="3" s="1"/>
  <c r="N1269" i="3" s="1"/>
  <c r="N1270" i="3" s="1"/>
  <c r="Z26" i="3"/>
  <c r="Z28" i="3"/>
  <c r="Z30" i="3"/>
  <c r="B4" i="3" l="1"/>
  <c r="F3" i="3"/>
  <c r="C3" i="3"/>
  <c r="D3" i="3"/>
  <c r="E3" i="3"/>
  <c r="G3" i="3"/>
  <c r="H3" i="3"/>
  <c r="I3" i="3"/>
  <c r="J3" i="3"/>
  <c r="K3" i="3"/>
  <c r="L3" i="3"/>
  <c r="B3" i="3"/>
  <c r="I4" i="3"/>
  <c r="AA3" i="3"/>
  <c r="AC3" i="3" s="1"/>
  <c r="Z4" i="3"/>
  <c r="U21" i="3" l="1"/>
  <c r="Z22" i="3" s="1"/>
  <c r="Z5" i="3"/>
  <c r="AA4" i="3"/>
  <c r="AC4" i="3" s="1"/>
  <c r="AB3" i="3"/>
  <c r="AA5" i="3" l="1"/>
  <c r="AC5" i="3" s="1"/>
  <c r="Z6" i="3"/>
  <c r="AB4" i="3"/>
  <c r="Z7" i="3" l="1"/>
  <c r="AA6" i="3"/>
  <c r="AC6" i="3" s="1"/>
  <c r="AB5" i="3"/>
  <c r="Z8" i="3" l="1"/>
  <c r="AA7" i="3"/>
  <c r="AC7" i="3" s="1"/>
  <c r="AB6" i="3"/>
  <c r="AB7" i="3" l="1"/>
  <c r="Z9" i="3"/>
  <c r="AA8" i="3"/>
  <c r="AC8" i="3" s="1"/>
  <c r="AB8" i="3" l="1"/>
  <c r="Z10" i="3"/>
  <c r="AA9" i="3"/>
  <c r="AC9" i="3" s="1"/>
  <c r="AB9" i="3" l="1"/>
  <c r="Z11" i="3"/>
  <c r="AA10" i="3"/>
  <c r="AC10" i="3" s="1"/>
  <c r="Z12" i="3" l="1"/>
  <c r="AA11" i="3"/>
  <c r="AC11" i="3" s="1"/>
  <c r="AB10" i="3"/>
  <c r="AB11" i="3" l="1"/>
  <c r="Z13" i="3"/>
  <c r="AA12" i="3"/>
  <c r="AC12" i="3" s="1"/>
  <c r="AB12" i="3" l="1"/>
  <c r="Z14" i="3"/>
  <c r="AA13" i="3"/>
  <c r="AC13" i="3" s="1"/>
  <c r="Z15" i="3" l="1"/>
  <c r="AA14" i="3"/>
  <c r="AC14" i="3" s="1"/>
  <c r="AB14" i="3" l="1"/>
  <c r="Z16" i="3"/>
  <c r="AA15" i="3"/>
  <c r="AC15" i="3" s="1"/>
  <c r="AB15" i="3" l="1"/>
  <c r="Z17" i="3"/>
  <c r="AA16" i="3"/>
  <c r="AC16" i="3" s="1"/>
  <c r="AB16" i="3"/>
  <c r="AA17" i="3" l="1"/>
  <c r="AC17" i="3" s="1"/>
  <c r="AB17" i="3" l="1"/>
  <c r="Z24" i="3" l="1"/>
  <c r="Z27" i="3"/>
  <c r="U16" i="3" a="1"/>
  <c r="U16" i="3" s="1"/>
  <c r="U17" i="3" s="1"/>
  <c r="U18" i="3" s="1"/>
  <c r="Z21" i="3" s="1"/>
  <c r="U19" i="3" l="1"/>
  <c r="U24" i="3"/>
  <c r="U28" i="3" s="1"/>
  <c r="Z31" i="3" s="1"/>
  <c r="W13" i="3"/>
  <c r="O9" i="1"/>
  <c r="O5" i="1"/>
  <c r="L4" i="3"/>
  <c r="L5" i="3" s="1"/>
  <c r="G4" i="3"/>
  <c r="G5" i="3" s="1"/>
  <c r="P1259" i="1"/>
  <c r="Q1259" i="1"/>
  <c r="R1259" i="1"/>
  <c r="S1259" i="1"/>
  <c r="T1259" i="1"/>
  <c r="U1259" i="1"/>
  <c r="V1259" i="1"/>
  <c r="W1259" i="1"/>
  <c r="X1259" i="1"/>
  <c r="Y1259" i="1"/>
  <c r="O1259" i="1"/>
  <c r="O1258" i="1"/>
  <c r="C6" i="3"/>
  <c r="C7" i="3" s="1"/>
  <c r="D6" i="3"/>
  <c r="D7" i="3" s="1"/>
  <c r="E6" i="3"/>
  <c r="E7" i="3" s="1"/>
  <c r="F6" i="3"/>
  <c r="F7" i="3" s="1"/>
  <c r="G6" i="3"/>
  <c r="G7" i="3" s="1"/>
  <c r="H6" i="3"/>
  <c r="H7" i="3" s="1"/>
  <c r="I6" i="3"/>
  <c r="I7" i="3" s="1"/>
  <c r="J6" i="3"/>
  <c r="J7" i="3" s="1"/>
  <c r="K6" i="3"/>
  <c r="K7" i="3" s="1"/>
  <c r="L6" i="3"/>
  <c r="L7" i="3" s="1"/>
  <c r="B6" i="3"/>
  <c r="B7" i="3" s="1"/>
  <c r="J4" i="3"/>
  <c r="J5" i="3" s="1"/>
  <c r="F4" i="3"/>
  <c r="F5" i="3" s="1"/>
  <c r="C4" i="3"/>
  <c r="C5" i="3" s="1"/>
  <c r="D4" i="3"/>
  <c r="D5" i="3" s="1"/>
  <c r="E4" i="3"/>
  <c r="E5" i="3" s="1"/>
  <c r="H4" i="3"/>
  <c r="H5" i="3" s="1"/>
  <c r="I5" i="3"/>
  <c r="K4" i="3"/>
  <c r="K5" i="3" s="1"/>
  <c r="B5" i="3"/>
  <c r="Z29" i="3" s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1258" i="1"/>
  <c r="Y3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1258" i="1"/>
  <c r="X3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1258" i="1"/>
  <c r="W3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1258" i="1"/>
  <c r="V3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1258" i="1"/>
  <c r="U3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1258" i="1"/>
  <c r="T3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1258" i="1"/>
  <c r="S3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1258" i="1"/>
  <c r="R3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1258" i="1"/>
  <c r="Q3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1258" i="1"/>
  <c r="P3" i="1"/>
  <c r="O3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8" i="1"/>
  <c r="O7" i="1"/>
  <c r="O6" i="1"/>
  <c r="L9" i="3" l="1"/>
  <c r="L1" i="3" s="1"/>
  <c r="U22" i="3"/>
  <c r="U23" i="3" s="1"/>
  <c r="B9" i="3"/>
  <c r="B1" i="3" s="1"/>
  <c r="D9" i="3"/>
  <c r="D1" i="3" s="1"/>
  <c r="K9" i="3"/>
  <c r="K1" i="3" s="1"/>
  <c r="C9" i="3"/>
  <c r="C1" i="3" s="1"/>
  <c r="J9" i="3"/>
  <c r="J1" i="3" s="1"/>
  <c r="I9" i="3"/>
  <c r="I1" i="3" s="1"/>
  <c r="E9" i="3"/>
  <c r="E1" i="3" s="1"/>
  <c r="H9" i="3"/>
  <c r="H1" i="3" s="1"/>
  <c r="G9" i="3"/>
  <c r="G1" i="3" s="1"/>
  <c r="F9" i="3"/>
  <c r="F1" i="3" s="1"/>
  <c r="U40" i="3"/>
  <c r="U31" i="3"/>
  <c r="L8" i="3"/>
  <c r="D8" i="3"/>
  <c r="E8" i="3"/>
  <c r="K8" i="3"/>
  <c r="C8" i="3"/>
  <c r="F8" i="3"/>
  <c r="G8" i="3"/>
  <c r="J8" i="3"/>
  <c r="I8" i="3"/>
  <c r="B8" i="3"/>
  <c r="H8" i="3"/>
  <c r="Z23" i="3" l="1"/>
  <c r="Z25" i="3" s="1"/>
  <c r="S31" i="3"/>
  <c r="S32" i="3" s="1"/>
  <c r="U32" i="3" s="1"/>
  <c r="U33" i="3" s="1"/>
  <c r="U34" i="3" s="1"/>
  <c r="U35" i="3" s="1"/>
  <c r="U36" i="3" s="1"/>
  <c r="U37" i="3" s="1"/>
  <c r="U38" i="3" s="1"/>
  <c r="U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tc={7BEF4332-0293-4E64-B359-7FE7E6B58D80}</author>
    <author>tc={FDBB814E-6617-486B-9A46-DFDB7D199ED7}</author>
    <author>tc={DCE01A9D-05DB-4ACA-8B5B-C02F892A3BEA}</author>
    <author>tc={B7993324-05AC-4DC5-90C8-B0C7201B4831}</author>
    <author>tc={F0B2392C-683B-4BCB-8EA3-9E5095476B98}</author>
    <author>tc={C9A5EA4C-5BC7-429D-A292-F8656C94495D}</author>
    <author>tc={381D4481-CA32-4567-8236-8E8681371894}</author>
    <author>tc={AE0403DE-9C6A-4EF9-9CE3-AE97F7CCEC84}</author>
    <author>tc={7F3965BC-298E-406A-9CDD-0CBE8498D409}</author>
    <author>tc={4441E85C-A1AA-4D3F-B71E-1E0B379AC873}</author>
    <author>tc={C279824B-19F9-49F7-A584-5533804467A8}</author>
  </authors>
  <commentList>
    <comment ref="B2" authorId="0" shapeId="0" xr:uid="{7BEF4332-0293-4E64-B359-7FE7E6B58D8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C2" authorId="1" shapeId="0" xr:uid="{FDBB814E-6617-486B-9A46-DFDB7D199ED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D2" authorId="2" shapeId="0" xr:uid="{DCE01A9D-05DB-4ACA-8B5B-C02F892A3B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E2" authorId="3" shapeId="0" xr:uid="{B7993324-05AC-4DC5-90C8-B0C7201B483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F2" authorId="4" shapeId="0" xr:uid="{F0B2392C-683B-4BCB-8EA3-9E5095476B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G2" authorId="5" shapeId="0" xr:uid="{C9A5EA4C-5BC7-429D-A292-F8656C94495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H2" authorId="6" shapeId="0" xr:uid="{381D4481-CA32-4567-8236-8E868137189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I2" authorId="7" shapeId="0" xr:uid="{AE0403DE-9C6A-4EF9-9CE3-AE97F7CCEC8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J2" authorId="8" shapeId="0" xr:uid="{7F3965BC-298E-406A-9CDD-0CBE8498D4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K2" authorId="9" shapeId="0" xr:uid="{4441E85C-A1AA-4D3F-B71E-1E0B379AC87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  <comment ref="L2" authorId="10" shapeId="0" xr:uid="{C279824B-19F9-49F7-A584-5533804467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Closing price of the day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tc={4FEE726F-12FF-4B01-9A25-ABBD47D6FAC4}</author>
    <author>tc={B40F962C-037A-4770-B438-2545011363A7}</author>
    <author>tc={23B095C5-1C16-4DD4-A9C0-3A221D11A157}</author>
    <author>tc={BE154629-5631-4FF6-A3D8-24C794A0BFD6}</author>
  </authors>
  <commentList>
    <comment ref="V30" authorId="0" shapeId="0" xr:uid="{4FEE726F-12FF-4B01-9A25-ABBD47D6FA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Obj: Varianza del portafolio
Cambiando variables: W
Minimizar
1. Valor esperado = Rendimiento esperado
2.que los pesos no pueden ser (w) &gt;=0
3. que el final de los w (pesos) es 100%</t>
      </text>
    </comment>
    <comment ref="T42" authorId="1" shapeId="0" xr:uid="{B40F962C-037A-4770-B438-2545011363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Establecer objetivo con varianza Portafolio darle MIN
Cambiando las celdas de varibles: son el peso de cada accion w 
Nuestras restricciones 
1.PESOS W &gt;= 0
2.SUMA DE PESOS ES IGUAL A 100</t>
      </text>
    </comment>
    <comment ref="T43" authorId="2" shapeId="0" xr:uid="{23B095C5-1C16-4DD4-A9C0-3A221D11A1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Tasa libro de riesgo</t>
      </text>
    </comment>
    <comment ref="T44" authorId="3" shapeId="0" xr:uid="{BE154629-5631-4FF6-A3D8-24C794A0BF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utilizaron las mismas formulas de solver, solamente se maximixo el indice de shapare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<sst xmlns="http://schemas.openxmlformats.org/spreadsheetml/2006/main" count="2147" uniqueCount="81">
  <si>
    <t>Benchmark</t>
  </si>
  <si>
    <t>Technology and IT Industry</t>
  </si>
  <si>
    <t>Health</t>
  </si>
  <si>
    <t>Financial</t>
  </si>
  <si>
    <t>Aerospace</t>
  </si>
  <si>
    <t>Consumption</t>
  </si>
  <si>
    <t>Construction</t>
  </si>
  <si>
    <t>S&amp;P 500</t>
  </si>
  <si>
    <t>AAPL</t>
  </si>
  <si>
    <t>IBM</t>
  </si>
  <si>
    <t>MSFT</t>
  </si>
  <si>
    <t>UNH</t>
  </si>
  <si>
    <t>JNJ</t>
  </si>
  <si>
    <t>Visa Inc.</t>
  </si>
  <si>
    <t>AXP</t>
  </si>
  <si>
    <t>Boeing</t>
  </si>
  <si>
    <t>WMT</t>
  </si>
  <si>
    <t>CAT</t>
  </si>
  <si>
    <t xml:space="preserve">Cetes 28 </t>
  </si>
  <si>
    <t xml:space="preserve">Date </t>
  </si>
  <si>
    <t>Price</t>
  </si>
  <si>
    <t xml:space="preserve">Price </t>
  </si>
  <si>
    <t>Logica CAPM</t>
  </si>
  <si>
    <t xml:space="preserve">W optimo </t>
  </si>
  <si>
    <t>Acciones</t>
  </si>
  <si>
    <t>V.Esperado</t>
  </si>
  <si>
    <t xml:space="preserve">Riesgo </t>
  </si>
  <si>
    <t>W</t>
  </si>
  <si>
    <t xml:space="preserve">Capital Market Line </t>
  </si>
  <si>
    <t>W Rf</t>
  </si>
  <si>
    <t>Rp</t>
  </si>
  <si>
    <t>Riesgo p</t>
  </si>
  <si>
    <t>Beta</t>
  </si>
  <si>
    <t xml:space="preserve">Promedio </t>
  </si>
  <si>
    <t xml:space="preserve">Valor Esperado </t>
  </si>
  <si>
    <t xml:space="preserve">Desviacion Estandar </t>
  </si>
  <si>
    <t xml:space="preserve">Coefieciente de variacion </t>
  </si>
  <si>
    <t>CAPM</t>
  </si>
  <si>
    <t>V,Esperado (Portafolio)</t>
  </si>
  <si>
    <t>Varianza (Portafolio)</t>
  </si>
  <si>
    <t xml:space="preserve">Desvest </t>
  </si>
  <si>
    <t>Riesgo (Portafolio)</t>
  </si>
  <si>
    <t>Coeficientes de Var.</t>
  </si>
  <si>
    <t xml:space="preserve">Indice de Shapare </t>
  </si>
  <si>
    <t xml:space="preserve">Beta Portafolio </t>
  </si>
  <si>
    <t>CAMP</t>
  </si>
  <si>
    <t>Logica del CAMP</t>
  </si>
  <si>
    <t xml:space="preserve">VaR Parametrico </t>
  </si>
  <si>
    <t>Nivel de confianza</t>
  </si>
  <si>
    <t>Factor de confianza</t>
  </si>
  <si>
    <t xml:space="preserve">Monto </t>
  </si>
  <si>
    <t xml:space="preserve">Fronte Eficiente </t>
  </si>
  <si>
    <t>Rend.Esperado</t>
  </si>
  <si>
    <t xml:space="preserve">Minima Varianza </t>
  </si>
  <si>
    <t>RF</t>
  </si>
  <si>
    <t xml:space="preserve">Valor Optimo </t>
  </si>
  <si>
    <t>IRT (Portfolio)</t>
  </si>
  <si>
    <t>Ren. Portfolio</t>
  </si>
  <si>
    <t>IRT S&amp;P(500)</t>
  </si>
  <si>
    <t>Downside</t>
  </si>
  <si>
    <t xml:space="preserve">Diferencia </t>
  </si>
  <si>
    <t xml:space="preserve">Positivos </t>
  </si>
  <si>
    <t>Metricas De Desempeño</t>
  </si>
  <si>
    <t>I. Treynor</t>
  </si>
  <si>
    <t>Alpha Jensen</t>
  </si>
  <si>
    <t>Downside Risk</t>
  </si>
  <si>
    <t>Sortino Ratio</t>
  </si>
  <si>
    <t>Tracking error</t>
  </si>
  <si>
    <t>Information Ratio</t>
  </si>
  <si>
    <t>Bating Average</t>
  </si>
  <si>
    <t>VaR</t>
  </si>
  <si>
    <t>CVaR</t>
  </si>
  <si>
    <t>Var</t>
  </si>
  <si>
    <t>Percentil de Pérdida</t>
  </si>
  <si>
    <t>Valor de K</t>
  </si>
  <si>
    <t>Nivel De Confianza</t>
  </si>
  <si>
    <t xml:space="preserve">Posición </t>
  </si>
  <si>
    <t>-</t>
  </si>
  <si>
    <t>Cetes 28</t>
  </si>
  <si>
    <t>Tasa Libre de Riesgo</t>
  </si>
  <si>
    <t>Tasa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</si>
</sst>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u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14" fontId="0" fillId="0" borderId="0" xfId="0" applyNumberFormat="1"/>
    <xf numFmtId="0" fontId="0" fillId="0" borderId="1" xfId="0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4" fontId="0" fillId="9" borderId="1" xfId="0" applyNumberFormat="1" applyFill="1" applyBorder="1"/>
    <xf numFmtId="0" fontId="2" fillId="8" borderId="1" xfId="0" applyFont="1" applyFill="1" applyBorder="1"/>
    <xf numFmtId="4" fontId="0" fillId="0" borderId="1" xfId="0" applyNumberFormat="1" applyBorder="1"/>
    <xf numFmtId="0" fontId="3" fillId="10" borderId="1" xfId="0" applyFont="1" applyFill="1" applyBorder="1"/>
    <xf numFmtId="0" fontId="2" fillId="8" borderId="2" xfId="0" applyFont="1" applyFill="1" applyBorder="1"/>
    <xf numFmtId="10" fontId="0" fillId="0" borderId="0" xfId="1" applyNumberFormat="1" applyFont="1"/>
    <xf numFmtId="164" fontId="0" fillId="0" borderId="1" xfId="1" applyNumberFormat="1" applyFont="1" applyBorder="1"/>
    <xf numFmtId="10" fontId="0" fillId="0" borderId="1" xfId="1" applyNumberFormat="1" applyFont="1" applyBorder="1"/>
    <xf numFmtId="164" fontId="0" fillId="9" borderId="1" xfId="1" applyNumberFormat="1" applyFont="1" applyFill="1" applyBorder="1"/>
    <xf numFmtId="14" fontId="3" fillId="10" borderId="1" xfId="0" applyNumberFormat="1" applyFont="1" applyFill="1" applyBorder="1"/>
    <xf numFmtId="0" fontId="0" fillId="0" borderId="0" xfId="1" applyNumberFormat="1" applyFont="1"/>
    <xf numFmtId="165" fontId="0" fillId="0" borderId="1" xfId="1" applyNumberFormat="1" applyFont="1" applyBorder="1"/>
    <xf numFmtId="0" fontId="2" fillId="11" borderId="1" xfId="0" applyFont="1" applyFill="1" applyBorder="1"/>
    <xf numFmtId="10" fontId="0" fillId="0" borderId="1" xfId="0" applyNumberFormat="1" applyBorder="1"/>
    <xf numFmtId="0" fontId="0" fillId="0" borderId="6" xfId="0" applyBorder="1"/>
    <xf numFmtId="0" fontId="4" fillId="0" borderId="7" xfId="0" applyFont="1" applyBorder="1" applyAlignment="1">
      <alignment horizontal="center"/>
    </xf>
    <xf numFmtId="0" fontId="0" fillId="0" borderId="0" xfId="1" applyNumberFormat="1" applyFont="1" applyFill="1" applyBorder="1" applyAlignment="1"/>
    <xf numFmtId="0" fontId="0" fillId="0" borderId="6" xfId="1" applyNumberFormat="1" applyFont="1" applyFill="1" applyBorder="1" applyAlignment="1"/>
    <xf numFmtId="9" fontId="0" fillId="0" borderId="1" xfId="1" applyFont="1" applyBorder="1"/>
    <xf numFmtId="0" fontId="0" fillId="0" borderId="1" xfId="1" applyNumberFormat="1" applyFont="1" applyFill="1" applyBorder="1"/>
    <xf numFmtId="0" fontId="2" fillId="8" borderId="1" xfId="0" applyFont="1" applyFill="1" applyBorder="1" applyAlignment="1">
      <alignment horizontal="center"/>
    </xf>
    <xf numFmtId="0" fontId="2" fillId="8" borderId="0" xfId="0" applyFont="1" applyFill="1"/>
    <xf numFmtId="10" fontId="0" fillId="12" borderId="1" xfId="0" applyNumberFormat="1" applyFill="1" applyBorder="1"/>
    <xf numFmtId="2" fontId="0" fillId="12" borderId="1" xfId="0" applyNumberFormat="1" applyFill="1" applyBorder="1"/>
    <xf numFmtId="2" fontId="0" fillId="12" borderId="1" xfId="1" applyNumberFormat="1" applyFont="1" applyFill="1" applyBorder="1"/>
    <xf numFmtId="0" fontId="2" fillId="11" borderId="2" xfId="0" applyFont="1" applyFill="1" applyBorder="1"/>
    <xf numFmtId="2" fontId="0" fillId="0" borderId="1" xfId="1" applyNumberFormat="1" applyFont="1" applyBorder="1"/>
    <xf numFmtId="0" fontId="2" fillId="13" borderId="8" xfId="0" applyFont="1" applyFill="1" applyBorder="1"/>
    <xf numFmtId="9" fontId="5" fillId="0" borderId="1" xfId="1" applyFont="1" applyBorder="1" applyAlignment="1">
      <alignment horizontal="center"/>
    </xf>
    <xf numFmtId="2" fontId="0" fillId="0" borderId="0" xfId="0" applyNumberFormat="1"/>
    <xf numFmtId="44" fontId="0" fillId="0" borderId="1" xfId="3" applyFont="1" applyBorder="1"/>
    <xf numFmtId="2" fontId="0" fillId="0" borderId="1" xfId="3" applyNumberFormat="1" applyFont="1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0" fillId="7" borderId="1" xfId="0" applyFill="1" applyBorder="1" applyAlignment="1">
      <alignment horizontal="left"/>
    </xf>
    <xf numFmtId="166" fontId="0" fillId="7" borderId="1" xfId="0" applyNumberFormat="1" applyFill="1" applyBorder="1"/>
    <xf numFmtId="10" fontId="0" fillId="7" borderId="1" xfId="0" applyNumberFormat="1" applyFill="1" applyBorder="1"/>
    <xf numFmtId="164" fontId="0" fillId="7" borderId="1" xfId="0" applyNumberFormat="1" applyFill="1" applyBorder="1"/>
    <xf numFmtId="10" fontId="0" fillId="0" borderId="0" xfId="1" applyNumberFormat="1" applyFont="1" applyBorder="1"/>
    <xf numFmtId="0" fontId="2" fillId="8" borderId="9" xfId="0" applyFont="1" applyFill="1" applyBorder="1"/>
    <xf numFmtId="164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1" applyNumberFormat="1" applyFont="1" applyFill="1" applyBorder="1"/>
    <xf numFmtId="10" fontId="0" fillId="0" borderId="0" xfId="0" applyNumberFormat="1"/>
    <xf numFmtId="10" fontId="7" fillId="12" borderId="1" xfId="1" applyNumberFormat="1" applyFont="1" applyFill="1" applyBorder="1"/>
    <xf numFmtId="2" fontId="0" fillId="0" borderId="1" xfId="0" applyNumberFormat="1" applyBorder="1"/>
    <xf numFmtId="10" fontId="0" fillId="0" borderId="1" xfId="1" applyNumberFormat="1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horizontal="center"/>
    </xf>
    <xf numFmtId="10" fontId="6" fillId="0" borderId="0" xfId="0" applyNumberFormat="1" applyFont="1"/>
    <xf numFmtId="0" fontId="6" fillId="0" borderId="0" xfId="0" applyFont="1"/>
    <xf numFmtId="0" fontId="5" fillId="0" borderId="1" xfId="1" applyNumberFormat="1" applyFont="1" applyFill="1" applyBorder="1"/>
    <xf numFmtId="10" fontId="5" fillId="0" borderId="1" xfId="0" applyNumberFormat="1" applyFont="1" applyBorder="1"/>
    <xf numFmtId="10" fontId="5" fillId="0" borderId="1" xfId="1" applyNumberFormat="1" applyFont="1" applyBorder="1"/>
    <xf numFmtId="10" fontId="5" fillId="12" borderId="1" xfId="0" applyNumberFormat="1" applyFont="1" applyFill="1" applyBorder="1" applyAlignment="1">
      <alignment horizontal="center"/>
    </xf>
    <xf numFmtId="43" fontId="0" fillId="0" borderId="0" xfId="2" applyFont="1"/>
    <xf numFmtId="43" fontId="0" fillId="0" borderId="1" xfId="2" applyFont="1" applyBorder="1"/>
    <xf numFmtId="0" fontId="3" fillId="3" borderId="0" xfId="0" applyFont="1" applyFill="1"/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</cellXfs>
  <cellStyles count="4">
    <cellStyle name="Millares" xfId="2" builtinId="3"/>
    <cellStyle name="Moneda" xfId="3" builtinId="4"/>
    <cellStyle name="Normal" xfId="0" builtinId="0"/>
    <cellStyle name="Porcentaje" xfId="1" builtinId="5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microsoft.com/office/2017/10/relationships/person" Target="persons/person.xml"/><Relationship Id="rId5" Type="http://schemas.openxmlformats.org/officeDocument/2006/relationships/worksheet" Target="worksheets/sheet3.xml"/><Relationship Id="rId10" Type="http://schemas.openxmlformats.org/officeDocument/2006/relationships/sheetMetadata" Target="metadata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2000"/>
              <a:t>Frontera Eficiente Del</a:t>
            </a:r>
            <a:r>
              <a:rPr lang="es-MX" sz="2000" baseline="0"/>
              <a:t> Poratafolio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Eficiente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diamond"/>
            <c:size val="1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alpha val="41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04-4F24-853B-86262BE05F5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04-4F24-853B-86262BE05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Portfolio!$V$31:$V$40</c:f>
              <c:numCache>
                <c:formatCode>0.00%</c:formatCode>
                <c:ptCount val="10"/>
                <c:pt idx="0">
                  <c:v>0.298068689890231</c:v>
                </c:pt>
                <c:pt idx="1">
                  <c:v>0.13868808369120211</c:v>
                </c:pt>
                <c:pt idx="2">
                  <c:v>0.12996756016744676</c:v>
                </c:pt>
                <c:pt idx="3">
                  <c:v>0.12826239525248501</c:v>
                </c:pt>
                <c:pt idx="4">
                  <c:v>0.13330103392528245</c:v>
                </c:pt>
                <c:pt idx="5">
                  <c:v>0.14446738739564469</c:v>
                </c:pt>
                <c:pt idx="6">
                  <c:v>0.16082419084521427</c:v>
                </c:pt>
                <c:pt idx="7">
                  <c:v>0.18796896926878143</c:v>
                </c:pt>
                <c:pt idx="8">
                  <c:v>0.23278001661179223</c:v>
                </c:pt>
                <c:pt idx="9">
                  <c:v>0.31024529943808332</c:v>
                </c:pt>
              </c:numCache>
            </c:numRef>
          </c:xVal>
          <c:yVal>
            <c:numRef>
              <c:f>Portfolio!$U$31:$U$40</c:f>
              <c:numCache>
                <c:formatCode>0.00%</c:formatCode>
                <c:ptCount val="10"/>
                <c:pt idx="0">
                  <c:v>6.8859541395572751E-2</c:v>
                </c:pt>
                <c:pt idx="1">
                  <c:v>9.5631200160847266E-2</c:v>
                </c:pt>
                <c:pt idx="2">
                  <c:v>0.12240285892612178</c:v>
                </c:pt>
                <c:pt idx="3">
                  <c:v>0.14917451769139631</c:v>
                </c:pt>
                <c:pt idx="4">
                  <c:v>0.17594617645667082</c:v>
                </c:pt>
                <c:pt idx="5">
                  <c:v>0.20271783522194534</c:v>
                </c:pt>
                <c:pt idx="6">
                  <c:v>0.22948949398721985</c:v>
                </c:pt>
                <c:pt idx="7">
                  <c:v>0.25626115275249439</c:v>
                </c:pt>
                <c:pt idx="8">
                  <c:v>0.28303281151776893</c:v>
                </c:pt>
                <c:pt idx="9">
                  <c:v>0.30980447028304342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04-4F24-853B-86262BE05F55}"/>
            </c:ext>
          </c:extLst>
        </c:ser>
        <c:ser>
          <c:idx val="1"/>
          <c:order val="1"/>
          <c:tx>
            <c:v>"CML"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Portfolio!$AC$3:$AC$17</c:f>
              <c:numCache>
                <c:formatCode>0.00%</c:formatCode>
                <c:ptCount val="15"/>
                <c:pt idx="0">
                  <c:v>0</c:v>
                </c:pt>
                <c:pt idx="1">
                  <c:v>1.7269999999999994E-2</c:v>
                </c:pt>
                <c:pt idx="2">
                  <c:v>3.4539999999999987E-2</c:v>
                </c:pt>
                <c:pt idx="3">
                  <c:v>5.1809999999999988E-2</c:v>
                </c:pt>
                <c:pt idx="4">
                  <c:v>6.9079999999999975E-2</c:v>
                </c:pt>
                <c:pt idx="5">
                  <c:v>8.6349999999999982E-2</c:v>
                </c:pt>
                <c:pt idx="6">
                  <c:v>0.10361999999999998</c:v>
                </c:pt>
                <c:pt idx="7">
                  <c:v>0.12088999999999997</c:v>
                </c:pt>
                <c:pt idx="8">
                  <c:v>0.13815999999999995</c:v>
                </c:pt>
                <c:pt idx="9">
                  <c:v>0.15542999999999998</c:v>
                </c:pt>
                <c:pt idx="10">
                  <c:v>0.17269999999999996</c:v>
                </c:pt>
                <c:pt idx="11">
                  <c:v>0.18996999999999997</c:v>
                </c:pt>
                <c:pt idx="12">
                  <c:v>0.20723999999999998</c:v>
                </c:pt>
                <c:pt idx="13">
                  <c:v>0.22450999999999996</c:v>
                </c:pt>
                <c:pt idx="14">
                  <c:v>0.24177999999999997</c:v>
                </c:pt>
              </c:numCache>
            </c:numRef>
          </c:xVal>
          <c:yVal>
            <c:numRef>
              <c:f>Portfolio!$AB$3:$AB$17</c:f>
              <c:numCache>
                <c:formatCode>0.000%</c:formatCode>
                <c:ptCount val="15"/>
                <c:pt idx="0">
                  <c:v>7.9000000000000001E-2</c:v>
                </c:pt>
                <c:pt idx="1">
                  <c:v>9.5479999999999982E-2</c:v>
                </c:pt>
                <c:pt idx="2">
                  <c:v>0.11195999999999999</c:v>
                </c:pt>
                <c:pt idx="3">
                  <c:v>0.12844</c:v>
                </c:pt>
                <c:pt idx="4">
                  <c:v>0.14491999999999997</c:v>
                </c:pt>
                <c:pt idx="5">
                  <c:v>0.16139999999999999</c:v>
                </c:pt>
                <c:pt idx="6">
                  <c:v>0.17787999999999998</c:v>
                </c:pt>
                <c:pt idx="7">
                  <c:v>0.19435999999999998</c:v>
                </c:pt>
                <c:pt idx="8">
                  <c:v>0.21083999999999994</c:v>
                </c:pt>
                <c:pt idx="9">
                  <c:v>0.22731999999999999</c:v>
                </c:pt>
                <c:pt idx="10">
                  <c:v>0.24379999999999996</c:v>
                </c:pt>
                <c:pt idx="11">
                  <c:v>0.26027999999999996</c:v>
                </c:pt>
                <c:pt idx="12">
                  <c:v>0.27676000000000001</c:v>
                </c:pt>
                <c:pt idx="13">
                  <c:v>0.29323999999999995</c:v>
                </c:pt>
                <c:pt idx="14">
                  <c:v>0.30971999999999994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04-4F24-853B-86262BE0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844687"/>
        <c:axId val="2074845167"/>
      </c:scatterChart>
      <c:valAx>
        <c:axId val="207484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000" b="1"/>
                  <a:t>Riesgo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4845167"/>
        <c:crosses val="autoZero"/>
        <c:crossBetween val="midCat"/>
      </c:valAx>
      <c:valAx>
        <c:axId val="20748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000" b="1" i="0"/>
                  <a:t>Retorno Esperado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4844687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 sz="2000" b="0" i="0" u="none" strike="noStrike" cap="none" normalizeH="0" baseline="0"/>
              <a:t>Desempeño Acumulado del Portafolio IRT vs. Índice S&amp;P 500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Portfolio!$N$14</c:f>
              <c:strCache>
                <c:ptCount val="1"/>
                <c:pt idx="0">
                  <c:v>IRT (Portfolio)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18-49B5-B3B1-D621D0D2E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Portfolio!$N$15:$N$1270</c:f>
              <c:numCache>
                <c:formatCode>0.00</c:formatCode>
                <c:ptCount val="1256"/>
                <c:pt idx="0" formatCode="General">
                  <c:v>100</c:v>
                </c:pt>
                <c:pt idx="1">
                  <c:v>98.971839551068456</c:v>
                </c:pt>
                <c:pt idx="2">
                  <c:v>95.504841232413824</c:v>
                </c:pt>
                <c:pt idx="3">
                  <c:v>96.44708234701406</c:v>
                </c:pt>
                <c:pt idx="4">
                  <c:v>97.073561115148095</c:v>
                </c:pt>
                <c:pt idx="5">
                  <c:v>98.719112718296103</c:v>
                </c:pt>
                <c:pt idx="6">
                  <c:v>100.71189592392413</c:v>
                </c:pt>
                <c:pt idx="7">
                  <c:v>99.460221513185857</c:v>
                </c:pt>
                <c:pt idx="8">
                  <c:v>102.03274070707455</c:v>
                </c:pt>
                <c:pt idx="9">
                  <c:v>101.77536595877831</c:v>
                </c:pt>
                <c:pt idx="10">
                  <c:v>106.67047837531157</c:v>
                </c:pt>
                <c:pt idx="11">
                  <c:v>107.01525839655802</c:v>
                </c:pt>
                <c:pt idx="12">
                  <c:v>106.47207416368376</c:v>
                </c:pt>
                <c:pt idx="13">
                  <c:v>105.72208750669549</c:v>
                </c:pt>
                <c:pt idx="14">
                  <c:v>107.74548242481923</c:v>
                </c:pt>
                <c:pt idx="15">
                  <c:v>109.30166022785372</c:v>
                </c:pt>
                <c:pt idx="16">
                  <c:v>107.92392266214448</c:v>
                </c:pt>
                <c:pt idx="17">
                  <c:v>107.09835425410645</c:v>
                </c:pt>
                <c:pt idx="18">
                  <c:v>107.78414552706809</c:v>
                </c:pt>
                <c:pt idx="19">
                  <c:v>106.92586521397355</c:v>
                </c:pt>
                <c:pt idx="20">
                  <c:v>108.71850053696501</c:v>
                </c:pt>
                <c:pt idx="21">
                  <c:v>111.13044199837185</c:v>
                </c:pt>
                <c:pt idx="22">
                  <c:v>110.94725368106805</c:v>
                </c:pt>
                <c:pt idx="23">
                  <c:v>111.0923929464595</c:v>
                </c:pt>
                <c:pt idx="24">
                  <c:v>110.48745649950055</c:v>
                </c:pt>
                <c:pt idx="25">
                  <c:v>110.73384243301467</c:v>
                </c:pt>
                <c:pt idx="26">
                  <c:v>111.18061669100557</c:v>
                </c:pt>
                <c:pt idx="27">
                  <c:v>110.87590372588502</c:v>
                </c:pt>
                <c:pt idx="28">
                  <c:v>112.85600497769843</c:v>
                </c:pt>
                <c:pt idx="29">
                  <c:v>111.54389846317754</c:v>
                </c:pt>
                <c:pt idx="30">
                  <c:v>112.08369786699201</c:v>
                </c:pt>
                <c:pt idx="31">
                  <c:v>111.65685535790968</c:v>
                </c:pt>
                <c:pt idx="32">
                  <c:v>110.8105503584444</c:v>
                </c:pt>
                <c:pt idx="33">
                  <c:v>110.60203049786232</c:v>
                </c:pt>
                <c:pt idx="34">
                  <c:v>109.62228049405189</c:v>
                </c:pt>
                <c:pt idx="35">
                  <c:v>110.89094322586655</c:v>
                </c:pt>
                <c:pt idx="36">
                  <c:v>110.89428688594597</c:v>
                </c:pt>
                <c:pt idx="37">
                  <c:v>110.97845800541474</c:v>
                </c:pt>
                <c:pt idx="38">
                  <c:v>110.89296297930387</c:v>
                </c:pt>
                <c:pt idx="39">
                  <c:v>110.30136379427485</c:v>
                </c:pt>
                <c:pt idx="40">
                  <c:v>109.43674189573277</c:v>
                </c:pt>
                <c:pt idx="41">
                  <c:v>109.7746142322608</c:v>
                </c:pt>
                <c:pt idx="42">
                  <c:v>110.32552367391389</c:v>
                </c:pt>
                <c:pt idx="43">
                  <c:v>110.86592518269086</c:v>
                </c:pt>
                <c:pt idx="44">
                  <c:v>110.18232444639787</c:v>
                </c:pt>
                <c:pt idx="45">
                  <c:v>110.71760505482477</c:v>
                </c:pt>
                <c:pt idx="46">
                  <c:v>111.61145806649844</c:v>
                </c:pt>
                <c:pt idx="47">
                  <c:v>110.72165354070651</c:v>
                </c:pt>
                <c:pt idx="48">
                  <c:v>111.41185890128276</c:v>
                </c:pt>
                <c:pt idx="49">
                  <c:v>113.782486554287</c:v>
                </c:pt>
                <c:pt idx="50">
                  <c:v>113.94396091291715</c:v>
                </c:pt>
                <c:pt idx="51">
                  <c:v>113.95329982784351</c:v>
                </c:pt>
                <c:pt idx="52">
                  <c:v>113.75507932196565</c:v>
                </c:pt>
                <c:pt idx="53">
                  <c:v>114.48326165590349</c:v>
                </c:pt>
                <c:pt idx="54">
                  <c:v>113.74532871738984</c:v>
                </c:pt>
                <c:pt idx="55">
                  <c:v>114.32108692811276</c:v>
                </c:pt>
                <c:pt idx="56">
                  <c:v>113.17969180094936</c:v>
                </c:pt>
                <c:pt idx="57">
                  <c:v>114.1644238282143</c:v>
                </c:pt>
                <c:pt idx="58">
                  <c:v>115.58203600183053</c:v>
                </c:pt>
                <c:pt idx="59">
                  <c:v>115.61702878479143</c:v>
                </c:pt>
                <c:pt idx="60">
                  <c:v>112.55799645502167</c:v>
                </c:pt>
                <c:pt idx="61">
                  <c:v>111.45543563260351</c:v>
                </c:pt>
                <c:pt idx="62">
                  <c:v>111.9813513178337</c:v>
                </c:pt>
                <c:pt idx="63">
                  <c:v>110.34046457214767</c:v>
                </c:pt>
                <c:pt idx="64">
                  <c:v>111.42565955035475</c:v>
                </c:pt>
                <c:pt idx="65">
                  <c:v>109.51584679974808</c:v>
                </c:pt>
                <c:pt idx="66">
                  <c:v>110.49908986761835</c:v>
                </c:pt>
                <c:pt idx="67">
                  <c:v>111.93613108345541</c:v>
                </c:pt>
                <c:pt idx="68">
                  <c:v>112.0116634235211</c:v>
                </c:pt>
                <c:pt idx="69">
                  <c:v>113.4904821338896</c:v>
                </c:pt>
                <c:pt idx="70">
                  <c:v>114.40591386070871</c:v>
                </c:pt>
                <c:pt idx="71">
                  <c:v>115.75769926984464</c:v>
                </c:pt>
                <c:pt idx="72">
                  <c:v>115.3558115932827</c:v>
                </c:pt>
                <c:pt idx="73">
                  <c:v>115.34152436703901</c:v>
                </c:pt>
                <c:pt idx="74">
                  <c:v>115.1674699288162</c:v>
                </c:pt>
                <c:pt idx="75">
                  <c:v>115.44142689162449</c:v>
                </c:pt>
                <c:pt idx="76">
                  <c:v>115.99385477937139</c:v>
                </c:pt>
                <c:pt idx="77">
                  <c:v>115.90701889508217</c:v>
                </c:pt>
                <c:pt idx="78">
                  <c:v>114.15776014838013</c:v>
                </c:pt>
                <c:pt idx="79">
                  <c:v>115.16417591758177</c:v>
                </c:pt>
                <c:pt idx="80">
                  <c:v>116.59059994702429</c:v>
                </c:pt>
                <c:pt idx="81">
                  <c:v>116.40183429255738</c:v>
                </c:pt>
                <c:pt idx="82">
                  <c:v>117.40362202795316</c:v>
                </c:pt>
                <c:pt idx="83">
                  <c:v>116.06151242049054</c:v>
                </c:pt>
                <c:pt idx="84">
                  <c:v>114.15816591159756</c:v>
                </c:pt>
                <c:pt idx="85">
                  <c:v>116.13965336112922</c:v>
                </c:pt>
                <c:pt idx="86">
                  <c:v>115.30351044046874</c:v>
                </c:pt>
                <c:pt idx="87">
                  <c:v>115.35587104699047</c:v>
                </c:pt>
                <c:pt idx="88">
                  <c:v>114.52109401314587</c:v>
                </c:pt>
                <c:pt idx="89">
                  <c:v>117.29047812464239</c:v>
                </c:pt>
                <c:pt idx="90">
                  <c:v>117.84252664873185</c:v>
                </c:pt>
                <c:pt idx="91">
                  <c:v>117.13066566252368</c:v>
                </c:pt>
                <c:pt idx="92">
                  <c:v>119.31247621050231</c:v>
                </c:pt>
                <c:pt idx="93">
                  <c:v>119.48565489532257</c:v>
                </c:pt>
                <c:pt idx="94">
                  <c:v>120.89516909679139</c:v>
                </c:pt>
                <c:pt idx="95">
                  <c:v>120.85299568633879</c:v>
                </c:pt>
                <c:pt idx="96">
                  <c:v>119.99615311038686</c:v>
                </c:pt>
                <c:pt idx="97">
                  <c:v>120.79636294448503</c:v>
                </c:pt>
                <c:pt idx="98">
                  <c:v>119.55848214639886</c:v>
                </c:pt>
                <c:pt idx="99">
                  <c:v>118.81313063917344</c:v>
                </c:pt>
                <c:pt idx="100">
                  <c:v>119.70507944882674</c:v>
                </c:pt>
                <c:pt idx="101">
                  <c:v>118.77767103631233</c:v>
                </c:pt>
                <c:pt idx="102">
                  <c:v>119.17221546684588</c:v>
                </c:pt>
                <c:pt idx="103">
                  <c:v>120.66363475984659</c:v>
                </c:pt>
                <c:pt idx="104">
                  <c:v>122.72982965650354</c:v>
                </c:pt>
                <c:pt idx="105">
                  <c:v>122.6700412644777</c:v>
                </c:pt>
                <c:pt idx="106">
                  <c:v>122.39980904437151</c:v>
                </c:pt>
                <c:pt idx="107">
                  <c:v>121.89756727460856</c:v>
                </c:pt>
                <c:pt idx="108">
                  <c:v>122.91735823875111</c:v>
                </c:pt>
                <c:pt idx="109">
                  <c:v>125.17894197067127</c:v>
                </c:pt>
                <c:pt idx="110">
                  <c:v>124.52793046441847</c:v>
                </c:pt>
                <c:pt idx="111">
                  <c:v>124.93169226334986</c:v>
                </c:pt>
                <c:pt idx="112">
                  <c:v>125.18602054794893</c:v>
                </c:pt>
                <c:pt idx="113">
                  <c:v>125.67735875770914</c:v>
                </c:pt>
                <c:pt idx="114">
                  <c:v>125.38226219583322</c:v>
                </c:pt>
                <c:pt idx="115">
                  <c:v>124.19602502912151</c:v>
                </c:pt>
                <c:pt idx="116">
                  <c:v>124.89794289937284</c:v>
                </c:pt>
                <c:pt idx="117">
                  <c:v>125.49666270046427</c:v>
                </c:pt>
                <c:pt idx="118">
                  <c:v>126.2460487133425</c:v>
                </c:pt>
                <c:pt idx="119">
                  <c:v>125.4841492885804</c:v>
                </c:pt>
                <c:pt idx="120">
                  <c:v>125.97832394865237</c:v>
                </c:pt>
                <c:pt idx="121">
                  <c:v>128.36959283753174</c:v>
                </c:pt>
                <c:pt idx="122">
                  <c:v>126.93084843825142</c:v>
                </c:pt>
                <c:pt idx="123">
                  <c:v>127.17309699506217</c:v>
                </c:pt>
                <c:pt idx="124">
                  <c:v>127.64883365302974</c:v>
                </c:pt>
                <c:pt idx="125">
                  <c:v>127.86815699444004</c:v>
                </c:pt>
                <c:pt idx="126">
                  <c:v>128.048259076715</c:v>
                </c:pt>
                <c:pt idx="127">
                  <c:v>128.45522947350457</c:v>
                </c:pt>
                <c:pt idx="128">
                  <c:v>127.77430760946937</c:v>
                </c:pt>
                <c:pt idx="129">
                  <c:v>129.14709601238602</c:v>
                </c:pt>
                <c:pt idx="130">
                  <c:v>129.2840106941415</c:v>
                </c:pt>
                <c:pt idx="131">
                  <c:v>129.75447587440428</c:v>
                </c:pt>
                <c:pt idx="132">
                  <c:v>130.87500828944496</c:v>
                </c:pt>
                <c:pt idx="133">
                  <c:v>130.88121637919929</c:v>
                </c:pt>
                <c:pt idx="134">
                  <c:v>130.91059440390742</c:v>
                </c:pt>
                <c:pt idx="135">
                  <c:v>129.11808816503526</c:v>
                </c:pt>
                <c:pt idx="136">
                  <c:v>126.5970267428329</c:v>
                </c:pt>
                <c:pt idx="137">
                  <c:v>128.61788833436566</c:v>
                </c:pt>
                <c:pt idx="138">
                  <c:v>130.07634229224416</c:v>
                </c:pt>
                <c:pt idx="139">
                  <c:v>130.0222830204176</c:v>
                </c:pt>
                <c:pt idx="140">
                  <c:v>129.42306397828338</c:v>
                </c:pt>
                <c:pt idx="141">
                  <c:v>128.972862088455</c:v>
                </c:pt>
                <c:pt idx="142">
                  <c:v>129.44324897409356</c:v>
                </c:pt>
                <c:pt idx="143">
                  <c:v>129.85113518563784</c:v>
                </c:pt>
                <c:pt idx="144">
                  <c:v>130.70942623917136</c:v>
                </c:pt>
                <c:pt idx="145">
                  <c:v>130.39534516805759</c:v>
                </c:pt>
                <c:pt idx="146">
                  <c:v>130.38129617642201</c:v>
                </c:pt>
                <c:pt idx="147">
                  <c:v>130.75237032535725</c:v>
                </c:pt>
                <c:pt idx="148">
                  <c:v>130.87220381733582</c:v>
                </c:pt>
                <c:pt idx="149">
                  <c:v>131.47090950192472</c:v>
                </c:pt>
                <c:pt idx="150">
                  <c:v>131.90409014869644</c:v>
                </c:pt>
                <c:pt idx="151">
                  <c:v>131.88907232703428</c:v>
                </c:pt>
                <c:pt idx="152">
                  <c:v>132.87491902614258</c:v>
                </c:pt>
                <c:pt idx="153">
                  <c:v>132.79796116593869</c:v>
                </c:pt>
                <c:pt idx="154">
                  <c:v>132.86921102539119</c:v>
                </c:pt>
                <c:pt idx="155">
                  <c:v>132.28331270445449</c:v>
                </c:pt>
                <c:pt idx="156">
                  <c:v>131.5456613932997</c:v>
                </c:pt>
                <c:pt idx="157">
                  <c:v>131.81054695239553</c:v>
                </c:pt>
                <c:pt idx="158">
                  <c:v>131.32823811423376</c:v>
                </c:pt>
                <c:pt idx="159">
                  <c:v>131.3725068036058</c:v>
                </c:pt>
                <c:pt idx="160">
                  <c:v>129.85951031894157</c:v>
                </c:pt>
                <c:pt idx="161">
                  <c:v>128.51745528281262</c:v>
                </c:pt>
                <c:pt idx="162">
                  <c:v>126.61694110384045</c:v>
                </c:pt>
                <c:pt idx="163">
                  <c:v>129.43492771852812</c:v>
                </c:pt>
                <c:pt idx="164">
                  <c:v>129.62865037589739</c:v>
                </c:pt>
                <c:pt idx="165">
                  <c:v>129.25745582491106</c:v>
                </c:pt>
                <c:pt idx="166">
                  <c:v>130.66002953086891</c:v>
                </c:pt>
                <c:pt idx="167">
                  <c:v>131.11677845116043</c:v>
                </c:pt>
                <c:pt idx="168">
                  <c:v>130.19593740188409</c:v>
                </c:pt>
                <c:pt idx="169">
                  <c:v>130.0731272533169</c:v>
                </c:pt>
                <c:pt idx="170">
                  <c:v>131.49506778298914</c:v>
                </c:pt>
                <c:pt idx="171">
                  <c:v>131.41484737876087</c:v>
                </c:pt>
                <c:pt idx="172">
                  <c:v>130.65337408666585</c:v>
                </c:pt>
                <c:pt idx="173">
                  <c:v>130.03159974226296</c:v>
                </c:pt>
                <c:pt idx="174">
                  <c:v>130.72697727223013</c:v>
                </c:pt>
                <c:pt idx="175">
                  <c:v>129.99595695533324</c:v>
                </c:pt>
                <c:pt idx="176">
                  <c:v>131.59354531035461</c:v>
                </c:pt>
                <c:pt idx="177">
                  <c:v>131.70779030984636</c:v>
                </c:pt>
                <c:pt idx="178">
                  <c:v>131.40831243007733</c:v>
                </c:pt>
                <c:pt idx="179">
                  <c:v>131.20653694201178</c:v>
                </c:pt>
                <c:pt idx="180">
                  <c:v>131.32188096070524</c:v>
                </c:pt>
                <c:pt idx="181">
                  <c:v>130.10604574036935</c:v>
                </c:pt>
                <c:pt idx="182">
                  <c:v>127.96757900066167</c:v>
                </c:pt>
                <c:pt idx="183">
                  <c:v>130.20404133841845</c:v>
                </c:pt>
                <c:pt idx="184">
                  <c:v>131.37217164314242</c:v>
                </c:pt>
                <c:pt idx="185">
                  <c:v>131.14603987094404</c:v>
                </c:pt>
                <c:pt idx="186">
                  <c:v>132.15100243876935</c:v>
                </c:pt>
                <c:pt idx="187">
                  <c:v>132.59456672572816</c:v>
                </c:pt>
                <c:pt idx="188">
                  <c:v>132.36352221700002</c:v>
                </c:pt>
                <c:pt idx="189">
                  <c:v>131.70270957399913</c:v>
                </c:pt>
                <c:pt idx="190">
                  <c:v>132.20725080229209</c:v>
                </c:pt>
                <c:pt idx="191">
                  <c:v>131.09985969108223</c:v>
                </c:pt>
                <c:pt idx="192">
                  <c:v>130.78580180566371</c:v>
                </c:pt>
                <c:pt idx="193">
                  <c:v>132.26042028037384</c:v>
                </c:pt>
                <c:pt idx="194">
                  <c:v>131.11054761864565</c:v>
                </c:pt>
                <c:pt idx="195">
                  <c:v>132.38004712893004</c:v>
                </c:pt>
                <c:pt idx="196">
                  <c:v>133.04321651385354</c:v>
                </c:pt>
                <c:pt idx="197">
                  <c:v>132.29741324015907</c:v>
                </c:pt>
                <c:pt idx="198">
                  <c:v>133.20331789302861</c:v>
                </c:pt>
                <c:pt idx="199">
                  <c:v>134.67801909413137</c:v>
                </c:pt>
                <c:pt idx="200">
                  <c:v>134.44936734908006</c:v>
                </c:pt>
                <c:pt idx="201">
                  <c:v>134.21485098529979</c:v>
                </c:pt>
                <c:pt idx="202">
                  <c:v>134.53725029160361</c:v>
                </c:pt>
                <c:pt idx="203">
                  <c:v>133.50626284551171</c:v>
                </c:pt>
                <c:pt idx="204">
                  <c:v>131.50521702578834</c:v>
                </c:pt>
                <c:pt idx="205">
                  <c:v>130.6535455895048</c:v>
                </c:pt>
                <c:pt idx="206">
                  <c:v>131.82507062460436</c:v>
                </c:pt>
                <c:pt idx="207">
                  <c:v>132.35404580789481</c:v>
                </c:pt>
                <c:pt idx="208">
                  <c:v>132.47224774643402</c:v>
                </c:pt>
                <c:pt idx="209">
                  <c:v>133.4706133895393</c:v>
                </c:pt>
                <c:pt idx="210">
                  <c:v>132.21409886527047</c:v>
                </c:pt>
                <c:pt idx="211">
                  <c:v>132.90077090194953</c:v>
                </c:pt>
                <c:pt idx="212">
                  <c:v>132.4488080702431</c:v>
                </c:pt>
                <c:pt idx="213">
                  <c:v>132.99053887142304</c:v>
                </c:pt>
                <c:pt idx="214">
                  <c:v>132.10194900414541</c:v>
                </c:pt>
                <c:pt idx="215">
                  <c:v>132.44518834548299</c:v>
                </c:pt>
                <c:pt idx="216">
                  <c:v>131.88791922147584</c:v>
                </c:pt>
                <c:pt idx="217">
                  <c:v>130.88275946034818</c:v>
                </c:pt>
                <c:pt idx="218">
                  <c:v>130.79767726975436</c:v>
                </c:pt>
                <c:pt idx="219">
                  <c:v>130.10228629924609</c:v>
                </c:pt>
                <c:pt idx="220">
                  <c:v>129.56712945267373</c:v>
                </c:pt>
                <c:pt idx="221">
                  <c:v>130.32878333611291</c:v>
                </c:pt>
                <c:pt idx="222">
                  <c:v>129.12456748958738</c:v>
                </c:pt>
                <c:pt idx="223">
                  <c:v>130.38893384926314</c:v>
                </c:pt>
                <c:pt idx="224">
                  <c:v>130.27847008655922</c:v>
                </c:pt>
                <c:pt idx="225">
                  <c:v>129.3677748373799</c:v>
                </c:pt>
                <c:pt idx="226">
                  <c:v>126.90278296839324</c:v>
                </c:pt>
                <c:pt idx="227">
                  <c:v>126.93873825461499</c:v>
                </c:pt>
                <c:pt idx="228">
                  <c:v>128.33649265892785</c:v>
                </c:pt>
                <c:pt idx="229">
                  <c:v>130.43141704310381</c:v>
                </c:pt>
                <c:pt idx="230">
                  <c:v>131.0631181068461</c:v>
                </c:pt>
                <c:pt idx="231">
                  <c:v>131.35427604885552</c:v>
                </c:pt>
                <c:pt idx="232">
                  <c:v>129.58652640458035</c:v>
                </c:pt>
                <c:pt idx="233">
                  <c:v>129.52116292230886</c:v>
                </c:pt>
                <c:pt idx="234">
                  <c:v>127.8683964604467</c:v>
                </c:pt>
                <c:pt idx="235">
                  <c:v>130.15867625468397</c:v>
                </c:pt>
                <c:pt idx="236">
                  <c:v>129.3807426195176</c:v>
                </c:pt>
                <c:pt idx="237">
                  <c:v>129.92516778680019</c:v>
                </c:pt>
                <c:pt idx="238">
                  <c:v>129.94387053517207</c:v>
                </c:pt>
                <c:pt idx="239">
                  <c:v>130.83093678409608</c:v>
                </c:pt>
                <c:pt idx="240">
                  <c:v>131.33455264747326</c:v>
                </c:pt>
                <c:pt idx="241">
                  <c:v>130.56665532553347</c:v>
                </c:pt>
                <c:pt idx="242">
                  <c:v>129.82726745028563</c:v>
                </c:pt>
                <c:pt idx="243">
                  <c:v>128.9016404724575</c:v>
                </c:pt>
                <c:pt idx="244">
                  <c:v>131.3004645643519</c:v>
                </c:pt>
                <c:pt idx="245">
                  <c:v>133.01439356544165</c:v>
                </c:pt>
                <c:pt idx="246">
                  <c:v>132.91539571272548</c:v>
                </c:pt>
                <c:pt idx="247">
                  <c:v>133.92169765426095</c:v>
                </c:pt>
                <c:pt idx="248">
                  <c:v>134.80515481694337</c:v>
                </c:pt>
                <c:pt idx="249">
                  <c:v>131.09876656024738</c:v>
                </c:pt>
                <c:pt idx="250">
                  <c:v>132.38691510302567</c:v>
                </c:pt>
                <c:pt idx="251">
                  <c:v>132.12382902667395</c:v>
                </c:pt>
                <c:pt idx="252">
                  <c:v>131.36040129502817</c:v>
                </c:pt>
                <c:pt idx="253">
                  <c:v>130.53518256928794</c:v>
                </c:pt>
                <c:pt idx="254">
                  <c:v>131.38997778584405</c:v>
                </c:pt>
                <c:pt idx="255">
                  <c:v>131.65305236260551</c:v>
                </c:pt>
                <c:pt idx="256">
                  <c:v>132.15497652633556</c:v>
                </c:pt>
                <c:pt idx="257">
                  <c:v>132.36121242474979</c:v>
                </c:pt>
                <c:pt idx="258">
                  <c:v>132.30213441240824</c:v>
                </c:pt>
                <c:pt idx="259">
                  <c:v>132.47430649290024</c:v>
                </c:pt>
                <c:pt idx="260">
                  <c:v>133.94718072064404</c:v>
                </c:pt>
                <c:pt idx="261">
                  <c:v>135.50085442705006</c:v>
                </c:pt>
                <c:pt idx="262">
                  <c:v>133.9385513697348</c:v>
                </c:pt>
                <c:pt idx="263">
                  <c:v>133.06977897504578</c:v>
                </c:pt>
                <c:pt idx="264">
                  <c:v>133.37914976764947</c:v>
                </c:pt>
                <c:pt idx="265">
                  <c:v>133.23268317818705</c:v>
                </c:pt>
                <c:pt idx="266">
                  <c:v>133.00568694077049</c:v>
                </c:pt>
                <c:pt idx="267">
                  <c:v>131.75166063316445</c:v>
                </c:pt>
                <c:pt idx="268">
                  <c:v>130.90413325882116</c:v>
                </c:pt>
                <c:pt idx="269">
                  <c:v>130.19869438000708</c:v>
                </c:pt>
                <c:pt idx="270">
                  <c:v>129.46287861338453</c:v>
                </c:pt>
                <c:pt idx="271">
                  <c:v>129.74190684992155</c:v>
                </c:pt>
                <c:pt idx="272">
                  <c:v>130.24475259979974</c:v>
                </c:pt>
                <c:pt idx="273">
                  <c:v>130.68796590070394</c:v>
                </c:pt>
                <c:pt idx="274">
                  <c:v>126.56939321556267</c:v>
                </c:pt>
                <c:pt idx="275">
                  <c:v>127.15890244183036</c:v>
                </c:pt>
                <c:pt idx="276">
                  <c:v>124.88818462174724</c:v>
                </c:pt>
                <c:pt idx="277">
                  <c:v>123.55094617832667</c:v>
                </c:pt>
                <c:pt idx="278">
                  <c:v>124.82962126811613</c:v>
                </c:pt>
                <c:pt idx="279">
                  <c:v>125.45980726486299</c:v>
                </c:pt>
                <c:pt idx="280">
                  <c:v>127.35153428710264</c:v>
                </c:pt>
                <c:pt idx="281">
                  <c:v>129.52226522377978</c:v>
                </c:pt>
                <c:pt idx="282">
                  <c:v>129.92097448640223</c:v>
                </c:pt>
                <c:pt idx="283">
                  <c:v>130.12461858999268</c:v>
                </c:pt>
                <c:pt idx="284">
                  <c:v>131.09678450102831</c:v>
                </c:pt>
                <c:pt idx="285">
                  <c:v>130.21620415004506</c:v>
                </c:pt>
                <c:pt idx="286">
                  <c:v>130.21874192620089</c:v>
                </c:pt>
                <c:pt idx="287">
                  <c:v>130.55354624411441</c:v>
                </c:pt>
                <c:pt idx="288">
                  <c:v>130.87408248493432</c:v>
                </c:pt>
                <c:pt idx="289">
                  <c:v>129.31361348810574</c:v>
                </c:pt>
                <c:pt idx="290">
                  <c:v>127.81004553337331</c:v>
                </c:pt>
                <c:pt idx="291">
                  <c:v>129.94312243597662</c:v>
                </c:pt>
                <c:pt idx="292">
                  <c:v>131.19306814528341</c:v>
                </c:pt>
                <c:pt idx="293">
                  <c:v>132.17053802801624</c:v>
                </c:pt>
                <c:pt idx="294">
                  <c:v>133.18911531842977</c:v>
                </c:pt>
                <c:pt idx="295">
                  <c:v>133.86000745243265</c:v>
                </c:pt>
                <c:pt idx="296">
                  <c:v>134.07245437927742</c:v>
                </c:pt>
                <c:pt idx="297">
                  <c:v>134.0928924495243</c:v>
                </c:pt>
                <c:pt idx="298">
                  <c:v>134.16511655852847</c:v>
                </c:pt>
                <c:pt idx="299">
                  <c:v>135.4845914724566</c:v>
                </c:pt>
                <c:pt idx="300">
                  <c:v>137.21509710912233</c:v>
                </c:pt>
                <c:pt idx="301">
                  <c:v>136.8503474221732</c:v>
                </c:pt>
                <c:pt idx="302">
                  <c:v>136.24629811085515</c:v>
                </c:pt>
                <c:pt idx="303">
                  <c:v>136.86239789828653</c:v>
                </c:pt>
                <c:pt idx="304">
                  <c:v>136.50709491680516</c:v>
                </c:pt>
                <c:pt idx="305">
                  <c:v>135.938914701562</c:v>
                </c:pt>
                <c:pt idx="306">
                  <c:v>136.29573970882757</c:v>
                </c:pt>
                <c:pt idx="307">
                  <c:v>136.55808891108276</c:v>
                </c:pt>
                <c:pt idx="308">
                  <c:v>136.10948935506184</c:v>
                </c:pt>
                <c:pt idx="309">
                  <c:v>134.51342732508402</c:v>
                </c:pt>
                <c:pt idx="310">
                  <c:v>132.91286450944415</c:v>
                </c:pt>
                <c:pt idx="311">
                  <c:v>131.4449513569958</c:v>
                </c:pt>
                <c:pt idx="312">
                  <c:v>129.88453769762512</c:v>
                </c:pt>
                <c:pt idx="313">
                  <c:v>129.81382114942659</c:v>
                </c:pt>
                <c:pt idx="314">
                  <c:v>132.94918203674999</c:v>
                </c:pt>
                <c:pt idx="315">
                  <c:v>133.00072799213427</c:v>
                </c:pt>
                <c:pt idx="316">
                  <c:v>132.01859835667918</c:v>
                </c:pt>
                <c:pt idx="317">
                  <c:v>133.03817006244367</c:v>
                </c:pt>
                <c:pt idx="318">
                  <c:v>133.88652751377978</c:v>
                </c:pt>
                <c:pt idx="319">
                  <c:v>135.49278422964903</c:v>
                </c:pt>
                <c:pt idx="320">
                  <c:v>136.28072057633943</c:v>
                </c:pt>
                <c:pt idx="321">
                  <c:v>135.21099026625492</c:v>
                </c:pt>
                <c:pt idx="322">
                  <c:v>134.97918719035053</c:v>
                </c:pt>
                <c:pt idx="323">
                  <c:v>134.85066327228671</c:v>
                </c:pt>
                <c:pt idx="324">
                  <c:v>136.06270560510643</c:v>
                </c:pt>
                <c:pt idx="325">
                  <c:v>137.18459417621392</c:v>
                </c:pt>
                <c:pt idx="326">
                  <c:v>134.93477583073263</c:v>
                </c:pt>
                <c:pt idx="327">
                  <c:v>133.3843891401639</c:v>
                </c:pt>
                <c:pt idx="328">
                  <c:v>132.29640479989004</c:v>
                </c:pt>
                <c:pt idx="329">
                  <c:v>133.81337478902896</c:v>
                </c:pt>
                <c:pt idx="330">
                  <c:v>133.42904098874274</c:v>
                </c:pt>
                <c:pt idx="331">
                  <c:v>131.54820112119432</c:v>
                </c:pt>
                <c:pt idx="332">
                  <c:v>130.58047857263836</c:v>
                </c:pt>
                <c:pt idx="333">
                  <c:v>129.7124745017932</c:v>
                </c:pt>
                <c:pt idx="334">
                  <c:v>127.44355603910823</c:v>
                </c:pt>
                <c:pt idx="335">
                  <c:v>127.89757482878021</c:v>
                </c:pt>
                <c:pt idx="336">
                  <c:v>130.07380213394083</c:v>
                </c:pt>
                <c:pt idx="337">
                  <c:v>129.58970321918088</c:v>
                </c:pt>
                <c:pt idx="338">
                  <c:v>126.52950065243937</c:v>
                </c:pt>
                <c:pt idx="339">
                  <c:v>129.05737267028147</c:v>
                </c:pt>
                <c:pt idx="340">
                  <c:v>130.25382276567458</c:v>
                </c:pt>
                <c:pt idx="341">
                  <c:v>129.94455275222586</c:v>
                </c:pt>
                <c:pt idx="342">
                  <c:v>126.98754427702373</c:v>
                </c:pt>
                <c:pt idx="343">
                  <c:v>127.7045900272027</c:v>
                </c:pt>
                <c:pt idx="344">
                  <c:v>130.11566594511035</c:v>
                </c:pt>
                <c:pt idx="345">
                  <c:v>130.41479668126067</c:v>
                </c:pt>
                <c:pt idx="346">
                  <c:v>129.9085659626395</c:v>
                </c:pt>
                <c:pt idx="347">
                  <c:v>130.865281362932</c:v>
                </c:pt>
                <c:pt idx="348">
                  <c:v>132.98954240016056</c:v>
                </c:pt>
                <c:pt idx="349">
                  <c:v>134.40162292794562</c:v>
                </c:pt>
                <c:pt idx="350">
                  <c:v>136.15930735743561</c:v>
                </c:pt>
                <c:pt idx="351">
                  <c:v>137.25843472668262</c:v>
                </c:pt>
                <c:pt idx="352">
                  <c:v>136.80130838575366</c:v>
                </c:pt>
                <c:pt idx="353">
                  <c:v>137.50663448087971</c:v>
                </c:pt>
                <c:pt idx="354">
                  <c:v>135.81399724675725</c:v>
                </c:pt>
                <c:pt idx="355">
                  <c:v>136.97447692920815</c:v>
                </c:pt>
                <c:pt idx="356">
                  <c:v>138.00924016847026</c:v>
                </c:pt>
                <c:pt idx="357">
                  <c:v>138.79628063568799</c:v>
                </c:pt>
                <c:pt idx="358">
                  <c:v>139.57496697003617</c:v>
                </c:pt>
                <c:pt idx="359">
                  <c:v>140.1479530825022</c:v>
                </c:pt>
                <c:pt idx="360">
                  <c:v>138.56790198947277</c:v>
                </c:pt>
                <c:pt idx="361">
                  <c:v>138.81406421137018</c:v>
                </c:pt>
                <c:pt idx="362">
                  <c:v>139.38302712427256</c:v>
                </c:pt>
                <c:pt idx="363">
                  <c:v>137.97518476110875</c:v>
                </c:pt>
                <c:pt idx="364">
                  <c:v>137.91444129916783</c:v>
                </c:pt>
                <c:pt idx="365">
                  <c:v>137.87439242264563</c:v>
                </c:pt>
                <c:pt idx="366">
                  <c:v>137.83813970612258</c:v>
                </c:pt>
                <c:pt idx="367">
                  <c:v>135.07710964312773</c:v>
                </c:pt>
                <c:pt idx="368">
                  <c:v>134.31821926411479</c:v>
                </c:pt>
                <c:pt idx="369">
                  <c:v>136.27777238537547</c:v>
                </c:pt>
                <c:pt idx="370">
                  <c:v>137.10329667053742</c:v>
                </c:pt>
                <c:pt idx="371">
                  <c:v>137.49971460343951</c:v>
                </c:pt>
                <c:pt idx="372">
                  <c:v>139.68039537100773</c:v>
                </c:pt>
                <c:pt idx="373">
                  <c:v>143.35287863245679</c:v>
                </c:pt>
                <c:pt idx="374">
                  <c:v>142.79177898763615</c:v>
                </c:pt>
                <c:pt idx="375">
                  <c:v>138.79529441243062</c:v>
                </c:pt>
                <c:pt idx="376">
                  <c:v>140.08291260882973</c:v>
                </c:pt>
                <c:pt idx="377">
                  <c:v>136.7242394347478</c:v>
                </c:pt>
                <c:pt idx="378">
                  <c:v>137.36829137035619</c:v>
                </c:pt>
                <c:pt idx="379">
                  <c:v>138.86648185921956</c:v>
                </c:pt>
                <c:pt idx="380">
                  <c:v>135.15005713354179</c:v>
                </c:pt>
                <c:pt idx="381">
                  <c:v>135.35848600662422</c:v>
                </c:pt>
                <c:pt idx="382">
                  <c:v>135.38573125813204</c:v>
                </c:pt>
                <c:pt idx="383">
                  <c:v>139.55137772421287</c:v>
                </c:pt>
                <c:pt idx="384">
                  <c:v>136.17299982498457</c:v>
                </c:pt>
                <c:pt idx="385">
                  <c:v>135.11213709742867</c:v>
                </c:pt>
                <c:pt idx="386">
                  <c:v>132.05657279807301</c:v>
                </c:pt>
                <c:pt idx="387">
                  <c:v>130.31791183262476</c:v>
                </c:pt>
                <c:pt idx="388">
                  <c:v>129.72485445318929</c:v>
                </c:pt>
                <c:pt idx="389">
                  <c:v>128.72792265567026</c:v>
                </c:pt>
                <c:pt idx="390">
                  <c:v>130.45600717440527</c:v>
                </c:pt>
                <c:pt idx="391">
                  <c:v>130.83898670355094</c:v>
                </c:pt>
                <c:pt idx="392">
                  <c:v>130.27347532164924</c:v>
                </c:pt>
                <c:pt idx="393">
                  <c:v>124.60096396400765</c:v>
                </c:pt>
                <c:pt idx="394">
                  <c:v>122.48441646154335</c:v>
                </c:pt>
                <c:pt idx="395">
                  <c:v>121.14949917232484</c:v>
                </c:pt>
                <c:pt idx="396">
                  <c:v>124.70554976291309</c:v>
                </c:pt>
                <c:pt idx="397">
                  <c:v>125.3130027462755</c:v>
                </c:pt>
                <c:pt idx="398">
                  <c:v>126.61906155138259</c:v>
                </c:pt>
                <c:pt idx="399">
                  <c:v>129.21570745808225</c:v>
                </c:pt>
                <c:pt idx="400">
                  <c:v>131.96437215180302</c:v>
                </c:pt>
                <c:pt idx="401">
                  <c:v>131.54478948202328</c:v>
                </c:pt>
                <c:pt idx="402">
                  <c:v>130.7268361990277</c:v>
                </c:pt>
                <c:pt idx="403">
                  <c:v>132.29355612577004</c:v>
                </c:pt>
                <c:pt idx="404">
                  <c:v>131.69564450155494</c:v>
                </c:pt>
                <c:pt idx="405">
                  <c:v>132.0415073961511</c:v>
                </c:pt>
                <c:pt idx="406">
                  <c:v>132.51992511196084</c:v>
                </c:pt>
                <c:pt idx="407">
                  <c:v>131.4843993788318</c:v>
                </c:pt>
                <c:pt idx="408">
                  <c:v>128.70215976230318</c:v>
                </c:pt>
                <c:pt idx="409">
                  <c:v>125.77509727101162</c:v>
                </c:pt>
                <c:pt idx="410">
                  <c:v>122.12546955297383</c:v>
                </c:pt>
                <c:pt idx="411">
                  <c:v>122.15605445053176</c:v>
                </c:pt>
                <c:pt idx="412">
                  <c:v>123.16543052069559</c:v>
                </c:pt>
                <c:pt idx="413">
                  <c:v>120.0972351730894</c:v>
                </c:pt>
                <c:pt idx="414">
                  <c:v>120.49835235051884</c:v>
                </c:pt>
                <c:pt idx="415">
                  <c:v>122.97605018151799</c:v>
                </c:pt>
                <c:pt idx="416">
                  <c:v>121.44476193293296</c:v>
                </c:pt>
                <c:pt idx="417">
                  <c:v>121.36817924272913</c:v>
                </c:pt>
                <c:pt idx="418">
                  <c:v>124.36588019797817</c:v>
                </c:pt>
                <c:pt idx="419">
                  <c:v>124.38494060502306</c:v>
                </c:pt>
                <c:pt idx="420">
                  <c:v>122.8557363386646</c:v>
                </c:pt>
                <c:pt idx="421">
                  <c:v>121.83856768667879</c:v>
                </c:pt>
                <c:pt idx="422">
                  <c:v>120.97960062988577</c:v>
                </c:pt>
                <c:pt idx="423">
                  <c:v>121.62187905401534</c:v>
                </c:pt>
                <c:pt idx="424">
                  <c:v>120.71502799866633</c:v>
                </c:pt>
                <c:pt idx="425">
                  <c:v>120.80828825911026</c:v>
                </c:pt>
                <c:pt idx="426">
                  <c:v>123.08160305650871</c:v>
                </c:pt>
                <c:pt idx="427">
                  <c:v>122.95344665827005</c:v>
                </c:pt>
                <c:pt idx="428">
                  <c:v>122.21937351823513</c:v>
                </c:pt>
                <c:pt idx="429">
                  <c:v>120.70795471885113</c:v>
                </c:pt>
                <c:pt idx="430">
                  <c:v>120.19737361950895</c:v>
                </c:pt>
                <c:pt idx="431">
                  <c:v>120.32034103285059</c:v>
                </c:pt>
                <c:pt idx="432">
                  <c:v>122.39032509652077</c:v>
                </c:pt>
                <c:pt idx="433">
                  <c:v>121.72149233317637</c:v>
                </c:pt>
                <c:pt idx="434">
                  <c:v>122.10322024140257</c:v>
                </c:pt>
                <c:pt idx="435">
                  <c:v>122.31303232083133</c:v>
                </c:pt>
                <c:pt idx="436">
                  <c:v>122.66326295388568</c:v>
                </c:pt>
                <c:pt idx="437">
                  <c:v>122.76986919253193</c:v>
                </c:pt>
                <c:pt idx="438">
                  <c:v>123.20201356568666</c:v>
                </c:pt>
                <c:pt idx="439">
                  <c:v>119.84641372096523</c:v>
                </c:pt>
                <c:pt idx="440">
                  <c:v>122.97199158569236</c:v>
                </c:pt>
                <c:pt idx="441">
                  <c:v>124.54256964897088</c:v>
                </c:pt>
                <c:pt idx="442">
                  <c:v>127.19594341368793</c:v>
                </c:pt>
                <c:pt idx="443">
                  <c:v>126.98163127466729</c:v>
                </c:pt>
                <c:pt idx="444">
                  <c:v>125.21638200365722</c:v>
                </c:pt>
                <c:pt idx="445">
                  <c:v>125.91124757441654</c:v>
                </c:pt>
                <c:pt idx="446">
                  <c:v>125.05399334707732</c:v>
                </c:pt>
                <c:pt idx="447">
                  <c:v>125.7494024188956</c:v>
                </c:pt>
                <c:pt idx="448">
                  <c:v>125.86990534497338</c:v>
                </c:pt>
                <c:pt idx="449">
                  <c:v>125.71262245671868</c:v>
                </c:pt>
                <c:pt idx="450">
                  <c:v>127.83131288937322</c:v>
                </c:pt>
                <c:pt idx="451">
                  <c:v>128.58107008835867</c:v>
                </c:pt>
                <c:pt idx="452">
                  <c:v>130.56217264265993</c:v>
                </c:pt>
                <c:pt idx="453">
                  <c:v>130.8243004889645</c:v>
                </c:pt>
                <c:pt idx="454">
                  <c:v>132.87881816972774</c:v>
                </c:pt>
                <c:pt idx="455">
                  <c:v>132.74547218505987</c:v>
                </c:pt>
                <c:pt idx="456">
                  <c:v>133.19615514840248</c:v>
                </c:pt>
                <c:pt idx="457">
                  <c:v>131.73572450028288</c:v>
                </c:pt>
                <c:pt idx="458">
                  <c:v>128.78853495908393</c:v>
                </c:pt>
                <c:pt idx="459">
                  <c:v>128.93530847795677</c:v>
                </c:pt>
                <c:pt idx="460">
                  <c:v>128.64784484161731</c:v>
                </c:pt>
                <c:pt idx="461">
                  <c:v>130.2516370125127</c:v>
                </c:pt>
                <c:pt idx="462">
                  <c:v>126.14229862917814</c:v>
                </c:pt>
                <c:pt idx="463">
                  <c:v>125.76364469178435</c:v>
                </c:pt>
                <c:pt idx="464">
                  <c:v>124.81749370994977</c:v>
                </c:pt>
                <c:pt idx="465">
                  <c:v>123.76564523234038</c:v>
                </c:pt>
                <c:pt idx="466">
                  <c:v>124.02460027279488</c:v>
                </c:pt>
                <c:pt idx="467">
                  <c:v>122.54185738073825</c:v>
                </c:pt>
                <c:pt idx="468">
                  <c:v>121.73012261999949</c:v>
                </c:pt>
                <c:pt idx="469">
                  <c:v>123.61714430922477</c:v>
                </c:pt>
                <c:pt idx="470">
                  <c:v>124.45322663580187</c:v>
                </c:pt>
                <c:pt idx="471">
                  <c:v>126.62258534457224</c:v>
                </c:pt>
                <c:pt idx="472">
                  <c:v>128.36653454173324</c:v>
                </c:pt>
                <c:pt idx="473">
                  <c:v>123.87451582601207</c:v>
                </c:pt>
                <c:pt idx="474">
                  <c:v>124.13108417659946</c:v>
                </c:pt>
                <c:pt idx="475">
                  <c:v>122.50656620323726</c:v>
                </c:pt>
                <c:pt idx="476">
                  <c:v>122.07818704834395</c:v>
                </c:pt>
                <c:pt idx="477">
                  <c:v>123.07354153593857</c:v>
                </c:pt>
                <c:pt idx="478">
                  <c:v>121.6300194194567</c:v>
                </c:pt>
                <c:pt idx="479">
                  <c:v>119.83822284563213</c:v>
                </c:pt>
                <c:pt idx="480">
                  <c:v>118.7577992446823</c:v>
                </c:pt>
                <c:pt idx="481">
                  <c:v>116.01776527758535</c:v>
                </c:pt>
                <c:pt idx="482">
                  <c:v>115.41346448650221</c:v>
                </c:pt>
                <c:pt idx="483">
                  <c:v>115.18702747418057</c:v>
                </c:pt>
                <c:pt idx="484">
                  <c:v>117.32972288003027</c:v>
                </c:pt>
                <c:pt idx="485">
                  <c:v>115.95360453536202</c:v>
                </c:pt>
                <c:pt idx="486">
                  <c:v>113.71989537154256</c:v>
                </c:pt>
                <c:pt idx="487">
                  <c:v>117.19312560376713</c:v>
                </c:pt>
                <c:pt idx="488">
                  <c:v>120.99360279931643</c:v>
                </c:pt>
                <c:pt idx="489">
                  <c:v>120.49471756872224</c:v>
                </c:pt>
                <c:pt idx="490">
                  <c:v>118.88317058224087</c:v>
                </c:pt>
                <c:pt idx="491">
                  <c:v>115.81617723905708</c:v>
                </c:pt>
                <c:pt idx="492">
                  <c:v>115.22950876278871</c:v>
                </c:pt>
                <c:pt idx="493">
                  <c:v>115.73140850058543</c:v>
                </c:pt>
                <c:pt idx="494">
                  <c:v>115.27442820025801</c:v>
                </c:pt>
                <c:pt idx="495">
                  <c:v>118.40974365357854</c:v>
                </c:pt>
                <c:pt idx="496">
                  <c:v>115.86902487642112</c:v>
                </c:pt>
                <c:pt idx="497">
                  <c:v>118.13804530717621</c:v>
                </c:pt>
                <c:pt idx="498">
                  <c:v>120.16046998872089</c:v>
                </c:pt>
                <c:pt idx="499">
                  <c:v>119.60715154511061</c:v>
                </c:pt>
                <c:pt idx="500">
                  <c:v>120.52733999748573</c:v>
                </c:pt>
                <c:pt idx="501">
                  <c:v>122.61809455075182</c:v>
                </c:pt>
                <c:pt idx="502">
                  <c:v>124.61226418660988</c:v>
                </c:pt>
                <c:pt idx="503">
                  <c:v>126.35039815865973</c:v>
                </c:pt>
                <c:pt idx="504">
                  <c:v>125.96771063379546</c:v>
                </c:pt>
                <c:pt idx="505">
                  <c:v>127.14323620571909</c:v>
                </c:pt>
                <c:pt idx="506">
                  <c:v>130.49263616082177</c:v>
                </c:pt>
                <c:pt idx="507">
                  <c:v>129.4874985897049</c:v>
                </c:pt>
                <c:pt idx="508">
                  <c:v>129.00673280779557</c:v>
                </c:pt>
                <c:pt idx="509">
                  <c:v>126.82975911865897</c:v>
                </c:pt>
                <c:pt idx="510">
                  <c:v>125.51634051718889</c:v>
                </c:pt>
                <c:pt idx="511">
                  <c:v>128.55879242080621</c:v>
                </c:pt>
                <c:pt idx="512">
                  <c:v>130.1967835736549</c:v>
                </c:pt>
                <c:pt idx="513">
                  <c:v>131.45464821166843</c:v>
                </c:pt>
                <c:pt idx="514">
                  <c:v>128.59073880159914</c:v>
                </c:pt>
                <c:pt idx="515">
                  <c:v>133.82099150393995</c:v>
                </c:pt>
                <c:pt idx="516">
                  <c:v>135.11130163417511</c:v>
                </c:pt>
                <c:pt idx="517">
                  <c:v>133.93866678576006</c:v>
                </c:pt>
                <c:pt idx="518">
                  <c:v>135.74470553892667</c:v>
                </c:pt>
                <c:pt idx="519">
                  <c:v>135.55096624831279</c:v>
                </c:pt>
                <c:pt idx="520">
                  <c:v>135.32065284372223</c:v>
                </c:pt>
                <c:pt idx="521">
                  <c:v>136.56016275650632</c:v>
                </c:pt>
                <c:pt idx="522">
                  <c:v>136.69239459883769</c:v>
                </c:pt>
                <c:pt idx="523">
                  <c:v>138.46952384816703</c:v>
                </c:pt>
                <c:pt idx="524">
                  <c:v>138.58779747964985</c:v>
                </c:pt>
                <c:pt idx="525">
                  <c:v>138.52847026154205</c:v>
                </c:pt>
                <c:pt idx="526">
                  <c:v>136.70497614693545</c:v>
                </c:pt>
                <c:pt idx="527">
                  <c:v>137.46636337512919</c:v>
                </c:pt>
                <c:pt idx="528">
                  <c:v>139.82738350447849</c:v>
                </c:pt>
                <c:pt idx="529">
                  <c:v>139.96324483155726</c:v>
                </c:pt>
                <c:pt idx="530">
                  <c:v>139.74766251969965</c:v>
                </c:pt>
                <c:pt idx="531">
                  <c:v>138.26358212555624</c:v>
                </c:pt>
                <c:pt idx="532">
                  <c:v>136.86735248575633</c:v>
                </c:pt>
                <c:pt idx="533">
                  <c:v>136.67348254551757</c:v>
                </c:pt>
                <c:pt idx="534">
                  <c:v>137.05768401994945</c:v>
                </c:pt>
                <c:pt idx="535">
                  <c:v>135.60390380799385</c:v>
                </c:pt>
                <c:pt idx="536">
                  <c:v>138.42315593022684</c:v>
                </c:pt>
                <c:pt idx="537">
                  <c:v>139.27361847363835</c:v>
                </c:pt>
                <c:pt idx="538">
                  <c:v>138.26252616060731</c:v>
                </c:pt>
                <c:pt idx="539">
                  <c:v>134.41553535172255</c:v>
                </c:pt>
                <c:pt idx="540">
                  <c:v>132.50987611419197</c:v>
                </c:pt>
                <c:pt idx="541">
                  <c:v>131.60179632941379</c:v>
                </c:pt>
                <c:pt idx="542">
                  <c:v>132.98675646687363</c:v>
                </c:pt>
                <c:pt idx="543">
                  <c:v>134.51946588502688</c:v>
                </c:pt>
                <c:pt idx="544">
                  <c:v>132.65466641594847</c:v>
                </c:pt>
                <c:pt idx="545">
                  <c:v>133.4733757003778</c:v>
                </c:pt>
                <c:pt idx="546">
                  <c:v>133.74705156196063</c:v>
                </c:pt>
                <c:pt idx="547">
                  <c:v>131.64256833456128</c:v>
                </c:pt>
                <c:pt idx="548">
                  <c:v>133.25083864300893</c:v>
                </c:pt>
                <c:pt idx="549">
                  <c:v>133.05429858753047</c:v>
                </c:pt>
                <c:pt idx="550">
                  <c:v>133.41776973553263</c:v>
                </c:pt>
                <c:pt idx="551">
                  <c:v>133.74279133106492</c:v>
                </c:pt>
                <c:pt idx="552">
                  <c:v>131.90352769372299</c:v>
                </c:pt>
                <c:pt idx="553">
                  <c:v>134.95746559026404</c:v>
                </c:pt>
                <c:pt idx="554">
                  <c:v>134.55795890642941</c:v>
                </c:pt>
                <c:pt idx="555">
                  <c:v>135.64015121909716</c:v>
                </c:pt>
                <c:pt idx="556">
                  <c:v>136.94245068428515</c:v>
                </c:pt>
                <c:pt idx="557">
                  <c:v>137.5364195771362</c:v>
                </c:pt>
                <c:pt idx="558">
                  <c:v>138.23893273207023</c:v>
                </c:pt>
                <c:pt idx="559">
                  <c:v>137.41777481826165</c:v>
                </c:pt>
                <c:pt idx="560">
                  <c:v>134.16770992667966</c:v>
                </c:pt>
                <c:pt idx="561">
                  <c:v>132.23620813100302</c:v>
                </c:pt>
                <c:pt idx="562">
                  <c:v>134.59321362982101</c:v>
                </c:pt>
                <c:pt idx="563">
                  <c:v>136.08415583028591</c:v>
                </c:pt>
                <c:pt idx="564">
                  <c:v>136.69761150199247</c:v>
                </c:pt>
                <c:pt idx="565">
                  <c:v>136.56950620056799</c:v>
                </c:pt>
                <c:pt idx="566">
                  <c:v>135.62036464447993</c:v>
                </c:pt>
                <c:pt idx="567">
                  <c:v>138.81824626930967</c:v>
                </c:pt>
                <c:pt idx="568">
                  <c:v>138.18211657699007</c:v>
                </c:pt>
                <c:pt idx="569">
                  <c:v>138.32595342163324</c:v>
                </c:pt>
                <c:pt idx="570">
                  <c:v>138.52083504347252</c:v>
                </c:pt>
                <c:pt idx="571">
                  <c:v>139.05219850137885</c:v>
                </c:pt>
                <c:pt idx="572">
                  <c:v>139.50280012552628</c:v>
                </c:pt>
                <c:pt idx="573">
                  <c:v>138.93355963917492</c:v>
                </c:pt>
                <c:pt idx="574">
                  <c:v>139.88674162599474</c:v>
                </c:pt>
                <c:pt idx="575">
                  <c:v>139.66941609268497</c:v>
                </c:pt>
                <c:pt idx="576">
                  <c:v>138.90998841152924</c:v>
                </c:pt>
                <c:pt idx="577">
                  <c:v>140.00270191753748</c:v>
                </c:pt>
                <c:pt idx="578">
                  <c:v>141.94288606036321</c:v>
                </c:pt>
                <c:pt idx="579">
                  <c:v>141.11738889639221</c:v>
                </c:pt>
                <c:pt idx="580">
                  <c:v>141.63149734324674</c:v>
                </c:pt>
                <c:pt idx="581">
                  <c:v>139.5856929385514</c:v>
                </c:pt>
                <c:pt idx="582">
                  <c:v>139.78215248156823</c:v>
                </c:pt>
                <c:pt idx="583">
                  <c:v>137.36835484682254</c:v>
                </c:pt>
                <c:pt idx="584">
                  <c:v>136.33629891028082</c:v>
                </c:pt>
                <c:pt idx="585">
                  <c:v>136.1454499839451</c:v>
                </c:pt>
                <c:pt idx="586">
                  <c:v>135.44766616432068</c:v>
                </c:pt>
                <c:pt idx="587">
                  <c:v>135.50842837821827</c:v>
                </c:pt>
                <c:pt idx="588">
                  <c:v>135.32387387635956</c:v>
                </c:pt>
                <c:pt idx="589">
                  <c:v>135.50966862734822</c:v>
                </c:pt>
                <c:pt idx="590">
                  <c:v>136.40674809691617</c:v>
                </c:pt>
                <c:pt idx="591">
                  <c:v>137.81737194884613</c:v>
                </c:pt>
                <c:pt idx="592">
                  <c:v>137.96326580865315</c:v>
                </c:pt>
                <c:pt idx="593">
                  <c:v>135.61339882539775</c:v>
                </c:pt>
                <c:pt idx="594">
                  <c:v>135.43586901848593</c:v>
                </c:pt>
                <c:pt idx="595">
                  <c:v>133.45730045167375</c:v>
                </c:pt>
                <c:pt idx="596">
                  <c:v>130.66475451949739</c:v>
                </c:pt>
                <c:pt idx="597">
                  <c:v>129.72285327360336</c:v>
                </c:pt>
                <c:pt idx="598">
                  <c:v>131.18918525017887</c:v>
                </c:pt>
                <c:pt idx="599">
                  <c:v>129.98618179638996</c:v>
                </c:pt>
                <c:pt idx="600">
                  <c:v>131.13362283525484</c:v>
                </c:pt>
                <c:pt idx="601">
                  <c:v>130.25813017582175</c:v>
                </c:pt>
                <c:pt idx="602">
                  <c:v>131.65819146101816</c:v>
                </c:pt>
                <c:pt idx="603">
                  <c:v>133.24100911998053</c:v>
                </c:pt>
                <c:pt idx="604">
                  <c:v>131.43757817425021</c:v>
                </c:pt>
                <c:pt idx="605">
                  <c:v>131.78352237067006</c:v>
                </c:pt>
                <c:pt idx="606">
                  <c:v>132.07106959286128</c:v>
                </c:pt>
                <c:pt idx="607">
                  <c:v>134.08878060775825</c:v>
                </c:pt>
                <c:pt idx="608">
                  <c:v>133.50835094405738</c:v>
                </c:pt>
                <c:pt idx="609">
                  <c:v>135.10034621529218</c:v>
                </c:pt>
                <c:pt idx="610">
                  <c:v>135.46996254710669</c:v>
                </c:pt>
                <c:pt idx="611">
                  <c:v>137.50757354069734</c:v>
                </c:pt>
                <c:pt idx="612">
                  <c:v>137.89026846072093</c:v>
                </c:pt>
                <c:pt idx="613">
                  <c:v>135.99084629974186</c:v>
                </c:pt>
                <c:pt idx="614">
                  <c:v>135.80398564865303</c:v>
                </c:pt>
                <c:pt idx="615">
                  <c:v>135.21728325529594</c:v>
                </c:pt>
                <c:pt idx="616">
                  <c:v>136.24369170720556</c:v>
                </c:pt>
                <c:pt idx="617">
                  <c:v>136.20690017196674</c:v>
                </c:pt>
                <c:pt idx="618">
                  <c:v>135.14348541267043</c:v>
                </c:pt>
                <c:pt idx="619">
                  <c:v>136.02334514064481</c:v>
                </c:pt>
                <c:pt idx="620">
                  <c:v>136.00282821291898</c:v>
                </c:pt>
                <c:pt idx="621">
                  <c:v>136.54042829840282</c:v>
                </c:pt>
                <c:pt idx="622">
                  <c:v>136.67456994477411</c:v>
                </c:pt>
                <c:pt idx="623">
                  <c:v>136.31285632121543</c:v>
                </c:pt>
                <c:pt idx="624">
                  <c:v>135.85487201389509</c:v>
                </c:pt>
                <c:pt idx="625">
                  <c:v>135.67497826959809</c:v>
                </c:pt>
                <c:pt idx="626">
                  <c:v>135.34041129992252</c:v>
                </c:pt>
                <c:pt idx="627">
                  <c:v>133.60395325532525</c:v>
                </c:pt>
                <c:pt idx="628">
                  <c:v>134.48697225655329</c:v>
                </c:pt>
                <c:pt idx="629">
                  <c:v>135.76690011153798</c:v>
                </c:pt>
                <c:pt idx="630">
                  <c:v>136.62707682479856</c:v>
                </c:pt>
                <c:pt idx="631">
                  <c:v>136.06275072073242</c:v>
                </c:pt>
                <c:pt idx="632">
                  <c:v>134.46948313952126</c:v>
                </c:pt>
                <c:pt idx="633">
                  <c:v>133.67208777506224</c:v>
                </c:pt>
                <c:pt idx="634">
                  <c:v>132.31256426323793</c:v>
                </c:pt>
                <c:pt idx="635">
                  <c:v>134.36331947373347</c:v>
                </c:pt>
                <c:pt idx="636">
                  <c:v>134.39293760613705</c:v>
                </c:pt>
                <c:pt idx="637">
                  <c:v>133.59253844875295</c:v>
                </c:pt>
                <c:pt idx="638">
                  <c:v>133.26652453859785</c:v>
                </c:pt>
                <c:pt idx="639">
                  <c:v>132.45854816303131</c:v>
                </c:pt>
                <c:pt idx="640">
                  <c:v>132.90005660872924</c:v>
                </c:pt>
                <c:pt idx="641">
                  <c:v>133.40342419400787</c:v>
                </c:pt>
                <c:pt idx="642">
                  <c:v>132.44531268699291</c:v>
                </c:pt>
                <c:pt idx="643">
                  <c:v>134.35339028076481</c:v>
                </c:pt>
                <c:pt idx="644">
                  <c:v>135.66210043172234</c:v>
                </c:pt>
                <c:pt idx="645">
                  <c:v>135.58284956299531</c:v>
                </c:pt>
                <c:pt idx="646">
                  <c:v>135.93506711428259</c:v>
                </c:pt>
                <c:pt idx="647">
                  <c:v>135.06696908750246</c:v>
                </c:pt>
                <c:pt idx="648">
                  <c:v>133.48016575641125</c:v>
                </c:pt>
                <c:pt idx="649">
                  <c:v>134.30260942565306</c:v>
                </c:pt>
                <c:pt idx="650">
                  <c:v>136.62931809687319</c:v>
                </c:pt>
                <c:pt idx="651">
                  <c:v>136.55040999134573</c:v>
                </c:pt>
                <c:pt idx="652">
                  <c:v>135.932770165497</c:v>
                </c:pt>
                <c:pt idx="653">
                  <c:v>137.70249905729207</c:v>
                </c:pt>
                <c:pt idx="654">
                  <c:v>141.83614435073017</c:v>
                </c:pt>
                <c:pt idx="655">
                  <c:v>141.511267357718</c:v>
                </c:pt>
                <c:pt idx="656">
                  <c:v>142.56371334456486</c:v>
                </c:pt>
                <c:pt idx="657">
                  <c:v>143.40168219011235</c:v>
                </c:pt>
                <c:pt idx="658">
                  <c:v>143.80845263857341</c:v>
                </c:pt>
                <c:pt idx="659">
                  <c:v>144.51498681114205</c:v>
                </c:pt>
                <c:pt idx="660">
                  <c:v>145.98120230766463</c:v>
                </c:pt>
                <c:pt idx="661">
                  <c:v>147.76143194106828</c:v>
                </c:pt>
                <c:pt idx="662">
                  <c:v>147.8368997758981</c:v>
                </c:pt>
                <c:pt idx="663">
                  <c:v>149.37254630171063</c:v>
                </c:pt>
                <c:pt idx="664">
                  <c:v>147.77444184024222</c:v>
                </c:pt>
                <c:pt idx="665">
                  <c:v>145.89708348228817</c:v>
                </c:pt>
                <c:pt idx="666">
                  <c:v>144.80934983912175</c:v>
                </c:pt>
                <c:pt idx="667">
                  <c:v>144.33536289465343</c:v>
                </c:pt>
                <c:pt idx="668">
                  <c:v>143.13909574302244</c:v>
                </c:pt>
                <c:pt idx="669">
                  <c:v>143.35486597819801</c:v>
                </c:pt>
                <c:pt idx="670">
                  <c:v>144.46806127814577</c:v>
                </c:pt>
                <c:pt idx="671">
                  <c:v>144.93021174404763</c:v>
                </c:pt>
                <c:pt idx="672">
                  <c:v>145.97744331493266</c:v>
                </c:pt>
                <c:pt idx="673">
                  <c:v>147.37507031115504</c:v>
                </c:pt>
                <c:pt idx="674">
                  <c:v>147.72587096336426</c:v>
                </c:pt>
                <c:pt idx="675">
                  <c:v>147.65679862054625</c:v>
                </c:pt>
                <c:pt idx="676">
                  <c:v>145.82502070098647</c:v>
                </c:pt>
                <c:pt idx="677">
                  <c:v>145.09353436465352</c:v>
                </c:pt>
                <c:pt idx="678">
                  <c:v>145.99673916993163</c:v>
                </c:pt>
                <c:pt idx="679">
                  <c:v>147.33283088409556</c:v>
                </c:pt>
                <c:pt idx="680">
                  <c:v>147.24964631071967</c:v>
                </c:pt>
                <c:pt idx="681">
                  <c:v>147.92698871837342</c:v>
                </c:pt>
                <c:pt idx="682">
                  <c:v>147.87095263307256</c:v>
                </c:pt>
                <c:pt idx="683">
                  <c:v>148.71025736638211</c:v>
                </c:pt>
                <c:pt idx="684">
                  <c:v>150.8654306601405</c:v>
                </c:pt>
                <c:pt idx="685">
                  <c:v>150.40490983251141</c:v>
                </c:pt>
                <c:pt idx="686">
                  <c:v>151.26296241420056</c:v>
                </c:pt>
                <c:pt idx="687">
                  <c:v>149.96458087058309</c:v>
                </c:pt>
                <c:pt idx="688">
                  <c:v>150.17880570855803</c:v>
                </c:pt>
                <c:pt idx="689">
                  <c:v>150.78452626952659</c:v>
                </c:pt>
                <c:pt idx="690">
                  <c:v>150.18712821141725</c:v>
                </c:pt>
                <c:pt idx="691">
                  <c:v>149.46349753510697</c:v>
                </c:pt>
                <c:pt idx="692">
                  <c:v>150.77083509341784</c:v>
                </c:pt>
                <c:pt idx="693">
                  <c:v>151.89585144322305</c:v>
                </c:pt>
                <c:pt idx="694">
                  <c:v>153.93853088484562</c:v>
                </c:pt>
                <c:pt idx="695">
                  <c:v>153.03900279143068</c:v>
                </c:pt>
                <c:pt idx="696">
                  <c:v>152.46479193229365</c:v>
                </c:pt>
                <c:pt idx="697">
                  <c:v>151.63917008903715</c:v>
                </c:pt>
                <c:pt idx="698">
                  <c:v>153.57173611131353</c:v>
                </c:pt>
                <c:pt idx="699">
                  <c:v>153.18554154309251</c:v>
                </c:pt>
                <c:pt idx="700">
                  <c:v>151.79435381908385</c:v>
                </c:pt>
                <c:pt idx="701">
                  <c:v>151.80878621628807</c:v>
                </c:pt>
                <c:pt idx="702">
                  <c:v>152.27931318177872</c:v>
                </c:pt>
                <c:pt idx="703">
                  <c:v>151.95370422541254</c:v>
                </c:pt>
                <c:pt idx="704">
                  <c:v>150.2416785079497</c:v>
                </c:pt>
                <c:pt idx="705">
                  <c:v>149.33925488264563</c:v>
                </c:pt>
                <c:pt idx="706">
                  <c:v>148.3969875855087</c:v>
                </c:pt>
                <c:pt idx="707">
                  <c:v>148.87374733689481</c:v>
                </c:pt>
                <c:pt idx="708">
                  <c:v>149.40872317822343</c:v>
                </c:pt>
                <c:pt idx="709">
                  <c:v>148.55688399577508</c:v>
                </c:pt>
                <c:pt idx="710">
                  <c:v>149.95915732848363</c:v>
                </c:pt>
                <c:pt idx="711">
                  <c:v>148.64940924600734</c:v>
                </c:pt>
                <c:pt idx="712">
                  <c:v>149.95500531650271</c:v>
                </c:pt>
                <c:pt idx="713">
                  <c:v>150.7500192953691</c:v>
                </c:pt>
                <c:pt idx="714">
                  <c:v>152.13773459694349</c:v>
                </c:pt>
                <c:pt idx="715">
                  <c:v>152.72144519937294</c:v>
                </c:pt>
                <c:pt idx="716">
                  <c:v>152.43467752153367</c:v>
                </c:pt>
                <c:pt idx="717">
                  <c:v>153.37045559703245</c:v>
                </c:pt>
                <c:pt idx="718">
                  <c:v>153.11035220752524</c:v>
                </c:pt>
                <c:pt idx="719">
                  <c:v>153.05325571026691</c:v>
                </c:pt>
                <c:pt idx="720">
                  <c:v>152.77375034575394</c:v>
                </c:pt>
                <c:pt idx="721">
                  <c:v>153.36295004289437</c:v>
                </c:pt>
                <c:pt idx="722">
                  <c:v>153.96971608955064</c:v>
                </c:pt>
                <c:pt idx="723">
                  <c:v>153.12775907623811</c:v>
                </c:pt>
                <c:pt idx="724">
                  <c:v>153.05548518679117</c:v>
                </c:pt>
                <c:pt idx="725">
                  <c:v>154.71114051449658</c:v>
                </c:pt>
                <c:pt idx="726">
                  <c:v>153.70025891304385</c:v>
                </c:pt>
                <c:pt idx="727">
                  <c:v>152.53115501881405</c:v>
                </c:pt>
                <c:pt idx="728">
                  <c:v>152.74249723960929</c:v>
                </c:pt>
                <c:pt idx="729">
                  <c:v>152.80448572192796</c:v>
                </c:pt>
                <c:pt idx="730">
                  <c:v>150.53141627427905</c:v>
                </c:pt>
                <c:pt idx="731">
                  <c:v>150.11987031062898</c:v>
                </c:pt>
                <c:pt idx="732">
                  <c:v>150.3245452136328</c:v>
                </c:pt>
                <c:pt idx="733">
                  <c:v>148.09720386157016</c:v>
                </c:pt>
                <c:pt idx="734">
                  <c:v>148.0291228421801</c:v>
                </c:pt>
                <c:pt idx="735">
                  <c:v>148.18819893063741</c:v>
                </c:pt>
                <c:pt idx="736">
                  <c:v>146.9330651358334</c:v>
                </c:pt>
                <c:pt idx="737">
                  <c:v>147.44277967707484</c:v>
                </c:pt>
                <c:pt idx="738">
                  <c:v>145.48410909635277</c:v>
                </c:pt>
                <c:pt idx="739">
                  <c:v>146.37166340660204</c:v>
                </c:pt>
                <c:pt idx="740">
                  <c:v>145.82639434943547</c:v>
                </c:pt>
                <c:pt idx="741">
                  <c:v>146.84838466303043</c:v>
                </c:pt>
                <c:pt idx="742">
                  <c:v>147.33578838494171</c:v>
                </c:pt>
                <c:pt idx="743">
                  <c:v>148.16823241033407</c:v>
                </c:pt>
                <c:pt idx="744">
                  <c:v>148.94864685466803</c:v>
                </c:pt>
                <c:pt idx="745">
                  <c:v>148.11096007478042</c:v>
                </c:pt>
                <c:pt idx="746">
                  <c:v>147.09492350516464</c:v>
                </c:pt>
                <c:pt idx="747">
                  <c:v>148.48705114073607</c:v>
                </c:pt>
                <c:pt idx="748">
                  <c:v>149.29242989114607</c:v>
                </c:pt>
                <c:pt idx="749">
                  <c:v>147.30955804524277</c:v>
                </c:pt>
                <c:pt idx="750">
                  <c:v>145.6894019709938</c:v>
                </c:pt>
                <c:pt idx="751">
                  <c:v>142.88035181115586</c:v>
                </c:pt>
                <c:pt idx="752">
                  <c:v>143.67486262926241</c:v>
                </c:pt>
                <c:pt idx="753">
                  <c:v>144.79328006443794</c:v>
                </c:pt>
                <c:pt idx="754">
                  <c:v>144.47545936286866</c:v>
                </c:pt>
                <c:pt idx="755">
                  <c:v>145.17245873160087</c:v>
                </c:pt>
                <c:pt idx="756">
                  <c:v>144.03603802564561</c:v>
                </c:pt>
                <c:pt idx="757">
                  <c:v>145.64808454913378</c:v>
                </c:pt>
                <c:pt idx="758">
                  <c:v>145.22944150000993</c:v>
                </c:pt>
                <c:pt idx="759">
                  <c:v>146.91856723249131</c:v>
                </c:pt>
                <c:pt idx="760">
                  <c:v>149.25958275570838</c:v>
                </c:pt>
                <c:pt idx="761">
                  <c:v>150.14191647300942</c:v>
                </c:pt>
                <c:pt idx="762">
                  <c:v>150.48503483090238</c:v>
                </c:pt>
                <c:pt idx="763">
                  <c:v>150.47713210342616</c:v>
                </c:pt>
                <c:pt idx="764">
                  <c:v>150.1302050916558</c:v>
                </c:pt>
                <c:pt idx="765">
                  <c:v>149.31983361204843</c:v>
                </c:pt>
                <c:pt idx="766">
                  <c:v>151.95154185328116</c:v>
                </c:pt>
                <c:pt idx="767">
                  <c:v>152.03099163182941</c:v>
                </c:pt>
                <c:pt idx="768">
                  <c:v>154.03285687046917</c:v>
                </c:pt>
                <c:pt idx="769">
                  <c:v>155.86423812108896</c:v>
                </c:pt>
                <c:pt idx="770">
                  <c:v>153.18114183033123</c:v>
                </c:pt>
                <c:pt idx="771">
                  <c:v>153.78650230642984</c:v>
                </c:pt>
                <c:pt idx="772">
                  <c:v>154.5856980978561</c:v>
                </c:pt>
                <c:pt idx="773">
                  <c:v>153.94369984299433</c:v>
                </c:pt>
                <c:pt idx="774">
                  <c:v>154.21113861726974</c:v>
                </c:pt>
                <c:pt idx="775">
                  <c:v>154.76703353736593</c:v>
                </c:pt>
                <c:pt idx="776">
                  <c:v>155.03517160664742</c:v>
                </c:pt>
                <c:pt idx="777">
                  <c:v>156.00785857950288</c:v>
                </c:pt>
                <c:pt idx="778">
                  <c:v>155.96793487659522</c:v>
                </c:pt>
                <c:pt idx="779">
                  <c:v>157.2071065664669</c:v>
                </c:pt>
                <c:pt idx="780">
                  <c:v>158.36463919166562</c:v>
                </c:pt>
                <c:pt idx="781">
                  <c:v>157.88395797733767</c:v>
                </c:pt>
                <c:pt idx="782">
                  <c:v>158.08801558086805</c:v>
                </c:pt>
                <c:pt idx="783">
                  <c:v>156.70533839669895</c:v>
                </c:pt>
                <c:pt idx="784">
                  <c:v>156.80414450482277</c:v>
                </c:pt>
                <c:pt idx="785">
                  <c:v>157.2810581268713</c:v>
                </c:pt>
                <c:pt idx="786">
                  <c:v>157.746556475891</c:v>
                </c:pt>
                <c:pt idx="787">
                  <c:v>158.80474297279628</c:v>
                </c:pt>
                <c:pt idx="788">
                  <c:v>160.45469055899784</c:v>
                </c:pt>
                <c:pt idx="789">
                  <c:v>161.83371482561432</c:v>
                </c:pt>
                <c:pt idx="790">
                  <c:v>162.42128193046403</c:v>
                </c:pt>
                <c:pt idx="791">
                  <c:v>163.60072029903699</c:v>
                </c:pt>
                <c:pt idx="792">
                  <c:v>164.66140078782226</c:v>
                </c:pt>
                <c:pt idx="793">
                  <c:v>162.46920607301649</c:v>
                </c:pt>
                <c:pt idx="794">
                  <c:v>163.85724486844407</c:v>
                </c:pt>
                <c:pt idx="795">
                  <c:v>164.90286576965195</c:v>
                </c:pt>
                <c:pt idx="796">
                  <c:v>165.72601579077082</c:v>
                </c:pt>
                <c:pt idx="797">
                  <c:v>166.53423195516777</c:v>
                </c:pt>
                <c:pt idx="798">
                  <c:v>166.6213197061706</c:v>
                </c:pt>
                <c:pt idx="799">
                  <c:v>166.43948554162307</c:v>
                </c:pt>
                <c:pt idx="800">
                  <c:v>165.82093033881901</c:v>
                </c:pt>
                <c:pt idx="801">
                  <c:v>164.26142100431341</c:v>
                </c:pt>
                <c:pt idx="802">
                  <c:v>164.27486411766321</c:v>
                </c:pt>
                <c:pt idx="803">
                  <c:v>164.14266137928479</c:v>
                </c:pt>
                <c:pt idx="804">
                  <c:v>165.8383210762766</c:v>
                </c:pt>
                <c:pt idx="805">
                  <c:v>165.44468059462272</c:v>
                </c:pt>
                <c:pt idx="806">
                  <c:v>166.453215874378</c:v>
                </c:pt>
                <c:pt idx="807">
                  <c:v>166.67354222923245</c:v>
                </c:pt>
                <c:pt idx="808">
                  <c:v>167.30194474558144</c:v>
                </c:pt>
                <c:pt idx="809">
                  <c:v>167.34841257246359</c:v>
                </c:pt>
                <c:pt idx="810">
                  <c:v>166.03782516346465</c:v>
                </c:pt>
                <c:pt idx="811">
                  <c:v>167.12313780648236</c:v>
                </c:pt>
                <c:pt idx="812">
                  <c:v>169.43590073557127</c:v>
                </c:pt>
                <c:pt idx="813">
                  <c:v>170.34495942338506</c:v>
                </c:pt>
                <c:pt idx="814">
                  <c:v>170.98424890322605</c:v>
                </c:pt>
                <c:pt idx="815">
                  <c:v>170.90509006511641</c:v>
                </c:pt>
                <c:pt idx="816">
                  <c:v>177.45904116658596</c:v>
                </c:pt>
                <c:pt idx="817">
                  <c:v>179.27548690859763</c:v>
                </c:pt>
                <c:pt idx="818">
                  <c:v>180.03353138986071</c:v>
                </c:pt>
                <c:pt idx="819">
                  <c:v>181.01687833962728</c:v>
                </c:pt>
                <c:pt idx="820">
                  <c:v>178.10533013211906</c:v>
                </c:pt>
                <c:pt idx="821">
                  <c:v>181.26043270088778</c:v>
                </c:pt>
                <c:pt idx="822">
                  <c:v>183.02201272625808</c:v>
                </c:pt>
                <c:pt idx="823">
                  <c:v>182.36242106156681</c:v>
                </c:pt>
                <c:pt idx="824">
                  <c:v>182.70350382092425</c:v>
                </c:pt>
                <c:pt idx="825">
                  <c:v>183.89902907880773</c:v>
                </c:pt>
                <c:pt idx="826">
                  <c:v>184.28013972550858</c:v>
                </c:pt>
                <c:pt idx="827">
                  <c:v>184.94028309950158</c:v>
                </c:pt>
                <c:pt idx="828">
                  <c:v>185.22565257236744</c:v>
                </c:pt>
                <c:pt idx="829">
                  <c:v>182.41831745142701</c:v>
                </c:pt>
                <c:pt idx="830">
                  <c:v>183.04024444429839</c:v>
                </c:pt>
                <c:pt idx="831">
                  <c:v>184.82730480899966</c:v>
                </c:pt>
                <c:pt idx="832">
                  <c:v>185.03452454236682</c:v>
                </c:pt>
                <c:pt idx="833">
                  <c:v>184.33989868489189</c:v>
                </c:pt>
                <c:pt idx="834">
                  <c:v>182.83497143764163</c:v>
                </c:pt>
                <c:pt idx="835">
                  <c:v>186.09898710938094</c:v>
                </c:pt>
                <c:pt idx="836">
                  <c:v>186.74265388754011</c:v>
                </c:pt>
                <c:pt idx="837">
                  <c:v>187.44714060197145</c:v>
                </c:pt>
                <c:pt idx="838">
                  <c:v>188.03335952014169</c:v>
                </c:pt>
                <c:pt idx="839">
                  <c:v>188.38679244100587</c:v>
                </c:pt>
                <c:pt idx="840">
                  <c:v>188.63645198329951</c:v>
                </c:pt>
                <c:pt idx="841">
                  <c:v>190.05286972923335</c:v>
                </c:pt>
                <c:pt idx="842">
                  <c:v>191.81693909100423</c:v>
                </c:pt>
                <c:pt idx="843">
                  <c:v>190.47975870815787</c:v>
                </c:pt>
                <c:pt idx="844">
                  <c:v>192.38161776260074</c:v>
                </c:pt>
                <c:pt idx="845">
                  <c:v>194.09371317634688</c:v>
                </c:pt>
                <c:pt idx="846">
                  <c:v>193.46022949522742</c:v>
                </c:pt>
                <c:pt idx="847">
                  <c:v>191.65262002719112</c:v>
                </c:pt>
                <c:pt idx="848">
                  <c:v>195.18509865576883</c:v>
                </c:pt>
                <c:pt idx="849">
                  <c:v>195.23665021571014</c:v>
                </c:pt>
                <c:pt idx="850">
                  <c:v>194.46533220353575</c:v>
                </c:pt>
                <c:pt idx="851">
                  <c:v>193.15947873652871</c:v>
                </c:pt>
                <c:pt idx="852">
                  <c:v>194.41209266516501</c:v>
                </c:pt>
                <c:pt idx="853">
                  <c:v>195.4534567193364</c:v>
                </c:pt>
                <c:pt idx="854">
                  <c:v>197.44029048588533</c:v>
                </c:pt>
                <c:pt idx="855">
                  <c:v>198.24187092436171</c:v>
                </c:pt>
                <c:pt idx="856">
                  <c:v>196.35885029509026</c:v>
                </c:pt>
                <c:pt idx="857">
                  <c:v>194.9991330289599</c:v>
                </c:pt>
                <c:pt idx="858">
                  <c:v>194.57634121147947</c:v>
                </c:pt>
                <c:pt idx="859">
                  <c:v>196.68172785818987</c:v>
                </c:pt>
                <c:pt idx="860">
                  <c:v>196.4356947273296</c:v>
                </c:pt>
                <c:pt idx="861">
                  <c:v>195.98338358797696</c:v>
                </c:pt>
                <c:pt idx="862">
                  <c:v>194.65440529042169</c:v>
                </c:pt>
                <c:pt idx="863">
                  <c:v>196.53906878977796</c:v>
                </c:pt>
                <c:pt idx="864">
                  <c:v>193.87764328171954</c:v>
                </c:pt>
                <c:pt idx="865">
                  <c:v>196.30144612004071</c:v>
                </c:pt>
                <c:pt idx="866">
                  <c:v>196.15128376579119</c:v>
                </c:pt>
                <c:pt idx="867">
                  <c:v>195.26245848759223</c:v>
                </c:pt>
                <c:pt idx="868">
                  <c:v>194.39125450789555</c:v>
                </c:pt>
                <c:pt idx="869">
                  <c:v>194.35532073520727</c:v>
                </c:pt>
                <c:pt idx="870">
                  <c:v>192.40436358486127</c:v>
                </c:pt>
                <c:pt idx="871">
                  <c:v>191.31498416384088</c:v>
                </c:pt>
                <c:pt idx="872">
                  <c:v>191.6651759259</c:v>
                </c:pt>
                <c:pt idx="873">
                  <c:v>190.91222419272185</c:v>
                </c:pt>
                <c:pt idx="874">
                  <c:v>189.61461368474838</c:v>
                </c:pt>
                <c:pt idx="875">
                  <c:v>191.48206668631713</c:v>
                </c:pt>
                <c:pt idx="876">
                  <c:v>192.72019827373379</c:v>
                </c:pt>
                <c:pt idx="877">
                  <c:v>193.95934155623783</c:v>
                </c:pt>
                <c:pt idx="878">
                  <c:v>195.23871009354278</c:v>
                </c:pt>
                <c:pt idx="879">
                  <c:v>187.74912451944394</c:v>
                </c:pt>
                <c:pt idx="880">
                  <c:v>187.93258871888355</c:v>
                </c:pt>
                <c:pt idx="881">
                  <c:v>188.92112830653585</c:v>
                </c:pt>
                <c:pt idx="882">
                  <c:v>184.92842772921492</c:v>
                </c:pt>
                <c:pt idx="883">
                  <c:v>183.68898616844817</c:v>
                </c:pt>
                <c:pt idx="884">
                  <c:v>185.12824994756966</c:v>
                </c:pt>
                <c:pt idx="885">
                  <c:v>185.94738839671049</c:v>
                </c:pt>
                <c:pt idx="886">
                  <c:v>188.36780919671111</c:v>
                </c:pt>
                <c:pt idx="887">
                  <c:v>188.88225742051196</c:v>
                </c:pt>
                <c:pt idx="888">
                  <c:v>189.40261330041722</c:v>
                </c:pt>
                <c:pt idx="889">
                  <c:v>189.63247036736107</c:v>
                </c:pt>
                <c:pt idx="890">
                  <c:v>190.84934883728098</c:v>
                </c:pt>
                <c:pt idx="891">
                  <c:v>190.4826698802305</c:v>
                </c:pt>
                <c:pt idx="892">
                  <c:v>190.7927227459918</c:v>
                </c:pt>
                <c:pt idx="893">
                  <c:v>191.66238082679413</c:v>
                </c:pt>
                <c:pt idx="894">
                  <c:v>193.84721950601025</c:v>
                </c:pt>
                <c:pt idx="895">
                  <c:v>195.00384369843408</c:v>
                </c:pt>
                <c:pt idx="896">
                  <c:v>195.82233987802886</c:v>
                </c:pt>
                <c:pt idx="897">
                  <c:v>197.62816037846966</c:v>
                </c:pt>
                <c:pt idx="898">
                  <c:v>197.09840964983704</c:v>
                </c:pt>
                <c:pt idx="899">
                  <c:v>194.4307475352019</c:v>
                </c:pt>
                <c:pt idx="900">
                  <c:v>195.32450629931242</c:v>
                </c:pt>
                <c:pt idx="901">
                  <c:v>194.34292479640038</c:v>
                </c:pt>
                <c:pt idx="902">
                  <c:v>192.36506797652666</c:v>
                </c:pt>
                <c:pt idx="903">
                  <c:v>191.30450461637977</c:v>
                </c:pt>
                <c:pt idx="904">
                  <c:v>192.65654446369965</c:v>
                </c:pt>
                <c:pt idx="905">
                  <c:v>190.91871727508683</c:v>
                </c:pt>
                <c:pt idx="906">
                  <c:v>191.44258079268386</c:v>
                </c:pt>
                <c:pt idx="907">
                  <c:v>192.55229026896109</c:v>
                </c:pt>
                <c:pt idx="908">
                  <c:v>192.55501074567283</c:v>
                </c:pt>
                <c:pt idx="909">
                  <c:v>192.22370995539825</c:v>
                </c:pt>
                <c:pt idx="910">
                  <c:v>193.32705537919327</c:v>
                </c:pt>
                <c:pt idx="911">
                  <c:v>191.65379377259558</c:v>
                </c:pt>
                <c:pt idx="912">
                  <c:v>191.8610003027913</c:v>
                </c:pt>
                <c:pt idx="913">
                  <c:v>191.64195574079108</c:v>
                </c:pt>
                <c:pt idx="914">
                  <c:v>191.88363739256391</c:v>
                </c:pt>
                <c:pt idx="915">
                  <c:v>193.24099541481451</c:v>
                </c:pt>
                <c:pt idx="916">
                  <c:v>194.01256975415885</c:v>
                </c:pt>
                <c:pt idx="917">
                  <c:v>195.84169336307235</c:v>
                </c:pt>
                <c:pt idx="918">
                  <c:v>195.47209455319523</c:v>
                </c:pt>
                <c:pt idx="919">
                  <c:v>197.1732688473007</c:v>
                </c:pt>
                <c:pt idx="920">
                  <c:v>195.27193240780755</c:v>
                </c:pt>
                <c:pt idx="921">
                  <c:v>195.62847677828788</c:v>
                </c:pt>
                <c:pt idx="922">
                  <c:v>194.79035516602957</c:v>
                </c:pt>
                <c:pt idx="923">
                  <c:v>196.07420010151202</c:v>
                </c:pt>
                <c:pt idx="924">
                  <c:v>197.15647371390003</c:v>
                </c:pt>
                <c:pt idx="925">
                  <c:v>198.59155273455832</c:v>
                </c:pt>
                <c:pt idx="926">
                  <c:v>198.56078454011538</c:v>
                </c:pt>
                <c:pt idx="927">
                  <c:v>199.98538108512886</c:v>
                </c:pt>
                <c:pt idx="928">
                  <c:v>200.07291432296086</c:v>
                </c:pt>
                <c:pt idx="929">
                  <c:v>199.67797478976692</c:v>
                </c:pt>
                <c:pt idx="930">
                  <c:v>201.27457426212186</c:v>
                </c:pt>
                <c:pt idx="931">
                  <c:v>200.58482945261565</c:v>
                </c:pt>
                <c:pt idx="932">
                  <c:v>201.99080362593855</c:v>
                </c:pt>
                <c:pt idx="933">
                  <c:v>204.19058879604157</c:v>
                </c:pt>
                <c:pt idx="934">
                  <c:v>207.45613470695514</c:v>
                </c:pt>
                <c:pt idx="935">
                  <c:v>208.04477444583009</c:v>
                </c:pt>
                <c:pt idx="936">
                  <c:v>206.72528604879074</c:v>
                </c:pt>
                <c:pt idx="937">
                  <c:v>203.94396814448262</c:v>
                </c:pt>
                <c:pt idx="938">
                  <c:v>204.76619358132425</c:v>
                </c:pt>
                <c:pt idx="939">
                  <c:v>205.02518538887887</c:v>
                </c:pt>
                <c:pt idx="940">
                  <c:v>202.17803102672389</c:v>
                </c:pt>
                <c:pt idx="941">
                  <c:v>204.23503198592343</c:v>
                </c:pt>
                <c:pt idx="942">
                  <c:v>206.03569444613962</c:v>
                </c:pt>
                <c:pt idx="943">
                  <c:v>205.68205718571372</c:v>
                </c:pt>
                <c:pt idx="944">
                  <c:v>205.45488808005737</c:v>
                </c:pt>
                <c:pt idx="945">
                  <c:v>205.65187869892955</c:v>
                </c:pt>
                <c:pt idx="946">
                  <c:v>203.44333100655498</c:v>
                </c:pt>
                <c:pt idx="947">
                  <c:v>198.1372640824533</c:v>
                </c:pt>
                <c:pt idx="948">
                  <c:v>193.53109609259477</c:v>
                </c:pt>
                <c:pt idx="949">
                  <c:v>196.80216504056938</c:v>
                </c:pt>
                <c:pt idx="950">
                  <c:v>195.73580301705493</c:v>
                </c:pt>
                <c:pt idx="951">
                  <c:v>200.02909088359471</c:v>
                </c:pt>
                <c:pt idx="952">
                  <c:v>201.04332629880605</c:v>
                </c:pt>
                <c:pt idx="953">
                  <c:v>200.67042623748463</c:v>
                </c:pt>
                <c:pt idx="954">
                  <c:v>201.82808098313384</c:v>
                </c:pt>
                <c:pt idx="955">
                  <c:v>203.41141228563959</c:v>
                </c:pt>
                <c:pt idx="956">
                  <c:v>208.91158167055869</c:v>
                </c:pt>
                <c:pt idx="957">
                  <c:v>208.99149486366449</c:v>
                </c:pt>
                <c:pt idx="958">
                  <c:v>210.15229834356379</c:v>
                </c:pt>
                <c:pt idx="959">
                  <c:v>210.99258629119575</c:v>
                </c:pt>
                <c:pt idx="960">
                  <c:v>210.61632039671122</c:v>
                </c:pt>
                <c:pt idx="961">
                  <c:v>210.04675548307458</c:v>
                </c:pt>
                <c:pt idx="962">
                  <c:v>211.45905645721155</c:v>
                </c:pt>
                <c:pt idx="963">
                  <c:v>212.69143353985478</c:v>
                </c:pt>
                <c:pt idx="964">
                  <c:v>213.18169670892144</c:v>
                </c:pt>
                <c:pt idx="965">
                  <c:v>212.86889319061305</c:v>
                </c:pt>
                <c:pt idx="966">
                  <c:v>214.18910435803116</c:v>
                </c:pt>
                <c:pt idx="967">
                  <c:v>216.2151939843458</c:v>
                </c:pt>
                <c:pt idx="968">
                  <c:v>213.03650420275625</c:v>
                </c:pt>
                <c:pt idx="969">
                  <c:v>213.07694354639668</c:v>
                </c:pt>
                <c:pt idx="970">
                  <c:v>212.10430860872214</c:v>
                </c:pt>
                <c:pt idx="971">
                  <c:v>209.17629415579125</c:v>
                </c:pt>
                <c:pt idx="972">
                  <c:v>212.33079861025831</c:v>
                </c:pt>
                <c:pt idx="973">
                  <c:v>213.48007803721819</c:v>
                </c:pt>
                <c:pt idx="974">
                  <c:v>216.99462252234289</c:v>
                </c:pt>
                <c:pt idx="975">
                  <c:v>218.93436662618137</c:v>
                </c:pt>
                <c:pt idx="976">
                  <c:v>221.93631800280454</c:v>
                </c:pt>
                <c:pt idx="977">
                  <c:v>223.27248422248826</c:v>
                </c:pt>
                <c:pt idx="978">
                  <c:v>222.81062193224454</c:v>
                </c:pt>
                <c:pt idx="979">
                  <c:v>222.63886925289614</c:v>
                </c:pt>
                <c:pt idx="980">
                  <c:v>225.29634847203724</c:v>
                </c:pt>
                <c:pt idx="981">
                  <c:v>226.39107033670524</c:v>
                </c:pt>
                <c:pt idx="982">
                  <c:v>227.84885303037998</c:v>
                </c:pt>
                <c:pt idx="983">
                  <c:v>229.24377055827898</c:v>
                </c:pt>
                <c:pt idx="984">
                  <c:v>229.21744263791831</c:v>
                </c:pt>
                <c:pt idx="985">
                  <c:v>230.49060136461151</c:v>
                </c:pt>
                <c:pt idx="986">
                  <c:v>229.91592960386177</c:v>
                </c:pt>
                <c:pt idx="987">
                  <c:v>230.80709664610885</c:v>
                </c:pt>
                <c:pt idx="988">
                  <c:v>229.62903041978132</c:v>
                </c:pt>
                <c:pt idx="989">
                  <c:v>229.48438692344305</c:v>
                </c:pt>
                <c:pt idx="990">
                  <c:v>229.62353508373047</c:v>
                </c:pt>
                <c:pt idx="991">
                  <c:v>232.65547043319927</c:v>
                </c:pt>
                <c:pt idx="992">
                  <c:v>231.04382545216603</c:v>
                </c:pt>
                <c:pt idx="993">
                  <c:v>230.4906690828137</c:v>
                </c:pt>
                <c:pt idx="994">
                  <c:v>233.93490242243357</c:v>
                </c:pt>
                <c:pt idx="995">
                  <c:v>232.83100398415252</c:v>
                </c:pt>
                <c:pt idx="996">
                  <c:v>234.73532825628521</c:v>
                </c:pt>
                <c:pt idx="997">
                  <c:v>234.89076433592746</c:v>
                </c:pt>
                <c:pt idx="998">
                  <c:v>234.64394133700202</c:v>
                </c:pt>
                <c:pt idx="999">
                  <c:v>235.65111221189059</c:v>
                </c:pt>
                <c:pt idx="1000">
                  <c:v>236.01434421019081</c:v>
                </c:pt>
                <c:pt idx="1001">
                  <c:v>234.71890519285262</c:v>
                </c:pt>
                <c:pt idx="1002">
                  <c:v>232.9887857461197</c:v>
                </c:pt>
                <c:pt idx="1003">
                  <c:v>234.6522464758871</c:v>
                </c:pt>
                <c:pt idx="1004">
                  <c:v>234.89468654139864</c:v>
                </c:pt>
                <c:pt idx="1005">
                  <c:v>230.70903004209057</c:v>
                </c:pt>
                <c:pt idx="1006">
                  <c:v>229.01513333619513</c:v>
                </c:pt>
                <c:pt idx="1007">
                  <c:v>229.68061613690983</c:v>
                </c:pt>
                <c:pt idx="1008">
                  <c:v>228.2151384121787</c:v>
                </c:pt>
                <c:pt idx="1009">
                  <c:v>226.18142493071625</c:v>
                </c:pt>
                <c:pt idx="1010">
                  <c:v>224.23538313178008</c:v>
                </c:pt>
                <c:pt idx="1011">
                  <c:v>225.91136887032152</c:v>
                </c:pt>
                <c:pt idx="1012">
                  <c:v>224.63658500027464</c:v>
                </c:pt>
                <c:pt idx="1013">
                  <c:v>227.60524578337817</c:v>
                </c:pt>
                <c:pt idx="1014">
                  <c:v>236.38243452383165</c:v>
                </c:pt>
                <c:pt idx="1015">
                  <c:v>234.95753321915774</c:v>
                </c:pt>
                <c:pt idx="1016">
                  <c:v>234.02914527534872</c:v>
                </c:pt>
                <c:pt idx="1017">
                  <c:v>234.41497912783876</c:v>
                </c:pt>
                <c:pt idx="1018">
                  <c:v>233.43294030110829</c:v>
                </c:pt>
                <c:pt idx="1019">
                  <c:v>233.19518616150421</c:v>
                </c:pt>
                <c:pt idx="1020">
                  <c:v>232.24208882430517</c:v>
                </c:pt>
                <c:pt idx="1021">
                  <c:v>229.43000613665359</c:v>
                </c:pt>
                <c:pt idx="1022">
                  <c:v>230.17241147952899</c:v>
                </c:pt>
                <c:pt idx="1023">
                  <c:v>232.31297039585485</c:v>
                </c:pt>
                <c:pt idx="1024">
                  <c:v>234.05596015866857</c:v>
                </c:pt>
                <c:pt idx="1025">
                  <c:v>238.58712831161557</c:v>
                </c:pt>
                <c:pt idx="1026">
                  <c:v>242.44934426538768</c:v>
                </c:pt>
                <c:pt idx="1027">
                  <c:v>244.42625339580121</c:v>
                </c:pt>
                <c:pt idx="1028">
                  <c:v>247.35881852634844</c:v>
                </c:pt>
                <c:pt idx="1029">
                  <c:v>246.10397275264768</c:v>
                </c:pt>
                <c:pt idx="1030">
                  <c:v>246.97645251430194</c:v>
                </c:pt>
                <c:pt idx="1031">
                  <c:v>246.91324585566031</c:v>
                </c:pt>
                <c:pt idx="1032">
                  <c:v>247.56694646266757</c:v>
                </c:pt>
                <c:pt idx="1033">
                  <c:v>250.05664201864857</c:v>
                </c:pt>
                <c:pt idx="1034">
                  <c:v>250.53199146477232</c:v>
                </c:pt>
                <c:pt idx="1035">
                  <c:v>252.36700980475078</c:v>
                </c:pt>
                <c:pt idx="1036">
                  <c:v>248.41402034737087</c:v>
                </c:pt>
                <c:pt idx="1037">
                  <c:v>248.86081300939966</c:v>
                </c:pt>
                <c:pt idx="1038">
                  <c:v>249.16061293220241</c:v>
                </c:pt>
                <c:pt idx="1039">
                  <c:v>248.12443164846141</c:v>
                </c:pt>
                <c:pt idx="1040">
                  <c:v>247.8836038000552</c:v>
                </c:pt>
                <c:pt idx="1041">
                  <c:v>248.19136117909477</c:v>
                </c:pt>
                <c:pt idx="1042">
                  <c:v>247.92673651813644</c:v>
                </c:pt>
                <c:pt idx="1043">
                  <c:v>239.44405499291537</c:v>
                </c:pt>
                <c:pt idx="1044">
                  <c:v>240.90575984294648</c:v>
                </c:pt>
                <c:pt idx="1045">
                  <c:v>241.56431124926726</c:v>
                </c:pt>
                <c:pt idx="1046">
                  <c:v>239.87861836426566</c:v>
                </c:pt>
                <c:pt idx="1047">
                  <c:v>243.27525925094878</c:v>
                </c:pt>
                <c:pt idx="1048">
                  <c:v>243.42005410484202</c:v>
                </c:pt>
                <c:pt idx="1049">
                  <c:v>240.83618026495606</c:v>
                </c:pt>
                <c:pt idx="1050">
                  <c:v>238.22046150020014</c:v>
                </c:pt>
                <c:pt idx="1051">
                  <c:v>237.59559454782806</c:v>
                </c:pt>
                <c:pt idx="1052">
                  <c:v>237.11322722497098</c:v>
                </c:pt>
                <c:pt idx="1053">
                  <c:v>239.91294045534838</c:v>
                </c:pt>
                <c:pt idx="1054">
                  <c:v>240.52064130839977</c:v>
                </c:pt>
                <c:pt idx="1055">
                  <c:v>239.99698581516409</c:v>
                </c:pt>
                <c:pt idx="1056">
                  <c:v>240.43570860816536</c:v>
                </c:pt>
                <c:pt idx="1057">
                  <c:v>237.08213709595296</c:v>
                </c:pt>
                <c:pt idx="1058">
                  <c:v>237.30950172538294</c:v>
                </c:pt>
                <c:pt idx="1059">
                  <c:v>238.3890098314362</c:v>
                </c:pt>
                <c:pt idx="1060">
                  <c:v>242.43552945186104</c:v>
                </c:pt>
                <c:pt idx="1061">
                  <c:v>243.5680644842648</c:v>
                </c:pt>
                <c:pt idx="1062">
                  <c:v>245.70290434690534</c:v>
                </c:pt>
                <c:pt idx="1063">
                  <c:v>248.33555983720314</c:v>
                </c:pt>
                <c:pt idx="1064">
                  <c:v>250.11325064656202</c:v>
                </c:pt>
                <c:pt idx="1065">
                  <c:v>252.83813812929688</c:v>
                </c:pt>
                <c:pt idx="1066">
                  <c:v>252.27525468880657</c:v>
                </c:pt>
                <c:pt idx="1067">
                  <c:v>250.81602911443591</c:v>
                </c:pt>
                <c:pt idx="1068">
                  <c:v>251.82429055264907</c:v>
                </c:pt>
                <c:pt idx="1069">
                  <c:v>252.52408847461703</c:v>
                </c:pt>
                <c:pt idx="1070">
                  <c:v>258.5891964105378</c:v>
                </c:pt>
                <c:pt idx="1071">
                  <c:v>256.95169908316052</c:v>
                </c:pt>
                <c:pt idx="1072">
                  <c:v>257.48467982848877</c:v>
                </c:pt>
                <c:pt idx="1073">
                  <c:v>259.27327180561883</c:v>
                </c:pt>
                <c:pt idx="1074">
                  <c:v>260.37946342667885</c:v>
                </c:pt>
                <c:pt idx="1075">
                  <c:v>258.90033914460412</c:v>
                </c:pt>
                <c:pt idx="1076">
                  <c:v>256.39356393106993</c:v>
                </c:pt>
                <c:pt idx="1077">
                  <c:v>255.66193805298909</c:v>
                </c:pt>
                <c:pt idx="1078">
                  <c:v>256.64595242851186</c:v>
                </c:pt>
                <c:pt idx="1079">
                  <c:v>255.64967095816354</c:v>
                </c:pt>
                <c:pt idx="1080">
                  <c:v>257.88443549222137</c:v>
                </c:pt>
                <c:pt idx="1081">
                  <c:v>258.24103679862344</c:v>
                </c:pt>
                <c:pt idx="1082">
                  <c:v>259.06266897007322</c:v>
                </c:pt>
                <c:pt idx="1083">
                  <c:v>259.38263359052871</c:v>
                </c:pt>
                <c:pt idx="1084">
                  <c:v>254.36656619860918</c:v>
                </c:pt>
                <c:pt idx="1085">
                  <c:v>248.91814501851249</c:v>
                </c:pt>
                <c:pt idx="1086">
                  <c:v>247.89272282734581</c:v>
                </c:pt>
                <c:pt idx="1087">
                  <c:v>248.7567240483277</c:v>
                </c:pt>
                <c:pt idx="1088">
                  <c:v>248.03829370503399</c:v>
                </c:pt>
                <c:pt idx="1089">
                  <c:v>246.43885803048678</c:v>
                </c:pt>
                <c:pt idx="1090">
                  <c:v>249.23111485461527</c:v>
                </c:pt>
                <c:pt idx="1091">
                  <c:v>244.96233060476084</c:v>
                </c:pt>
                <c:pt idx="1092">
                  <c:v>241.73053389447284</c:v>
                </c:pt>
                <c:pt idx="1093">
                  <c:v>244.48487751690917</c:v>
                </c:pt>
                <c:pt idx="1094">
                  <c:v>241.5557345605252</c:v>
                </c:pt>
                <c:pt idx="1095">
                  <c:v>243.72241526234663</c:v>
                </c:pt>
                <c:pt idx="1096">
                  <c:v>236.43909580771867</c:v>
                </c:pt>
                <c:pt idx="1097">
                  <c:v>232.55888334211647</c:v>
                </c:pt>
                <c:pt idx="1098">
                  <c:v>232.38848329750726</c:v>
                </c:pt>
                <c:pt idx="1099">
                  <c:v>229.2981004352265</c:v>
                </c:pt>
                <c:pt idx="1100">
                  <c:v>233.61577640676106</c:v>
                </c:pt>
                <c:pt idx="1101">
                  <c:v>236.25269259006345</c:v>
                </c:pt>
                <c:pt idx="1102">
                  <c:v>232.15972696184664</c:v>
                </c:pt>
                <c:pt idx="1103">
                  <c:v>235.92248891434903</c:v>
                </c:pt>
                <c:pt idx="1104">
                  <c:v>232.96746020922808</c:v>
                </c:pt>
                <c:pt idx="1105">
                  <c:v>233.47674979236271</c:v>
                </c:pt>
                <c:pt idx="1106">
                  <c:v>237.66759815789598</c:v>
                </c:pt>
                <c:pt idx="1107">
                  <c:v>236.91001266872573</c:v>
                </c:pt>
                <c:pt idx="1108">
                  <c:v>236.16035413892698</c:v>
                </c:pt>
                <c:pt idx="1109">
                  <c:v>234.53330311362848</c:v>
                </c:pt>
                <c:pt idx="1110">
                  <c:v>230.46239315296123</c:v>
                </c:pt>
                <c:pt idx="1111">
                  <c:v>233.59161147661703</c:v>
                </c:pt>
                <c:pt idx="1112">
                  <c:v>235.563935775077</c:v>
                </c:pt>
                <c:pt idx="1113">
                  <c:v>237.31426689176746</c:v>
                </c:pt>
                <c:pt idx="1114">
                  <c:v>225.32377424249879</c:v>
                </c:pt>
                <c:pt idx="1115">
                  <c:v>213.09791531498479</c:v>
                </c:pt>
                <c:pt idx="1116">
                  <c:v>211.9605569545607</c:v>
                </c:pt>
                <c:pt idx="1117">
                  <c:v>208.01869795862342</c:v>
                </c:pt>
                <c:pt idx="1118">
                  <c:v>227.94104075564979</c:v>
                </c:pt>
                <c:pt idx="1119">
                  <c:v>222.12787150363116</c:v>
                </c:pt>
                <c:pt idx="1120">
                  <c:v>226.77481472970035</c:v>
                </c:pt>
                <c:pt idx="1121">
                  <c:v>230.07805374340089</c:v>
                </c:pt>
                <c:pt idx="1122">
                  <c:v>229.74140374282214</c:v>
                </c:pt>
                <c:pt idx="1123">
                  <c:v>225.20811977383272</c:v>
                </c:pt>
                <c:pt idx="1124">
                  <c:v>226.33646677765543</c:v>
                </c:pt>
                <c:pt idx="1125">
                  <c:v>221.71126084343334</c:v>
                </c:pt>
                <c:pt idx="1126">
                  <c:v>227.48426326725891</c:v>
                </c:pt>
                <c:pt idx="1127">
                  <c:v>231.33427662806443</c:v>
                </c:pt>
                <c:pt idx="1128">
                  <c:v>231.44791754540574</c:v>
                </c:pt>
                <c:pt idx="1129">
                  <c:v>231.80293453789247</c:v>
                </c:pt>
                <c:pt idx="1130">
                  <c:v>232.94636071230798</c:v>
                </c:pt>
                <c:pt idx="1131">
                  <c:v>234.90278943292392</c:v>
                </c:pt>
                <c:pt idx="1132">
                  <c:v>236.46068894963574</c:v>
                </c:pt>
                <c:pt idx="1133">
                  <c:v>239.44680153427205</c:v>
                </c:pt>
                <c:pt idx="1134">
                  <c:v>245.2605044490424</c:v>
                </c:pt>
                <c:pt idx="1135">
                  <c:v>246.77600092804707</c:v>
                </c:pt>
                <c:pt idx="1136">
                  <c:v>245.35817035479982</c:v>
                </c:pt>
                <c:pt idx="1137">
                  <c:v>246.73801087732917</c:v>
                </c:pt>
                <c:pt idx="1138">
                  <c:v>248.33821479784882</c:v>
                </c:pt>
                <c:pt idx="1139">
                  <c:v>246.97351825381099</c:v>
                </c:pt>
                <c:pt idx="1140">
                  <c:v>253.62944817462787</c:v>
                </c:pt>
                <c:pt idx="1141">
                  <c:v>256.26563847516445</c:v>
                </c:pt>
                <c:pt idx="1142">
                  <c:v>256.21020523929042</c:v>
                </c:pt>
                <c:pt idx="1143">
                  <c:v>258.28711670195975</c:v>
                </c:pt>
                <c:pt idx="1144">
                  <c:v>260.03424682342552</c:v>
                </c:pt>
                <c:pt idx="1145">
                  <c:v>260.5741349275221</c:v>
                </c:pt>
                <c:pt idx="1146">
                  <c:v>259.02752428076116</c:v>
                </c:pt>
                <c:pt idx="1147">
                  <c:v>253.56280372684469</c:v>
                </c:pt>
                <c:pt idx="1148">
                  <c:v>253.31852947515048</c:v>
                </c:pt>
                <c:pt idx="1149">
                  <c:v>252.7110768379182</c:v>
                </c:pt>
                <c:pt idx="1150">
                  <c:v>257.9665410979087</c:v>
                </c:pt>
                <c:pt idx="1151">
                  <c:v>256.38182282664769</c:v>
                </c:pt>
                <c:pt idx="1152">
                  <c:v>256.60966414081452</c:v>
                </c:pt>
                <c:pt idx="1153">
                  <c:v>257.10994206555142</c:v>
                </c:pt>
                <c:pt idx="1154">
                  <c:v>258.95912283247242</c:v>
                </c:pt>
                <c:pt idx="1155">
                  <c:v>260.4617132123783</c:v>
                </c:pt>
                <c:pt idx="1156">
                  <c:v>259.99600601230912</c:v>
                </c:pt>
                <c:pt idx="1157">
                  <c:v>259.79723870936442</c:v>
                </c:pt>
                <c:pt idx="1158">
                  <c:v>261.90857441156686</c:v>
                </c:pt>
                <c:pt idx="1159">
                  <c:v>263.38207451821296</c:v>
                </c:pt>
                <c:pt idx="1160">
                  <c:v>263.98718975655686</c:v>
                </c:pt>
                <c:pt idx="1161">
                  <c:v>265.08375303685477</c:v>
                </c:pt>
                <c:pt idx="1162">
                  <c:v>264.38326952238322</c:v>
                </c:pt>
                <c:pt idx="1163">
                  <c:v>260.62599362284135</c:v>
                </c:pt>
                <c:pt idx="1164">
                  <c:v>263.83282999033457</c:v>
                </c:pt>
                <c:pt idx="1165">
                  <c:v>263.20430143161656</c:v>
                </c:pt>
                <c:pt idx="1166">
                  <c:v>264.82860765071456</c:v>
                </c:pt>
                <c:pt idx="1167">
                  <c:v>265.14119516403451</c:v>
                </c:pt>
                <c:pt idx="1168">
                  <c:v>269.90482128479005</c:v>
                </c:pt>
                <c:pt idx="1169">
                  <c:v>273.85278962606793</c:v>
                </c:pt>
                <c:pt idx="1170">
                  <c:v>272.71494962616043</c:v>
                </c:pt>
                <c:pt idx="1171">
                  <c:v>274.32715165633158</c:v>
                </c:pt>
                <c:pt idx="1172">
                  <c:v>275.75970253724097</c:v>
                </c:pt>
                <c:pt idx="1173">
                  <c:v>278.25119682547466</c:v>
                </c:pt>
                <c:pt idx="1174">
                  <c:v>278.12631323052932</c:v>
                </c:pt>
                <c:pt idx="1175">
                  <c:v>278.14115494777406</c:v>
                </c:pt>
                <c:pt idx="1176">
                  <c:v>280.7231002048606</c:v>
                </c:pt>
                <c:pt idx="1177">
                  <c:v>279.7479914393619</c:v>
                </c:pt>
                <c:pt idx="1178">
                  <c:v>277.07786267155365</c:v>
                </c:pt>
                <c:pt idx="1179">
                  <c:v>278.36533642304488</c:v>
                </c:pt>
                <c:pt idx="1180">
                  <c:v>278.29752949325291</c:v>
                </c:pt>
                <c:pt idx="1181">
                  <c:v>275.88626813633732</c:v>
                </c:pt>
                <c:pt idx="1182">
                  <c:v>277.04311056600682</c:v>
                </c:pt>
                <c:pt idx="1183">
                  <c:v>274.8743218472332</c:v>
                </c:pt>
                <c:pt idx="1184">
                  <c:v>275.66149743631274</c:v>
                </c:pt>
                <c:pt idx="1185">
                  <c:v>277.28124929451985</c:v>
                </c:pt>
                <c:pt idx="1186">
                  <c:v>276.43106470593489</c:v>
                </c:pt>
                <c:pt idx="1187">
                  <c:v>275.25271978535415</c:v>
                </c:pt>
                <c:pt idx="1188">
                  <c:v>275.29717283948946</c:v>
                </c:pt>
                <c:pt idx="1189">
                  <c:v>277.20213276581433</c:v>
                </c:pt>
                <c:pt idx="1190">
                  <c:v>272.51837528665874</c:v>
                </c:pt>
                <c:pt idx="1191">
                  <c:v>274.07895664848064</c:v>
                </c:pt>
                <c:pt idx="1192">
                  <c:v>274.85433604611893</c:v>
                </c:pt>
                <c:pt idx="1193">
                  <c:v>274.39697446297748</c:v>
                </c:pt>
                <c:pt idx="1194">
                  <c:v>272.93066668402901</c:v>
                </c:pt>
                <c:pt idx="1195">
                  <c:v>272.33094508377388</c:v>
                </c:pt>
                <c:pt idx="1196">
                  <c:v>269.19653770773374</c:v>
                </c:pt>
                <c:pt idx="1197">
                  <c:v>272.5588436001695</c:v>
                </c:pt>
                <c:pt idx="1198">
                  <c:v>271.15440881576563</c:v>
                </c:pt>
                <c:pt idx="1199">
                  <c:v>273.02134595962912</c:v>
                </c:pt>
                <c:pt idx="1200">
                  <c:v>270.65793743311571</c:v>
                </c:pt>
                <c:pt idx="1201">
                  <c:v>269.16977281581728</c:v>
                </c:pt>
                <c:pt idx="1202">
                  <c:v>266.3585894762013</c:v>
                </c:pt>
                <c:pt idx="1203">
                  <c:v>267.90799877719348</c:v>
                </c:pt>
                <c:pt idx="1204">
                  <c:v>268.17028262018312</c:v>
                </c:pt>
                <c:pt idx="1205">
                  <c:v>267.87885859555877</c:v>
                </c:pt>
                <c:pt idx="1206">
                  <c:v>266.58005950632833</c:v>
                </c:pt>
                <c:pt idx="1207">
                  <c:v>267.50152141826857</c:v>
                </c:pt>
                <c:pt idx="1208">
                  <c:v>268.10801747947568</c:v>
                </c:pt>
                <c:pt idx="1209">
                  <c:v>269.83901827386057</c:v>
                </c:pt>
                <c:pt idx="1210">
                  <c:v>265.71958974447239</c:v>
                </c:pt>
                <c:pt idx="1211">
                  <c:v>269.82063441404159</c:v>
                </c:pt>
                <c:pt idx="1212">
                  <c:v>267.41105038185515</c:v>
                </c:pt>
                <c:pt idx="1213">
                  <c:v>268.88967562453035</c:v>
                </c:pt>
                <c:pt idx="1214">
                  <c:v>270.38071997915188</c:v>
                </c:pt>
                <c:pt idx="1215">
                  <c:v>271.8540161275476</c:v>
                </c:pt>
                <c:pt idx="1216">
                  <c:v>270.50453853857772</c:v>
                </c:pt>
                <c:pt idx="1217">
                  <c:v>269.97989261361977</c:v>
                </c:pt>
                <c:pt idx="1218">
                  <c:v>270.50163900095441</c:v>
                </c:pt>
                <c:pt idx="1219">
                  <c:v>274.22281691602069</c:v>
                </c:pt>
                <c:pt idx="1220">
                  <c:v>273.01613921087579</c:v>
                </c:pt>
                <c:pt idx="1221">
                  <c:v>276.45437802763621</c:v>
                </c:pt>
                <c:pt idx="1222">
                  <c:v>276.67510189580759</c:v>
                </c:pt>
                <c:pt idx="1223">
                  <c:v>275.4145260118683</c:v>
                </c:pt>
                <c:pt idx="1224">
                  <c:v>278.79419785628983</c:v>
                </c:pt>
                <c:pt idx="1225">
                  <c:v>278.29023546167281</c:v>
                </c:pt>
                <c:pt idx="1226">
                  <c:v>280.47506263381246</c:v>
                </c:pt>
                <c:pt idx="1227">
                  <c:v>280.69999660653667</c:v>
                </c:pt>
                <c:pt idx="1228">
                  <c:v>284.32173266807592</c:v>
                </c:pt>
                <c:pt idx="1229">
                  <c:v>288.24890140927727</c:v>
                </c:pt>
                <c:pt idx="1230">
                  <c:v>288.48956583372797</c:v>
                </c:pt>
                <c:pt idx="1231">
                  <c:v>290.56955068301119</c:v>
                </c:pt>
                <c:pt idx="1232">
                  <c:v>290.21849376702278</c:v>
                </c:pt>
                <c:pt idx="1233">
                  <c:v>288.72947324405226</c:v>
                </c:pt>
                <c:pt idx="1234">
                  <c:v>292.12431691382977</c:v>
                </c:pt>
                <c:pt idx="1235">
                  <c:v>293.83341585879117</c:v>
                </c:pt>
                <c:pt idx="1236">
                  <c:v>293.48525648115805</c:v>
                </c:pt>
                <c:pt idx="1237">
                  <c:v>293.32866641124434</c:v>
                </c:pt>
                <c:pt idx="1238">
                  <c:v>293.77440831294331</c:v>
                </c:pt>
                <c:pt idx="1239">
                  <c:v>294.70385166575983</c:v>
                </c:pt>
                <c:pt idx="1240">
                  <c:v>296.24017680934264</c:v>
                </c:pt>
                <c:pt idx="1241">
                  <c:v>297.89032265008899</c:v>
                </c:pt>
                <c:pt idx="1242">
                  <c:v>297.55768341057768</c:v>
                </c:pt>
                <c:pt idx="1243">
                  <c:v>297.05867585186337</c:v>
                </c:pt>
                <c:pt idx="1244">
                  <c:v>295.72176902377419</c:v>
                </c:pt>
                <c:pt idx="1245">
                  <c:v>289.58789550250196</c:v>
                </c:pt>
                <c:pt idx="1246">
                  <c:v>292.39692084371728</c:v>
                </c:pt>
                <c:pt idx="1247">
                  <c:v>299.24391931701092</c:v>
                </c:pt>
                <c:pt idx="1248">
                  <c:v>301.99422084077901</c:v>
                </c:pt>
                <c:pt idx="1249">
                  <c:v>298.18562869324001</c:v>
                </c:pt>
                <c:pt idx="1250">
                  <c:v>303.58444624713229</c:v>
                </c:pt>
                <c:pt idx="1251">
                  <c:v>305.00579403973592</c:v>
                </c:pt>
                <c:pt idx="1252">
                  <c:v>304.40213015143445</c:v>
                </c:pt>
                <c:pt idx="1253">
                  <c:v>305.25412238222168</c:v>
                </c:pt>
                <c:pt idx="1254">
                  <c:v>305.50063263552869</c:v>
                </c:pt>
                <c:pt idx="1255">
                  <c:v>312.57798117199314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8-49B5-B3B1-D621D0D2ED1D}"/>
            </c:ext>
          </c:extLst>
        </c:ser>
        <c:ser>
          <c:idx val="1"/>
          <c:order val="1"/>
          <c:tx>
            <c:strRef>
              <c:f>Portfolio!$O$14</c:f>
              <c:strCache>
                <c:ptCount val="1"/>
                <c:pt idx="0">
                  <c:v>IRT S&amp;P(500)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18-49B5-B3B1-D621D0D2E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Portfolio!$O$15:$O$1270</c:f>
              <c:numCache>
                <c:formatCode>0.00</c:formatCode>
                <c:ptCount val="1256"/>
                <c:pt idx="0" formatCode="General">
                  <c:v>100</c:v>
                </c:pt>
                <c:pt idx="1">
                  <c:v>99.697147897677155</c:v>
                </c:pt>
                <c:pt idx="2">
                  <c:v>96.177594825051457</c:v>
                </c:pt>
                <c:pt idx="3">
                  <c:v>97.327256689209051</c:v>
                </c:pt>
                <c:pt idx="4">
                  <c:v>96.148191708321079</c:v>
                </c:pt>
                <c:pt idx="5">
                  <c:v>97.33019700088208</c:v>
                </c:pt>
                <c:pt idx="6">
                  <c:v>99.064980887974102</c:v>
                </c:pt>
                <c:pt idx="7">
                  <c:v>101.24669214936783</c:v>
                </c:pt>
                <c:pt idx="8">
                  <c:v>103.21670097030285</c:v>
                </c:pt>
                <c:pt idx="9">
                  <c:v>103.18729785357249</c:v>
                </c:pt>
                <c:pt idx="10">
                  <c:v>104.39576595119084</c:v>
                </c:pt>
                <c:pt idx="11">
                  <c:v>104.24875036753897</c:v>
                </c:pt>
                <c:pt idx="12">
                  <c:v>105.04851514260511</c:v>
                </c:pt>
                <c:pt idx="13">
                  <c:v>103.99882387533079</c:v>
                </c:pt>
                <c:pt idx="14">
                  <c:v>105.41605410173477</c:v>
                </c:pt>
                <c:pt idx="15">
                  <c:v>106.64216406939136</c:v>
                </c:pt>
                <c:pt idx="16">
                  <c:v>106.13054983828286</c:v>
                </c:pt>
                <c:pt idx="17">
                  <c:v>104.90443987062629</c:v>
                </c:pt>
                <c:pt idx="18">
                  <c:v>105.31902381652455</c:v>
                </c:pt>
                <c:pt idx="19">
                  <c:v>104.60158776830343</c:v>
                </c:pt>
                <c:pt idx="20">
                  <c:v>105.19259041458393</c:v>
                </c:pt>
                <c:pt idx="21">
                  <c:v>106.89209056159952</c:v>
                </c:pt>
                <c:pt idx="22">
                  <c:v>106.72449279623638</c:v>
                </c:pt>
                <c:pt idx="23">
                  <c:v>106.97735960011761</c:v>
                </c:pt>
                <c:pt idx="24">
                  <c:v>106.48632755072038</c:v>
                </c:pt>
                <c:pt idx="25">
                  <c:v>107.68597471331961</c:v>
                </c:pt>
                <c:pt idx="26">
                  <c:v>107.88003528374007</c:v>
                </c:pt>
                <c:pt idx="27">
                  <c:v>107.8124081152602</c:v>
                </c:pt>
                <c:pt idx="28">
                  <c:v>108.7650690973243</c:v>
                </c:pt>
                <c:pt idx="29">
                  <c:v>108.55630696853865</c:v>
                </c:pt>
                <c:pt idx="30">
                  <c:v>108.85621875918845</c:v>
                </c:pt>
                <c:pt idx="31">
                  <c:v>107.99176712731548</c:v>
                </c:pt>
                <c:pt idx="32">
                  <c:v>107.85357247868272</c:v>
                </c:pt>
                <c:pt idx="33">
                  <c:v>107.718318141723</c:v>
                </c:pt>
                <c:pt idx="34">
                  <c:v>107.24786827403702</c:v>
                </c:pt>
                <c:pt idx="35">
                  <c:v>108.6327550720376</c:v>
                </c:pt>
                <c:pt idx="36">
                  <c:v>108.82681564245807</c:v>
                </c:pt>
                <c:pt idx="37">
                  <c:v>109.45310202881504</c:v>
                </c:pt>
                <c:pt idx="38">
                  <c:v>109.06792119964716</c:v>
                </c:pt>
                <c:pt idx="39">
                  <c:v>108.64157600705674</c:v>
                </c:pt>
                <c:pt idx="40">
                  <c:v>108.4181123199059</c:v>
                </c:pt>
                <c:pt idx="41">
                  <c:v>108.49750073507791</c:v>
                </c:pt>
                <c:pt idx="42">
                  <c:v>108.8826815642458</c:v>
                </c:pt>
                <c:pt idx="43">
                  <c:v>109.83240223463687</c:v>
                </c:pt>
                <c:pt idx="44">
                  <c:v>109.58541605410173</c:v>
                </c:pt>
                <c:pt idx="45">
                  <c:v>109.73243163775359</c:v>
                </c:pt>
                <c:pt idx="46">
                  <c:v>110.44104675095559</c:v>
                </c:pt>
                <c:pt idx="47">
                  <c:v>108.81211408409291</c:v>
                </c:pt>
                <c:pt idx="48">
                  <c:v>109.5824757424287</c:v>
                </c:pt>
                <c:pt idx="49">
                  <c:v>110.20582181711261</c:v>
                </c:pt>
                <c:pt idx="50">
                  <c:v>111.84357541899442</c:v>
                </c:pt>
                <c:pt idx="51">
                  <c:v>112.45810055865923</c:v>
                </c:pt>
                <c:pt idx="52">
                  <c:v>111.72008232872686</c:v>
                </c:pt>
                <c:pt idx="53">
                  <c:v>111.76712731549546</c:v>
                </c:pt>
                <c:pt idx="54">
                  <c:v>112.01999411937666</c:v>
                </c:pt>
                <c:pt idx="55">
                  <c:v>111.59952955013232</c:v>
                </c:pt>
                <c:pt idx="56">
                  <c:v>110.79682446339312</c:v>
                </c:pt>
                <c:pt idx="57">
                  <c:v>111.6995001470156</c:v>
                </c:pt>
                <c:pt idx="58">
                  <c:v>113.25492502205236</c:v>
                </c:pt>
                <c:pt idx="59">
                  <c:v>113.29314907380183</c:v>
                </c:pt>
                <c:pt idx="60">
                  <c:v>112.95207291972949</c:v>
                </c:pt>
                <c:pt idx="61">
                  <c:v>113.36077624228167</c:v>
                </c:pt>
                <c:pt idx="62">
                  <c:v>113.1902381652455</c:v>
                </c:pt>
                <c:pt idx="63">
                  <c:v>110.28521023228461</c:v>
                </c:pt>
                <c:pt idx="64">
                  <c:v>111.36136430461627</c:v>
                </c:pt>
                <c:pt idx="65">
                  <c:v>109.20905615995294</c:v>
                </c:pt>
                <c:pt idx="66">
                  <c:v>110.96442222875623</c:v>
                </c:pt>
                <c:pt idx="67">
                  <c:v>112.50514554542779</c:v>
                </c:pt>
                <c:pt idx="68">
                  <c:v>112.61981770067625</c:v>
                </c:pt>
                <c:pt idx="69">
                  <c:v>113.84004704498675</c:v>
                </c:pt>
                <c:pt idx="70">
                  <c:v>114.2840341076154</c:v>
                </c:pt>
                <c:pt idx="71">
                  <c:v>115.13084386945016</c:v>
                </c:pt>
                <c:pt idx="72">
                  <c:v>115.00147015583651</c:v>
                </c:pt>
                <c:pt idx="73">
                  <c:v>114.96324610408703</c:v>
                </c:pt>
                <c:pt idx="74">
                  <c:v>115.15436636283447</c:v>
                </c:pt>
                <c:pt idx="75">
                  <c:v>115.69538371067335</c:v>
                </c:pt>
                <c:pt idx="76">
                  <c:v>115.63069685386652</c:v>
                </c:pt>
                <c:pt idx="77">
                  <c:v>115.59247280211706</c:v>
                </c:pt>
                <c:pt idx="78">
                  <c:v>115.08379888268159</c:v>
                </c:pt>
                <c:pt idx="79">
                  <c:v>114.86915613054985</c:v>
                </c:pt>
                <c:pt idx="80">
                  <c:v>113.98118200529258</c:v>
                </c:pt>
                <c:pt idx="81">
                  <c:v>114.12525727727142</c:v>
                </c:pt>
                <c:pt idx="82">
                  <c:v>115.41899441340784</c:v>
                </c:pt>
                <c:pt idx="83">
                  <c:v>112.59335489561896</c:v>
                </c:pt>
                <c:pt idx="84">
                  <c:v>112.06115848279919</c:v>
                </c:pt>
                <c:pt idx="85">
                  <c:v>114.72508085857105</c:v>
                </c:pt>
                <c:pt idx="86">
                  <c:v>113.79888268156428</c:v>
                </c:pt>
                <c:pt idx="87">
                  <c:v>112.31108497500738</c:v>
                </c:pt>
                <c:pt idx="88">
                  <c:v>110.80564539841227</c:v>
                </c:pt>
                <c:pt idx="89">
                  <c:v>112.96383416642168</c:v>
                </c:pt>
                <c:pt idx="90">
                  <c:v>112.35812996177599</c:v>
                </c:pt>
                <c:pt idx="91">
                  <c:v>113.94883857688919</c:v>
                </c:pt>
                <c:pt idx="92">
                  <c:v>114.63687150837994</c:v>
                </c:pt>
                <c:pt idx="93">
                  <c:v>115.82769773596006</c:v>
                </c:pt>
                <c:pt idx="94">
                  <c:v>115.94531020288156</c:v>
                </c:pt>
                <c:pt idx="95">
                  <c:v>116.69802999117913</c:v>
                </c:pt>
                <c:pt idx="96">
                  <c:v>116.5157306674508</c:v>
                </c:pt>
                <c:pt idx="97">
                  <c:v>116.85092619817706</c:v>
                </c:pt>
                <c:pt idx="98">
                  <c:v>115.12790355777717</c:v>
                </c:pt>
                <c:pt idx="99">
                  <c:v>115.05733607762429</c:v>
                </c:pt>
                <c:pt idx="100">
                  <c:v>115.86592178770955</c:v>
                </c:pt>
                <c:pt idx="101">
                  <c:v>114.98088797412531</c:v>
                </c:pt>
                <c:pt idx="102">
                  <c:v>114.35166127609531</c:v>
                </c:pt>
                <c:pt idx="103">
                  <c:v>114.95148485739493</c:v>
                </c:pt>
                <c:pt idx="104">
                  <c:v>116.8626874448692</c:v>
                </c:pt>
                <c:pt idx="105">
                  <c:v>116.76271684798593</c:v>
                </c:pt>
                <c:pt idx="106">
                  <c:v>116.39517788885627</c:v>
                </c:pt>
                <c:pt idx="107">
                  <c:v>116.81564245810061</c:v>
                </c:pt>
                <c:pt idx="108">
                  <c:v>118.19758894442816</c:v>
                </c:pt>
                <c:pt idx="109">
                  <c:v>119.90296971478983</c:v>
                </c:pt>
                <c:pt idx="110">
                  <c:v>119.78535724786835</c:v>
                </c:pt>
                <c:pt idx="111">
                  <c:v>119.96177594825059</c:v>
                </c:pt>
                <c:pt idx="112">
                  <c:v>120.47044986768603</c:v>
                </c:pt>
                <c:pt idx="113">
                  <c:v>121.39958835636584</c:v>
                </c:pt>
                <c:pt idx="114">
                  <c:v>121.37606586298153</c:v>
                </c:pt>
                <c:pt idx="115">
                  <c:v>121.77594825051462</c:v>
                </c:pt>
                <c:pt idx="116">
                  <c:v>121.2790355777713</c:v>
                </c:pt>
                <c:pt idx="117">
                  <c:v>122.62275801234935</c:v>
                </c:pt>
                <c:pt idx="118">
                  <c:v>123.066745074978</c:v>
                </c:pt>
                <c:pt idx="119">
                  <c:v>122.41399588356371</c:v>
                </c:pt>
                <c:pt idx="120">
                  <c:v>121.5789473684211</c:v>
                </c:pt>
                <c:pt idx="121">
                  <c:v>122.71096736254047</c:v>
                </c:pt>
                <c:pt idx="122">
                  <c:v>121.58188768009414</c:v>
                </c:pt>
                <c:pt idx="123">
                  <c:v>122.91090855630702</c:v>
                </c:pt>
                <c:pt idx="124">
                  <c:v>123.12849162011182</c:v>
                </c:pt>
                <c:pt idx="125">
                  <c:v>123.10202881505447</c:v>
                </c:pt>
                <c:pt idx="126">
                  <c:v>122.99911790649817</c:v>
                </c:pt>
                <c:pt idx="127">
                  <c:v>123.83122610996773</c:v>
                </c:pt>
                <c:pt idx="128">
                  <c:v>122.94031167303741</c:v>
                </c:pt>
                <c:pt idx="129">
                  <c:v>123.2784475154367</c:v>
                </c:pt>
                <c:pt idx="130">
                  <c:v>122.45516024698624</c:v>
                </c:pt>
                <c:pt idx="131">
                  <c:v>122.54042928550435</c:v>
                </c:pt>
                <c:pt idx="132">
                  <c:v>123.54013525433705</c:v>
                </c:pt>
                <c:pt idx="133">
                  <c:v>124.45163187297861</c:v>
                </c:pt>
                <c:pt idx="134">
                  <c:v>123.15201411349608</c:v>
                </c:pt>
                <c:pt idx="135">
                  <c:v>122.08468097618355</c:v>
                </c:pt>
                <c:pt idx="136">
                  <c:v>119.46486327550727</c:v>
                </c:pt>
                <c:pt idx="137">
                  <c:v>120.92031755366074</c:v>
                </c:pt>
                <c:pt idx="138">
                  <c:v>122.72566892090565</c:v>
                </c:pt>
                <c:pt idx="139">
                  <c:v>122.4139958835637</c:v>
                </c:pt>
                <c:pt idx="140">
                  <c:v>121.37018523963545</c:v>
                </c:pt>
                <c:pt idx="141">
                  <c:v>121.01440752719792</c:v>
                </c:pt>
                <c:pt idx="142">
                  <c:v>122.29050279329613</c:v>
                </c:pt>
                <c:pt idx="143">
                  <c:v>122.19641281975892</c:v>
                </c:pt>
                <c:pt idx="144">
                  <c:v>123.40782122905031</c:v>
                </c:pt>
                <c:pt idx="145">
                  <c:v>123.14319317847695</c:v>
                </c:pt>
                <c:pt idx="146">
                  <c:v>123.37547780064688</c:v>
                </c:pt>
                <c:pt idx="147">
                  <c:v>123.5195530726257</c:v>
                </c:pt>
                <c:pt idx="148">
                  <c:v>123.61364304616292</c:v>
                </c:pt>
                <c:pt idx="149">
                  <c:v>123.55189650102912</c:v>
                </c:pt>
                <c:pt idx="150">
                  <c:v>123.73125551308441</c:v>
                </c:pt>
                <c:pt idx="151">
                  <c:v>123.28432813878271</c:v>
                </c:pt>
                <c:pt idx="152">
                  <c:v>124.37224345780652</c:v>
                </c:pt>
                <c:pt idx="153">
                  <c:v>124.27227286092325</c:v>
                </c:pt>
                <c:pt idx="154">
                  <c:v>124.29579535430754</c:v>
                </c:pt>
                <c:pt idx="155">
                  <c:v>124.06939135548367</c:v>
                </c:pt>
                <c:pt idx="156">
                  <c:v>124.64569244339899</c:v>
                </c:pt>
                <c:pt idx="157">
                  <c:v>124.88679800058804</c:v>
                </c:pt>
                <c:pt idx="158">
                  <c:v>125.11320199941193</c:v>
                </c:pt>
                <c:pt idx="159">
                  <c:v>124.86327550720375</c:v>
                </c:pt>
                <c:pt idx="160">
                  <c:v>124.18994413407817</c:v>
                </c:pt>
                <c:pt idx="161">
                  <c:v>124.1370185239635</c:v>
                </c:pt>
                <c:pt idx="162">
                  <c:v>122.50514554542778</c:v>
                </c:pt>
                <c:pt idx="163">
                  <c:v>124.22228756248161</c:v>
                </c:pt>
                <c:pt idx="164">
                  <c:v>124.85739488385767</c:v>
                </c:pt>
                <c:pt idx="165">
                  <c:v>124.72214054689796</c:v>
                </c:pt>
                <c:pt idx="166">
                  <c:v>125.44839753013819</c:v>
                </c:pt>
                <c:pt idx="167">
                  <c:v>125.8659217877095</c:v>
                </c:pt>
                <c:pt idx="168">
                  <c:v>126.15701264334021</c:v>
                </c:pt>
                <c:pt idx="169">
                  <c:v>126.19229638341665</c:v>
                </c:pt>
                <c:pt idx="170">
                  <c:v>126.35989414877977</c:v>
                </c:pt>
                <c:pt idx="171">
                  <c:v>127.01852396354012</c:v>
                </c:pt>
                <c:pt idx="172">
                  <c:v>127.97118494560424</c:v>
                </c:pt>
                <c:pt idx="173">
                  <c:v>127.71243751837694</c:v>
                </c:pt>
                <c:pt idx="174">
                  <c:v>128.14172302264041</c:v>
                </c:pt>
                <c:pt idx="175">
                  <c:v>127.04498676859748</c:v>
                </c:pt>
                <c:pt idx="176">
                  <c:v>128.47985886503969</c:v>
                </c:pt>
                <c:pt idx="177">
                  <c:v>128.92090561599528</c:v>
                </c:pt>
                <c:pt idx="178">
                  <c:v>128.46809761834751</c:v>
                </c:pt>
                <c:pt idx="179">
                  <c:v>128.61805351367244</c:v>
                </c:pt>
                <c:pt idx="180">
                  <c:v>128.19758894442811</c:v>
                </c:pt>
                <c:pt idx="181">
                  <c:v>127.23316671567186</c:v>
                </c:pt>
                <c:pt idx="182">
                  <c:v>125.21317259629521</c:v>
                </c:pt>
                <c:pt idx="183">
                  <c:v>127.11261393707736</c:v>
                </c:pt>
                <c:pt idx="184">
                  <c:v>128.15936489267864</c:v>
                </c:pt>
                <c:pt idx="185">
                  <c:v>128.41811231990593</c:v>
                </c:pt>
                <c:pt idx="186">
                  <c:v>129.72067039106147</c:v>
                </c:pt>
                <c:pt idx="187">
                  <c:v>130.02940311673041</c:v>
                </c:pt>
                <c:pt idx="188">
                  <c:v>129.41781828873863</c:v>
                </c:pt>
                <c:pt idx="189">
                  <c:v>129.39135548368131</c:v>
                </c:pt>
                <c:pt idx="190">
                  <c:v>129.93531314319321</c:v>
                </c:pt>
                <c:pt idx="191">
                  <c:v>129.23551896501033</c:v>
                </c:pt>
                <c:pt idx="192">
                  <c:v>128.9973537194943</c:v>
                </c:pt>
                <c:pt idx="193">
                  <c:v>130.05292561011473</c:v>
                </c:pt>
                <c:pt idx="194">
                  <c:v>129.4531020288151</c:v>
                </c:pt>
                <c:pt idx="195">
                  <c:v>130.22934431049697</c:v>
                </c:pt>
                <c:pt idx="196">
                  <c:v>130.44692737430171</c:v>
                </c:pt>
                <c:pt idx="197">
                  <c:v>130.32637459570716</c:v>
                </c:pt>
                <c:pt idx="198">
                  <c:v>130.45574830932082</c:v>
                </c:pt>
                <c:pt idx="199">
                  <c:v>130.77624228168187</c:v>
                </c:pt>
                <c:pt idx="200">
                  <c:v>131.16142311084977</c:v>
                </c:pt>
                <c:pt idx="201">
                  <c:v>131.37312555130845</c:v>
                </c:pt>
                <c:pt idx="202">
                  <c:v>131.71714201705382</c:v>
                </c:pt>
                <c:pt idx="203">
                  <c:v>130.78800352837405</c:v>
                </c:pt>
                <c:pt idx="204">
                  <c:v>129.38253454866219</c:v>
                </c:pt>
                <c:pt idx="205">
                  <c:v>129.54425169067926</c:v>
                </c:pt>
                <c:pt idx="206">
                  <c:v>130.59982358129966</c:v>
                </c:pt>
                <c:pt idx="207">
                  <c:v>131.71126139370779</c:v>
                </c:pt>
                <c:pt idx="208">
                  <c:v>131.90826227580129</c:v>
                </c:pt>
                <c:pt idx="209">
                  <c:v>132.20229344310502</c:v>
                </c:pt>
                <c:pt idx="210">
                  <c:v>131.43193178476923</c:v>
                </c:pt>
                <c:pt idx="211">
                  <c:v>132.59041458394591</c:v>
                </c:pt>
                <c:pt idx="212">
                  <c:v>133.16083504851517</c:v>
                </c:pt>
                <c:pt idx="213">
                  <c:v>132.98147603645987</c:v>
                </c:pt>
                <c:pt idx="214">
                  <c:v>133.02264039988242</c:v>
                </c:pt>
                <c:pt idx="215">
                  <c:v>133.39900029403117</c:v>
                </c:pt>
                <c:pt idx="216">
                  <c:v>133.35489561893561</c:v>
                </c:pt>
                <c:pt idx="217">
                  <c:v>132.90208762128788</c:v>
                </c:pt>
                <c:pt idx="218">
                  <c:v>132.72860923257869</c:v>
                </c:pt>
                <c:pt idx="219">
                  <c:v>132.11702440458691</c:v>
                </c:pt>
                <c:pt idx="220">
                  <c:v>131.09673625404295</c:v>
                </c:pt>
                <c:pt idx="221">
                  <c:v>131.39370773301971</c:v>
                </c:pt>
                <c:pt idx="222">
                  <c:v>130.64098794472216</c:v>
                </c:pt>
                <c:pt idx="223">
                  <c:v>131.7465451337842</c:v>
                </c:pt>
                <c:pt idx="224">
                  <c:v>131.54366362834463</c:v>
                </c:pt>
                <c:pt idx="225">
                  <c:v>130.3440164657454</c:v>
                </c:pt>
                <c:pt idx="226">
                  <c:v>128.12996177594829</c:v>
                </c:pt>
                <c:pt idx="227">
                  <c:v>128.02705086739198</c:v>
                </c:pt>
                <c:pt idx="228">
                  <c:v>129.24433990002944</c:v>
                </c:pt>
                <c:pt idx="229">
                  <c:v>130.81446633343137</c:v>
                </c:pt>
                <c:pt idx="230">
                  <c:v>131.00558659217879</c:v>
                </c:pt>
                <c:pt idx="231">
                  <c:v>130.64098794472216</c:v>
                </c:pt>
                <c:pt idx="232">
                  <c:v>127.98000588062335</c:v>
                </c:pt>
                <c:pt idx="233">
                  <c:v>128.18288738606293</c:v>
                </c:pt>
                <c:pt idx="234">
                  <c:v>126.6539253160835</c:v>
                </c:pt>
                <c:pt idx="235">
                  <c:v>128.109379594237</c:v>
                </c:pt>
                <c:pt idx="236">
                  <c:v>126.44810349897089</c:v>
                </c:pt>
                <c:pt idx="237">
                  <c:v>127.77712437518377</c:v>
                </c:pt>
                <c:pt idx="238">
                  <c:v>128.3034401646575</c:v>
                </c:pt>
                <c:pt idx="239">
                  <c:v>129.36783299029702</c:v>
                </c:pt>
                <c:pt idx="240">
                  <c:v>129.11790649808884</c:v>
                </c:pt>
                <c:pt idx="241">
                  <c:v>128.2328726845046</c:v>
                </c:pt>
                <c:pt idx="242">
                  <c:v>127.92119964716265</c:v>
                </c:pt>
                <c:pt idx="243">
                  <c:v>128.30932078800359</c:v>
                </c:pt>
                <c:pt idx="244">
                  <c:v>130.49985298441641</c:v>
                </c:pt>
                <c:pt idx="245">
                  <c:v>131.47309614819176</c:v>
                </c:pt>
                <c:pt idx="246">
                  <c:v>131.91708321082041</c:v>
                </c:pt>
                <c:pt idx="247">
                  <c:v>132.89032637459579</c:v>
                </c:pt>
                <c:pt idx="248">
                  <c:v>133.37841811231999</c:v>
                </c:pt>
                <c:pt idx="249">
                  <c:v>133.77830049985306</c:v>
                </c:pt>
                <c:pt idx="250">
                  <c:v>133.6342252278742</c:v>
                </c:pt>
                <c:pt idx="251">
                  <c:v>134.26933254925027</c:v>
                </c:pt>
                <c:pt idx="252">
                  <c:v>134.51337841811238</c:v>
                </c:pt>
                <c:pt idx="253">
                  <c:v>133.83416642164076</c:v>
                </c:pt>
                <c:pt idx="254">
                  <c:v>135.14848573948845</c:v>
                </c:pt>
                <c:pt idx="255">
                  <c:v>135.4131137900618</c:v>
                </c:pt>
                <c:pt idx="256">
                  <c:v>135.65715965892392</c:v>
                </c:pt>
                <c:pt idx="257">
                  <c:v>136.15407233166727</c:v>
                </c:pt>
                <c:pt idx="258">
                  <c:v>137.03616583357848</c:v>
                </c:pt>
                <c:pt idx="259">
                  <c:v>137.60952660982076</c:v>
                </c:pt>
                <c:pt idx="260">
                  <c:v>138.12114084092923</c:v>
                </c:pt>
                <c:pt idx="261">
                  <c:v>138.2446339311968</c:v>
                </c:pt>
                <c:pt idx="262">
                  <c:v>137.75948250514566</c:v>
                </c:pt>
                <c:pt idx="263">
                  <c:v>136.62746251102629</c:v>
                </c:pt>
                <c:pt idx="264">
                  <c:v>136.70391061452526</c:v>
                </c:pt>
                <c:pt idx="265">
                  <c:v>137.69185533666578</c:v>
                </c:pt>
                <c:pt idx="266">
                  <c:v>137.68891502499275</c:v>
                </c:pt>
                <c:pt idx="267">
                  <c:v>138.22111143781248</c:v>
                </c:pt>
                <c:pt idx="268">
                  <c:v>137.86239341370194</c:v>
                </c:pt>
                <c:pt idx="269">
                  <c:v>138.32696265804185</c:v>
                </c:pt>
                <c:pt idx="270">
                  <c:v>138.13584239929443</c:v>
                </c:pt>
                <c:pt idx="271">
                  <c:v>137.69185533666578</c:v>
                </c:pt>
                <c:pt idx="272">
                  <c:v>137.92119964716269</c:v>
                </c:pt>
                <c:pt idx="273">
                  <c:v>138.23875330785074</c:v>
                </c:pt>
                <c:pt idx="274">
                  <c:v>135.09556012937384</c:v>
                </c:pt>
                <c:pt idx="275">
                  <c:v>136.8803293149075</c:v>
                </c:pt>
                <c:pt idx="276">
                  <c:v>134.28403410761553</c:v>
                </c:pt>
                <c:pt idx="277">
                  <c:v>132.69626580417537</c:v>
                </c:pt>
                <c:pt idx="278">
                  <c:v>134.58100558659234</c:v>
                </c:pt>
                <c:pt idx="279">
                  <c:v>133.44310496912686</c:v>
                </c:pt>
                <c:pt idx="280">
                  <c:v>135.01029109085579</c:v>
                </c:pt>
                <c:pt idx="281">
                  <c:v>137.80652749191432</c:v>
                </c:pt>
                <c:pt idx="282">
                  <c:v>138.22993237283168</c:v>
                </c:pt>
                <c:pt idx="283">
                  <c:v>137.23610702734507</c:v>
                </c:pt>
                <c:pt idx="284">
                  <c:v>138.54748603351973</c:v>
                </c:pt>
                <c:pt idx="285">
                  <c:v>137.28315201411365</c:v>
                </c:pt>
                <c:pt idx="286">
                  <c:v>136.25698324022363</c:v>
                </c:pt>
                <c:pt idx="287">
                  <c:v>138.48573948838592</c:v>
                </c:pt>
                <c:pt idx="288">
                  <c:v>137.27433107909454</c:v>
                </c:pt>
                <c:pt idx="289">
                  <c:v>135.86004116436359</c:v>
                </c:pt>
                <c:pt idx="290">
                  <c:v>134.31343722434593</c:v>
                </c:pt>
                <c:pt idx="291">
                  <c:v>136.70097030285226</c:v>
                </c:pt>
                <c:pt idx="292">
                  <c:v>138.09467803587199</c:v>
                </c:pt>
                <c:pt idx="293">
                  <c:v>138.95324904439889</c:v>
                </c:pt>
                <c:pt idx="294">
                  <c:v>140.8762128785653</c:v>
                </c:pt>
                <c:pt idx="295">
                  <c:v>140.73507791825949</c:v>
                </c:pt>
                <c:pt idx="296">
                  <c:v>140.93207880035303</c:v>
                </c:pt>
                <c:pt idx="297">
                  <c:v>140.50867391943564</c:v>
                </c:pt>
                <c:pt idx="298">
                  <c:v>140.14113496030598</c:v>
                </c:pt>
                <c:pt idx="299">
                  <c:v>141.03498970890936</c:v>
                </c:pt>
                <c:pt idx="300">
                  <c:v>140.9438400470452</c:v>
                </c:pt>
                <c:pt idx="301">
                  <c:v>138.21229050279351</c:v>
                </c:pt>
                <c:pt idx="302">
                  <c:v>138.07997647750685</c:v>
                </c:pt>
                <c:pt idx="303">
                  <c:v>137.51837694795671</c:v>
                </c:pt>
                <c:pt idx="304">
                  <c:v>137.32137606586321</c:v>
                </c:pt>
                <c:pt idx="305">
                  <c:v>138.5798294619232</c:v>
                </c:pt>
                <c:pt idx="306">
                  <c:v>138.97089091443712</c:v>
                </c:pt>
                <c:pt idx="307">
                  <c:v>136.98912084680995</c:v>
                </c:pt>
                <c:pt idx="308">
                  <c:v>137.10379300205841</c:v>
                </c:pt>
                <c:pt idx="309">
                  <c:v>134.5810055865924</c:v>
                </c:pt>
                <c:pt idx="310">
                  <c:v>133.27844751543685</c:v>
                </c:pt>
                <c:pt idx="311">
                  <c:v>131.80535136724512</c:v>
                </c:pt>
                <c:pt idx="312">
                  <c:v>129.31196706850946</c:v>
                </c:pt>
                <c:pt idx="313">
                  <c:v>129.67068509262006</c:v>
                </c:pt>
                <c:pt idx="314">
                  <c:v>128.09173772419896</c:v>
                </c:pt>
                <c:pt idx="315">
                  <c:v>127.90061746545153</c:v>
                </c:pt>
                <c:pt idx="316">
                  <c:v>127.21258453396079</c:v>
                </c:pt>
                <c:pt idx="317">
                  <c:v>130.31167303734216</c:v>
                </c:pt>
                <c:pt idx="318">
                  <c:v>132.77271390767444</c:v>
                </c:pt>
                <c:pt idx="319">
                  <c:v>133.68127021464298</c:v>
                </c:pt>
                <c:pt idx="320">
                  <c:v>134.94266392237597</c:v>
                </c:pt>
                <c:pt idx="321">
                  <c:v>131.64951484857414</c:v>
                </c:pt>
                <c:pt idx="322">
                  <c:v>132.32872684504576</c:v>
                </c:pt>
                <c:pt idx="323">
                  <c:v>131.84063510732156</c:v>
                </c:pt>
                <c:pt idx="324">
                  <c:v>132.94619229638363</c:v>
                </c:pt>
                <c:pt idx="325">
                  <c:v>134.87797706556916</c:v>
                </c:pt>
                <c:pt idx="326">
                  <c:v>132.43457806527513</c:v>
                </c:pt>
                <c:pt idx="327">
                  <c:v>129.92178770949741</c:v>
                </c:pt>
                <c:pt idx="328">
                  <c:v>129.42281681858296</c:v>
                </c:pt>
                <c:pt idx="329">
                  <c:v>131.46339311967088</c:v>
                </c:pt>
                <c:pt idx="330">
                  <c:v>131.57924139958857</c:v>
                </c:pt>
                <c:pt idx="331">
                  <c:v>128.79329608938568</c:v>
                </c:pt>
                <c:pt idx="332">
                  <c:v>127.87033225521924</c:v>
                </c:pt>
                <c:pt idx="333">
                  <c:v>126.57336077624247</c:v>
                </c:pt>
                <c:pt idx="334">
                  <c:v>124.24286974419306</c:v>
                </c:pt>
                <c:pt idx="335">
                  <c:v>126.10114672155267</c:v>
                </c:pt>
                <c:pt idx="336">
                  <c:v>128.92237577183201</c:v>
                </c:pt>
                <c:pt idx="337">
                  <c:v>128.60746839164972</c:v>
                </c:pt>
                <c:pt idx="338">
                  <c:v>126.61746545133806</c:v>
                </c:pt>
                <c:pt idx="339">
                  <c:v>128.97794766245244</c:v>
                </c:pt>
                <c:pt idx="340">
                  <c:v>128.30020582181731</c:v>
                </c:pt>
                <c:pt idx="341">
                  <c:v>127.28226992061178</c:v>
                </c:pt>
                <c:pt idx="342">
                  <c:v>123.52513966480467</c:v>
                </c:pt>
                <c:pt idx="343">
                  <c:v>122.63157894736861</c:v>
                </c:pt>
                <c:pt idx="344">
                  <c:v>125.78300499853006</c:v>
                </c:pt>
                <c:pt idx="345">
                  <c:v>125.2431637753604</c:v>
                </c:pt>
                <c:pt idx="346">
                  <c:v>123.61981770067648</c:v>
                </c:pt>
                <c:pt idx="347">
                  <c:v>122.7024404586888</c:v>
                </c:pt>
                <c:pt idx="348">
                  <c:v>125.32931490738038</c:v>
                </c:pt>
                <c:pt idx="349">
                  <c:v>128.13466627462529</c:v>
                </c:pt>
                <c:pt idx="350">
                  <c:v>129.71684798588669</c:v>
                </c:pt>
                <c:pt idx="351">
                  <c:v>131.22963834166441</c:v>
                </c:pt>
                <c:pt idx="352">
                  <c:v>131.17259629520751</c:v>
                </c:pt>
                <c:pt idx="353">
                  <c:v>132.65539547192023</c:v>
                </c:pt>
                <c:pt idx="354">
                  <c:v>131.02734489855945</c:v>
                </c:pt>
                <c:pt idx="355">
                  <c:v>132.90679211996493</c:v>
                </c:pt>
                <c:pt idx="356">
                  <c:v>133.58012349309053</c:v>
                </c:pt>
                <c:pt idx="357">
                  <c:v>134.53454866215844</c:v>
                </c:pt>
                <c:pt idx="358">
                  <c:v>136.18347544839779</c:v>
                </c:pt>
                <c:pt idx="359">
                  <c:v>135.32637459570736</c:v>
                </c:pt>
                <c:pt idx="360">
                  <c:v>133.20817406645125</c:v>
                </c:pt>
                <c:pt idx="361">
                  <c:v>133.66245221993552</c:v>
                </c:pt>
                <c:pt idx="362">
                  <c:v>134.74389885327867</c:v>
                </c:pt>
                <c:pt idx="363">
                  <c:v>133.05263157894757</c:v>
                </c:pt>
                <c:pt idx="364">
                  <c:v>131.75977653631304</c:v>
                </c:pt>
                <c:pt idx="365">
                  <c:v>132.32019994119398</c:v>
                </c:pt>
                <c:pt idx="366">
                  <c:v>131.96942075860062</c:v>
                </c:pt>
                <c:pt idx="367">
                  <c:v>129.74213466627484</c:v>
                </c:pt>
                <c:pt idx="368">
                  <c:v>129.29873566598081</c:v>
                </c:pt>
                <c:pt idx="369">
                  <c:v>130.74360482211137</c:v>
                </c:pt>
                <c:pt idx="370">
                  <c:v>129.15583651867121</c:v>
                </c:pt>
                <c:pt idx="371">
                  <c:v>129.12937371361386</c:v>
                </c:pt>
                <c:pt idx="372">
                  <c:v>131.20288150543982</c:v>
                </c:pt>
                <c:pt idx="373">
                  <c:v>131.12172890326397</c:v>
                </c:pt>
                <c:pt idx="374">
                  <c:v>129.18729785357269</c:v>
                </c:pt>
                <c:pt idx="375">
                  <c:v>125.60364598647476</c:v>
                </c:pt>
                <c:pt idx="376">
                  <c:v>126.31931784769206</c:v>
                </c:pt>
                <c:pt idx="377">
                  <c:v>122.7638929726553</c:v>
                </c:pt>
                <c:pt idx="378">
                  <c:v>123.02146427521336</c:v>
                </c:pt>
                <c:pt idx="379">
                  <c:v>126.06586298147623</c:v>
                </c:pt>
                <c:pt idx="380">
                  <c:v>121.49162011173205</c:v>
                </c:pt>
                <c:pt idx="381">
                  <c:v>122.18112319905929</c:v>
                </c:pt>
                <c:pt idx="382">
                  <c:v>122.77212584533976</c:v>
                </c:pt>
                <c:pt idx="383">
                  <c:v>126.43840047045003</c:v>
                </c:pt>
                <c:pt idx="384">
                  <c:v>121.93090267568378</c:v>
                </c:pt>
                <c:pt idx="385">
                  <c:v>121.2390473390181</c:v>
                </c:pt>
                <c:pt idx="386">
                  <c:v>117.35489561893574</c:v>
                </c:pt>
                <c:pt idx="387">
                  <c:v>117.64334019406071</c:v>
                </c:pt>
                <c:pt idx="388">
                  <c:v>115.706556895031</c:v>
                </c:pt>
                <c:pt idx="389">
                  <c:v>115.55660099970609</c:v>
                </c:pt>
                <c:pt idx="390">
                  <c:v>118.31490738018242</c:v>
                </c:pt>
                <c:pt idx="391">
                  <c:v>117.84798588650411</c:v>
                </c:pt>
                <c:pt idx="392">
                  <c:v>120.2249338429875</c:v>
                </c:pt>
                <c:pt idx="393">
                  <c:v>115.3684210526317</c:v>
                </c:pt>
                <c:pt idx="394">
                  <c:v>114.69538371067347</c:v>
                </c:pt>
                <c:pt idx="395">
                  <c:v>114.71214348720979</c:v>
                </c:pt>
                <c:pt idx="396">
                  <c:v>116.84063510732152</c:v>
                </c:pt>
                <c:pt idx="397">
                  <c:v>115.89179653043237</c:v>
                </c:pt>
                <c:pt idx="398">
                  <c:v>116.98706262863878</c:v>
                </c:pt>
                <c:pt idx="399">
                  <c:v>119.31314319317863</c:v>
                </c:pt>
                <c:pt idx="400">
                  <c:v>122.26521611290812</c:v>
                </c:pt>
                <c:pt idx="401">
                  <c:v>121.49808879741268</c:v>
                </c:pt>
                <c:pt idx="402">
                  <c:v>120.58894442810953</c:v>
                </c:pt>
                <c:pt idx="403">
                  <c:v>122.81152602175847</c:v>
                </c:pt>
                <c:pt idx="404">
                  <c:v>120.80388121140858</c:v>
                </c:pt>
                <c:pt idx="405">
                  <c:v>121.1828873860631</c:v>
                </c:pt>
                <c:pt idx="406">
                  <c:v>122.33695971773027</c:v>
                </c:pt>
                <c:pt idx="407">
                  <c:v>121.0164657453692</c:v>
                </c:pt>
                <c:pt idx="408">
                  <c:v>118.13643046162912</c:v>
                </c:pt>
                <c:pt idx="409">
                  <c:v>114.69744192884464</c:v>
                </c:pt>
                <c:pt idx="410">
                  <c:v>110.25080858571026</c:v>
                </c:pt>
                <c:pt idx="411">
                  <c:v>109.83475448397547</c:v>
                </c:pt>
                <c:pt idx="412">
                  <c:v>111.43751837694812</c:v>
                </c:pt>
                <c:pt idx="413">
                  <c:v>107.8144663334315</c:v>
                </c:pt>
                <c:pt idx="414">
                  <c:v>108.05174948544561</c:v>
                </c:pt>
                <c:pt idx="415">
                  <c:v>110.6965598353427</c:v>
                </c:pt>
                <c:pt idx="416">
                  <c:v>110.55248456336386</c:v>
                </c:pt>
                <c:pt idx="417">
                  <c:v>111.60629226698046</c:v>
                </c:pt>
                <c:pt idx="418">
                  <c:v>115.01734783887107</c:v>
                </c:pt>
                <c:pt idx="419">
                  <c:v>114.67538959129683</c:v>
                </c:pt>
                <c:pt idx="420">
                  <c:v>112.3654807409587</c:v>
                </c:pt>
                <c:pt idx="421">
                  <c:v>112.28550426345208</c:v>
                </c:pt>
                <c:pt idx="422">
                  <c:v>111.30197000882109</c:v>
                </c:pt>
                <c:pt idx="423">
                  <c:v>112.4766245221995</c:v>
                </c:pt>
                <c:pt idx="424">
                  <c:v>112.65480740958556</c:v>
                </c:pt>
                <c:pt idx="425">
                  <c:v>113.05733607762436</c:v>
                </c:pt>
                <c:pt idx="426">
                  <c:v>114.74919141429004</c:v>
                </c:pt>
                <c:pt idx="427">
                  <c:v>114.65392531608363</c:v>
                </c:pt>
                <c:pt idx="428">
                  <c:v>113.33225521905332</c:v>
                </c:pt>
                <c:pt idx="429">
                  <c:v>112.28462216995013</c:v>
                </c:pt>
                <c:pt idx="430">
                  <c:v>111.78418112319918</c:v>
                </c:pt>
                <c:pt idx="431">
                  <c:v>111.44898559247292</c:v>
                </c:pt>
                <c:pt idx="432">
                  <c:v>113.5889444281095</c:v>
                </c:pt>
                <c:pt idx="433">
                  <c:v>112.63892972655113</c:v>
                </c:pt>
                <c:pt idx="434">
                  <c:v>115.75095560129387</c:v>
                </c:pt>
                <c:pt idx="435">
                  <c:v>116.43340194060583</c:v>
                </c:pt>
                <c:pt idx="436">
                  <c:v>117.58159364892693</c:v>
                </c:pt>
                <c:pt idx="437">
                  <c:v>116.4842693325494</c:v>
                </c:pt>
                <c:pt idx="438">
                  <c:v>116.63745957071465</c:v>
                </c:pt>
                <c:pt idx="439">
                  <c:v>115.29109085563086</c:v>
                </c:pt>
                <c:pt idx="440">
                  <c:v>118.30667450749796</c:v>
                </c:pt>
                <c:pt idx="441">
                  <c:v>119.74213466627478</c:v>
                </c:pt>
                <c:pt idx="442">
                  <c:v>121.44339900029421</c:v>
                </c:pt>
                <c:pt idx="443">
                  <c:v>121.10055865921805</c:v>
                </c:pt>
                <c:pt idx="444">
                  <c:v>120.2937371361366</c:v>
                </c:pt>
                <c:pt idx="445">
                  <c:v>122.17494854454588</c:v>
                </c:pt>
                <c:pt idx="446">
                  <c:v>122.07997647750676</c:v>
                </c:pt>
                <c:pt idx="447">
                  <c:v>121.88150543957674</c:v>
                </c:pt>
                <c:pt idx="448">
                  <c:v>121.73066745074996</c:v>
                </c:pt>
                <c:pt idx="449">
                  <c:v>121.21346662746268</c:v>
                </c:pt>
                <c:pt idx="450">
                  <c:v>123.79417818288753</c:v>
                </c:pt>
                <c:pt idx="451">
                  <c:v>123.70685092619834</c:v>
                </c:pt>
                <c:pt idx="452">
                  <c:v>125.84975007350793</c:v>
                </c:pt>
                <c:pt idx="453">
                  <c:v>126.349309026757</c:v>
                </c:pt>
                <c:pt idx="454">
                  <c:v>126.58629814760378</c:v>
                </c:pt>
                <c:pt idx="455">
                  <c:v>125.67009703028535</c:v>
                </c:pt>
                <c:pt idx="456">
                  <c:v>125.95530726256997</c:v>
                </c:pt>
                <c:pt idx="457">
                  <c:v>124.33049103204952</c:v>
                </c:pt>
                <c:pt idx="458">
                  <c:v>121.66980299911803</c:v>
                </c:pt>
                <c:pt idx="459">
                  <c:v>121.39753013819477</c:v>
                </c:pt>
                <c:pt idx="460">
                  <c:v>121.75154366362848</c:v>
                </c:pt>
                <c:pt idx="461">
                  <c:v>123.46721552484576</c:v>
                </c:pt>
                <c:pt idx="462">
                  <c:v>119.30785063216712</c:v>
                </c:pt>
                <c:pt idx="463">
                  <c:v>118.51249632461052</c:v>
                </c:pt>
                <c:pt idx="464">
                  <c:v>117.20552778594541</c:v>
                </c:pt>
                <c:pt idx="465">
                  <c:v>116.28932666862698</c:v>
                </c:pt>
                <c:pt idx="466">
                  <c:v>116.63775360188191</c:v>
                </c:pt>
                <c:pt idx="467">
                  <c:v>115.38547486033532</c:v>
                </c:pt>
                <c:pt idx="468">
                  <c:v>114.91296677447821</c:v>
                </c:pt>
                <c:pt idx="469">
                  <c:v>117.02058218171138</c:v>
                </c:pt>
                <c:pt idx="470">
                  <c:v>117.79417818288751</c:v>
                </c:pt>
                <c:pt idx="471">
                  <c:v>119.59306086445177</c:v>
                </c:pt>
                <c:pt idx="472">
                  <c:v>120.85886503969432</c:v>
                </c:pt>
                <c:pt idx="473">
                  <c:v>115.63334313437235</c:v>
                </c:pt>
                <c:pt idx="474">
                  <c:v>116.02499264922095</c:v>
                </c:pt>
                <c:pt idx="475">
                  <c:v>114.71184945604246</c:v>
                </c:pt>
                <c:pt idx="476">
                  <c:v>113.88797412525739</c:v>
                </c:pt>
                <c:pt idx="477">
                  <c:v>114.6689209056161</c:v>
                </c:pt>
                <c:pt idx="478">
                  <c:v>113.37635989414889</c:v>
                </c:pt>
                <c:pt idx="479">
                  <c:v>111.43575418994425</c:v>
                </c:pt>
                <c:pt idx="480">
                  <c:v>110.49661864157612</c:v>
                </c:pt>
                <c:pt idx="481">
                  <c:v>108.59247280211714</c:v>
                </c:pt>
                <c:pt idx="482">
                  <c:v>107.46956777418418</c:v>
                </c:pt>
                <c:pt idx="483">
                  <c:v>107.24169361952379</c:v>
                </c:pt>
                <c:pt idx="484">
                  <c:v>109.35136724492807</c:v>
                </c:pt>
                <c:pt idx="485">
                  <c:v>107.04116436342262</c:v>
                </c:pt>
                <c:pt idx="486">
                  <c:v>105.42840341076163</c:v>
                </c:pt>
                <c:pt idx="487">
                  <c:v>108.15730667450759</c:v>
                </c:pt>
                <c:pt idx="488">
                  <c:v>111.46515730667461</c:v>
                </c:pt>
                <c:pt idx="489">
                  <c:v>111.24022346368727</c:v>
                </c:pt>
                <c:pt idx="490">
                  <c:v>110.100558659218</c:v>
                </c:pt>
                <c:pt idx="491">
                  <c:v>107.01734783887103</c:v>
                </c:pt>
                <c:pt idx="492">
                  <c:v>106.21552484563375</c:v>
                </c:pt>
                <c:pt idx="493">
                  <c:v>105.52308144663347</c:v>
                </c:pt>
                <c:pt idx="494">
                  <c:v>105.17583063804776</c:v>
                </c:pt>
                <c:pt idx="495">
                  <c:v>107.90679211996483</c:v>
                </c:pt>
                <c:pt idx="496">
                  <c:v>105.35342546309921</c:v>
                </c:pt>
                <c:pt idx="497">
                  <c:v>108.14319317847705</c:v>
                </c:pt>
                <c:pt idx="498">
                  <c:v>109.37900617465466</c:v>
                </c:pt>
                <c:pt idx="499">
                  <c:v>108.64922081740679</c:v>
                </c:pt>
                <c:pt idx="500">
                  <c:v>107.78535724786843</c:v>
                </c:pt>
                <c:pt idx="501">
                  <c:v>110.342546309909</c:v>
                </c:pt>
                <c:pt idx="502">
                  <c:v>111.65363128491634</c:v>
                </c:pt>
                <c:pt idx="503">
                  <c:v>113.46986180535151</c:v>
                </c:pt>
                <c:pt idx="504">
                  <c:v>112.63157894736855</c:v>
                </c:pt>
                <c:pt idx="505">
                  <c:v>111.94648632755086</c:v>
                </c:pt>
                <c:pt idx="506">
                  <c:v>114.70332255219066</c:v>
                </c:pt>
                <c:pt idx="507">
                  <c:v>113.84827991767141</c:v>
                </c:pt>
                <c:pt idx="508">
                  <c:v>113.38135842399306</c:v>
                </c:pt>
                <c:pt idx="509">
                  <c:v>110.54660394001776</c:v>
                </c:pt>
                <c:pt idx="510">
                  <c:v>109.37635989414889</c:v>
                </c:pt>
                <c:pt idx="511">
                  <c:v>110.86592178770962</c:v>
                </c:pt>
                <c:pt idx="512">
                  <c:v>111.93178476918567</c:v>
                </c:pt>
                <c:pt idx="513">
                  <c:v>112.55836518670993</c:v>
                </c:pt>
                <c:pt idx="514">
                  <c:v>110.21964128197604</c:v>
                </c:pt>
                <c:pt idx="515">
                  <c:v>116.32960893854764</c:v>
                </c:pt>
                <c:pt idx="516">
                  <c:v>117.40458688621008</c:v>
                </c:pt>
                <c:pt idx="517">
                  <c:v>116.35548368127036</c:v>
                </c:pt>
                <c:pt idx="518">
                  <c:v>117.36930314613365</c:v>
                </c:pt>
                <c:pt idx="519">
                  <c:v>116.40076448103514</c:v>
                </c:pt>
                <c:pt idx="520">
                  <c:v>116.04116436342267</c:v>
                </c:pt>
                <c:pt idx="521">
                  <c:v>116.5933548956191</c:v>
                </c:pt>
                <c:pt idx="522">
                  <c:v>116.14054689797133</c:v>
                </c:pt>
                <c:pt idx="523">
                  <c:v>117.71773007938857</c:v>
                </c:pt>
                <c:pt idx="524">
                  <c:v>118.41399588356383</c:v>
                </c:pt>
                <c:pt idx="525">
                  <c:v>118.38047633049119</c:v>
                </c:pt>
                <c:pt idx="526">
                  <c:v>116.55219053219658</c:v>
                </c:pt>
                <c:pt idx="527">
                  <c:v>116.36665686562792</c:v>
                </c:pt>
                <c:pt idx="528">
                  <c:v>119.96795060276406</c:v>
                </c:pt>
                <c:pt idx="529">
                  <c:v>119.86386356953854</c:v>
                </c:pt>
                <c:pt idx="530">
                  <c:v>119.7206703910616</c:v>
                </c:pt>
                <c:pt idx="531">
                  <c:v>117.57835930608661</c:v>
                </c:pt>
                <c:pt idx="532">
                  <c:v>115.8853278447517</c:v>
                </c:pt>
                <c:pt idx="533">
                  <c:v>115.66950896795076</c:v>
                </c:pt>
                <c:pt idx="534">
                  <c:v>116.53954719200253</c:v>
                </c:pt>
                <c:pt idx="535">
                  <c:v>115.68303440164675</c:v>
                </c:pt>
                <c:pt idx="536">
                  <c:v>117.33490149955914</c:v>
                </c:pt>
                <c:pt idx="537">
                  <c:v>118.1902381652457</c:v>
                </c:pt>
                <c:pt idx="538">
                  <c:v>117.47486033519571</c:v>
                </c:pt>
                <c:pt idx="539">
                  <c:v>114.54719200235242</c:v>
                </c:pt>
                <c:pt idx="540">
                  <c:v>113.27139076742151</c:v>
                </c:pt>
                <c:pt idx="541">
                  <c:v>112.25110261687755</c:v>
                </c:pt>
                <c:pt idx="542">
                  <c:v>112.36753895912983</c:v>
                </c:pt>
                <c:pt idx="543">
                  <c:v>114.03822405174965</c:v>
                </c:pt>
                <c:pt idx="544">
                  <c:v>112.39017935901221</c:v>
                </c:pt>
                <c:pt idx="545">
                  <c:v>113.04969126727451</c:v>
                </c:pt>
                <c:pt idx="546">
                  <c:v>112.5918847397826</c:v>
                </c:pt>
                <c:pt idx="547">
                  <c:v>111.23845927668351</c:v>
                </c:pt>
                <c:pt idx="548">
                  <c:v>113.18082916789199</c:v>
                </c:pt>
                <c:pt idx="549">
                  <c:v>112.89326668626893</c:v>
                </c:pt>
                <c:pt idx="550">
                  <c:v>112.44163481329039</c:v>
                </c:pt>
                <c:pt idx="551">
                  <c:v>113.28932666862707</c:v>
                </c:pt>
                <c:pt idx="552">
                  <c:v>111.97000882093521</c:v>
                </c:pt>
                <c:pt idx="553">
                  <c:v>114.5274919141431</c:v>
                </c:pt>
                <c:pt idx="554">
                  <c:v>114.43957659511929</c:v>
                </c:pt>
                <c:pt idx="555">
                  <c:v>115.23816524551624</c:v>
                </c:pt>
                <c:pt idx="556">
                  <c:v>116.71890620405786</c:v>
                </c:pt>
                <c:pt idx="557">
                  <c:v>117.11761246692173</c:v>
                </c:pt>
                <c:pt idx="558">
                  <c:v>117.58571008526928</c:v>
                </c:pt>
                <c:pt idx="559">
                  <c:v>117.34695677741864</c:v>
                </c:pt>
                <c:pt idx="560">
                  <c:v>115.52072919729515</c:v>
                </c:pt>
                <c:pt idx="561">
                  <c:v>114.63834166421664</c:v>
                </c:pt>
                <c:pt idx="562">
                  <c:v>116.80711555424899</c:v>
                </c:pt>
                <c:pt idx="563">
                  <c:v>118.19494266392263</c:v>
                </c:pt>
                <c:pt idx="564">
                  <c:v>118.11084975007375</c:v>
                </c:pt>
                <c:pt idx="565">
                  <c:v>118.08938547486058</c:v>
                </c:pt>
                <c:pt idx="566">
                  <c:v>119.38929726551041</c:v>
                </c:pt>
                <c:pt idx="567">
                  <c:v>119.68715083798909</c:v>
                </c:pt>
                <c:pt idx="568">
                  <c:v>118.13496030579269</c:v>
                </c:pt>
                <c:pt idx="569">
                  <c:v>119.86474566304055</c:v>
                </c:pt>
                <c:pt idx="570">
                  <c:v>121.11761246692177</c:v>
                </c:pt>
                <c:pt idx="571">
                  <c:v>122.8979711849459</c:v>
                </c:pt>
                <c:pt idx="572">
                  <c:v>121.62540429285532</c:v>
                </c:pt>
                <c:pt idx="573">
                  <c:v>120.87856512790384</c:v>
                </c:pt>
                <c:pt idx="574">
                  <c:v>122.4345780652752</c:v>
                </c:pt>
                <c:pt idx="575">
                  <c:v>121.07791825933576</c:v>
                </c:pt>
                <c:pt idx="576">
                  <c:v>120.00882093501939</c:v>
                </c:pt>
                <c:pt idx="577">
                  <c:v>120.27227286092352</c:v>
                </c:pt>
                <c:pt idx="578">
                  <c:v>121.64922081740693</c:v>
                </c:pt>
                <c:pt idx="579">
                  <c:v>121.61511320199969</c:v>
                </c:pt>
                <c:pt idx="580">
                  <c:v>121.95236695089709</c:v>
                </c:pt>
                <c:pt idx="581">
                  <c:v>120.27080270508701</c:v>
                </c:pt>
                <c:pt idx="582">
                  <c:v>119.93795942369918</c:v>
                </c:pt>
                <c:pt idx="583">
                  <c:v>117.53425463099116</c:v>
                </c:pt>
                <c:pt idx="584">
                  <c:v>117.3493090267571</c:v>
                </c:pt>
                <c:pt idx="585">
                  <c:v>117.97471331961215</c:v>
                </c:pt>
                <c:pt idx="586">
                  <c:v>116.73154954425196</c:v>
                </c:pt>
                <c:pt idx="587">
                  <c:v>117.09026756836251</c:v>
                </c:pt>
                <c:pt idx="588">
                  <c:v>116.73478388709231</c:v>
                </c:pt>
                <c:pt idx="589">
                  <c:v>116.18318141723049</c:v>
                </c:pt>
                <c:pt idx="590">
                  <c:v>117.06409879447247</c:v>
                </c:pt>
                <c:pt idx="591">
                  <c:v>118.95442516906819</c:v>
                </c:pt>
                <c:pt idx="592">
                  <c:v>119.03616583357864</c:v>
                </c:pt>
                <c:pt idx="593">
                  <c:v>117.21170244045895</c:v>
                </c:pt>
                <c:pt idx="594">
                  <c:v>117.37753601881828</c:v>
                </c:pt>
                <c:pt idx="595">
                  <c:v>115.21082034695706</c:v>
                </c:pt>
                <c:pt idx="596">
                  <c:v>113.54278153484297</c:v>
                </c:pt>
                <c:pt idx="597">
                  <c:v>113.37136136430489</c:v>
                </c:pt>
                <c:pt idx="598">
                  <c:v>115.2393413701855</c:v>
                </c:pt>
                <c:pt idx="599">
                  <c:v>114.43487209644248</c:v>
                </c:pt>
                <c:pt idx="600">
                  <c:v>116.44457512496352</c:v>
                </c:pt>
                <c:pt idx="601">
                  <c:v>115.16142311085001</c:v>
                </c:pt>
                <c:pt idx="602">
                  <c:v>116.18847397824197</c:v>
                </c:pt>
                <c:pt idx="603">
                  <c:v>117.69685386651012</c:v>
                </c:pt>
                <c:pt idx="604">
                  <c:v>115.75918847397851</c:v>
                </c:pt>
                <c:pt idx="605">
                  <c:v>116.10467509556041</c:v>
                </c:pt>
                <c:pt idx="606">
                  <c:v>116.75948250514581</c:v>
                </c:pt>
                <c:pt idx="607">
                  <c:v>116.95177888856246</c:v>
                </c:pt>
                <c:pt idx="608">
                  <c:v>116.76771537783031</c:v>
                </c:pt>
                <c:pt idx="609">
                  <c:v>118.43016759776563</c:v>
                </c:pt>
                <c:pt idx="610">
                  <c:v>119.10702734489882</c:v>
                </c:pt>
                <c:pt idx="611">
                  <c:v>120.82652161129107</c:v>
                </c:pt>
                <c:pt idx="612">
                  <c:v>121.27344898559274</c:v>
                </c:pt>
                <c:pt idx="613">
                  <c:v>120.57042046456951</c:v>
                </c:pt>
                <c:pt idx="614">
                  <c:v>120.26992061158508</c:v>
                </c:pt>
                <c:pt idx="615">
                  <c:v>120.70038224051775</c:v>
                </c:pt>
                <c:pt idx="616">
                  <c:v>120.82064098794496</c:v>
                </c:pt>
                <c:pt idx="617">
                  <c:v>120.8156424581008</c:v>
                </c:pt>
                <c:pt idx="618">
                  <c:v>120.31608350485176</c:v>
                </c:pt>
                <c:pt idx="619">
                  <c:v>121.91179064980915</c:v>
                </c:pt>
                <c:pt idx="620">
                  <c:v>121.65951190826254</c:v>
                </c:pt>
                <c:pt idx="621">
                  <c:v>122.06174654513404</c:v>
                </c:pt>
                <c:pt idx="622">
                  <c:v>122.16612760952687</c:v>
                </c:pt>
                <c:pt idx="623">
                  <c:v>122.15583651867126</c:v>
                </c:pt>
                <c:pt idx="624">
                  <c:v>121.4286974419291</c:v>
                </c:pt>
                <c:pt idx="625">
                  <c:v>121.53837106733341</c:v>
                </c:pt>
                <c:pt idx="626">
                  <c:v>121.64187003822433</c:v>
                </c:pt>
                <c:pt idx="627">
                  <c:v>119.7186121728906</c:v>
                </c:pt>
                <c:pt idx="628">
                  <c:v>119.25874742722755</c:v>
                </c:pt>
                <c:pt idx="629">
                  <c:v>121.59217877095001</c:v>
                </c:pt>
                <c:pt idx="630">
                  <c:v>122.59570714495763</c:v>
                </c:pt>
                <c:pt idx="631">
                  <c:v>122.54836812702175</c:v>
                </c:pt>
                <c:pt idx="632">
                  <c:v>121.12849162011202</c:v>
                </c:pt>
                <c:pt idx="633">
                  <c:v>120.28079976477535</c:v>
                </c:pt>
                <c:pt idx="634">
                  <c:v>119.41252572772741</c:v>
                </c:pt>
                <c:pt idx="635">
                  <c:v>121.61864157600735</c:v>
                </c:pt>
                <c:pt idx="636">
                  <c:v>121.67362540429315</c:v>
                </c:pt>
                <c:pt idx="637">
                  <c:v>121.11643634225257</c:v>
                </c:pt>
                <c:pt idx="638">
                  <c:v>121.65951190826257</c:v>
                </c:pt>
                <c:pt idx="639">
                  <c:v>121.45310202881534</c:v>
                </c:pt>
                <c:pt idx="640">
                  <c:v>121.26080564539869</c:v>
                </c:pt>
                <c:pt idx="641">
                  <c:v>121.61952366950923</c:v>
                </c:pt>
                <c:pt idx="642">
                  <c:v>120.84386945016198</c:v>
                </c:pt>
                <c:pt idx="643">
                  <c:v>122.28079976477534</c:v>
                </c:pt>
                <c:pt idx="644">
                  <c:v>123.43575418994439</c:v>
                </c:pt>
                <c:pt idx="645">
                  <c:v>123.257277271391</c:v>
                </c:pt>
                <c:pt idx="646">
                  <c:v>123.27638929726575</c:v>
                </c:pt>
                <c:pt idx="647">
                  <c:v>121.89297265510169</c:v>
                </c:pt>
                <c:pt idx="648">
                  <c:v>121.00088209350214</c:v>
                </c:pt>
                <c:pt idx="649">
                  <c:v>122.06057042046481</c:v>
                </c:pt>
                <c:pt idx="650">
                  <c:v>123.65333725374914</c:v>
                </c:pt>
                <c:pt idx="651">
                  <c:v>123.65539547192029</c:v>
                </c:pt>
                <c:pt idx="652">
                  <c:v>122.90002940311697</c:v>
                </c:pt>
                <c:pt idx="653">
                  <c:v>124.11114378124107</c:v>
                </c:pt>
                <c:pt idx="654">
                  <c:v>125.91502499264948</c:v>
                </c:pt>
                <c:pt idx="655">
                  <c:v>125.66274625110287</c:v>
                </c:pt>
                <c:pt idx="656">
                  <c:v>125.95854160541043</c:v>
                </c:pt>
                <c:pt idx="657">
                  <c:v>125.47838870920344</c:v>
                </c:pt>
                <c:pt idx="658">
                  <c:v>126.25492502205259</c:v>
                </c:pt>
                <c:pt idx="659">
                  <c:v>126.39988238753332</c:v>
                </c:pt>
                <c:pt idx="660">
                  <c:v>127.5780652749194</c:v>
                </c:pt>
                <c:pt idx="661">
                  <c:v>128.46251102616901</c:v>
                </c:pt>
                <c:pt idx="662">
                  <c:v>128.56777418406372</c:v>
                </c:pt>
                <c:pt idx="663">
                  <c:v>130.13349014995609</c:v>
                </c:pt>
                <c:pt idx="664">
                  <c:v>129.65568950308753</c:v>
                </c:pt>
                <c:pt idx="665">
                  <c:v>129.04175242575732</c:v>
                </c:pt>
                <c:pt idx="666">
                  <c:v>128.3648926786241</c:v>
                </c:pt>
                <c:pt idx="667">
                  <c:v>128.84122316965616</c:v>
                </c:pt>
                <c:pt idx="668">
                  <c:v>127.85445457218481</c:v>
                </c:pt>
                <c:pt idx="669">
                  <c:v>127.28079976477521</c:v>
                </c:pt>
                <c:pt idx="670">
                  <c:v>128.73890032343442</c:v>
                </c:pt>
                <c:pt idx="671">
                  <c:v>128.69332549250234</c:v>
                </c:pt>
                <c:pt idx="672">
                  <c:v>129.26903851808305</c:v>
                </c:pt>
                <c:pt idx="673">
                  <c:v>130.85504263451941</c:v>
                </c:pt>
                <c:pt idx="674">
                  <c:v>131.00823287268463</c:v>
                </c:pt>
                <c:pt idx="675">
                  <c:v>130.75036753895924</c:v>
                </c:pt>
                <c:pt idx="676">
                  <c:v>129.7144957365482</c:v>
                </c:pt>
                <c:pt idx="677">
                  <c:v>129.34284034107628</c:v>
                </c:pt>
                <c:pt idx="678">
                  <c:v>129.65392531608362</c:v>
                </c:pt>
                <c:pt idx="679">
                  <c:v>130.52807997647764</c:v>
                </c:pt>
                <c:pt idx="680">
                  <c:v>131.49544251690691</c:v>
                </c:pt>
                <c:pt idx="681">
                  <c:v>132.60923257865346</c:v>
                </c:pt>
                <c:pt idx="682">
                  <c:v>132.47339017935914</c:v>
                </c:pt>
                <c:pt idx="683">
                  <c:v>132.98412231696571</c:v>
                </c:pt>
                <c:pt idx="684">
                  <c:v>133.93060864451644</c:v>
                </c:pt>
                <c:pt idx="685">
                  <c:v>134.24639811820066</c:v>
                </c:pt>
                <c:pt idx="686">
                  <c:v>133.33931196706862</c:v>
                </c:pt>
                <c:pt idx="687">
                  <c:v>133.38253454866228</c:v>
                </c:pt>
                <c:pt idx="688">
                  <c:v>133.92061158482812</c:v>
                </c:pt>
                <c:pt idx="689">
                  <c:v>134.2975595413115</c:v>
                </c:pt>
                <c:pt idx="690">
                  <c:v>134.27668332843294</c:v>
                </c:pt>
                <c:pt idx="691">
                  <c:v>133.41399588356376</c:v>
                </c:pt>
                <c:pt idx="692">
                  <c:v>134.73184357541908</c:v>
                </c:pt>
                <c:pt idx="693">
                  <c:v>134.92972655101451</c:v>
                </c:pt>
                <c:pt idx="694">
                  <c:v>134.57012643340204</c:v>
                </c:pt>
                <c:pt idx="695">
                  <c:v>132.70773301970021</c:v>
                </c:pt>
                <c:pt idx="696">
                  <c:v>132.3695971773009</c:v>
                </c:pt>
                <c:pt idx="697">
                  <c:v>131.66803881211416</c:v>
                </c:pt>
                <c:pt idx="698">
                  <c:v>132.85621875918855</c:v>
                </c:pt>
                <c:pt idx="699">
                  <c:v>132.29579535430764</c:v>
                </c:pt>
                <c:pt idx="700">
                  <c:v>131.36459864745672</c:v>
                </c:pt>
                <c:pt idx="701">
                  <c:v>131.39753013819472</c:v>
                </c:pt>
                <c:pt idx="702">
                  <c:v>131.25698324022355</c:v>
                </c:pt>
                <c:pt idx="703">
                  <c:v>132.01176124669226</c:v>
                </c:pt>
                <c:pt idx="704">
                  <c:v>130.48691561305506</c:v>
                </c:pt>
                <c:pt idx="705">
                  <c:v>129.50102910908564</c:v>
                </c:pt>
                <c:pt idx="706">
                  <c:v>128.50220523375484</c:v>
                </c:pt>
                <c:pt idx="707">
                  <c:v>128.4830932078801</c:v>
                </c:pt>
                <c:pt idx="708">
                  <c:v>129.36695089679512</c:v>
                </c:pt>
                <c:pt idx="709">
                  <c:v>129.00764481034994</c:v>
                </c:pt>
                <c:pt idx="710">
                  <c:v>130.43251984710383</c:v>
                </c:pt>
                <c:pt idx="711">
                  <c:v>128.67715377830055</c:v>
                </c:pt>
                <c:pt idx="712">
                  <c:v>129.54160541017353</c:v>
                </c:pt>
                <c:pt idx="713">
                  <c:v>130.35313143193184</c:v>
                </c:pt>
                <c:pt idx="714">
                  <c:v>132.24433990002944</c:v>
                </c:pt>
                <c:pt idx="715">
                  <c:v>132.75124963246108</c:v>
                </c:pt>
                <c:pt idx="716">
                  <c:v>132.5392531608351</c:v>
                </c:pt>
                <c:pt idx="717">
                  <c:v>132.77771243751846</c:v>
                </c:pt>
                <c:pt idx="718">
                  <c:v>132.22081740664518</c:v>
                </c:pt>
                <c:pt idx="719">
                  <c:v>131.29902969714797</c:v>
                </c:pt>
                <c:pt idx="720">
                  <c:v>130.87738900323444</c:v>
                </c:pt>
                <c:pt idx="721">
                  <c:v>131.0640987944723</c:v>
                </c:pt>
                <c:pt idx="722">
                  <c:v>131.94531020288161</c:v>
                </c:pt>
                <c:pt idx="723">
                  <c:v>131.19376653925326</c:v>
                </c:pt>
                <c:pt idx="724">
                  <c:v>131.35665980593953</c:v>
                </c:pt>
                <c:pt idx="725">
                  <c:v>132.46398118200543</c:v>
                </c:pt>
                <c:pt idx="726">
                  <c:v>130.85327844751555</c:v>
                </c:pt>
                <c:pt idx="727">
                  <c:v>130.94766245222004</c:v>
                </c:pt>
                <c:pt idx="728">
                  <c:v>130.66598059394306</c:v>
                </c:pt>
                <c:pt idx="729">
                  <c:v>129.43840047044998</c:v>
                </c:pt>
                <c:pt idx="730">
                  <c:v>127.31549544251702</c:v>
                </c:pt>
                <c:pt idx="731">
                  <c:v>127.02322846221712</c:v>
                </c:pt>
                <c:pt idx="732">
                  <c:v>127.534254630991</c:v>
                </c:pt>
                <c:pt idx="733">
                  <c:v>125.65510144075283</c:v>
                </c:pt>
                <c:pt idx="734">
                  <c:v>125.68391649514859</c:v>
                </c:pt>
                <c:pt idx="735">
                  <c:v>126.42458100558669</c:v>
                </c:pt>
                <c:pt idx="736">
                  <c:v>126.08203469567785</c:v>
                </c:pt>
                <c:pt idx="737">
                  <c:v>126.09203175536616</c:v>
                </c:pt>
                <c:pt idx="738">
                  <c:v>124.35901205527794</c:v>
                </c:pt>
                <c:pt idx="739">
                  <c:v>125.36753895912975</c:v>
                </c:pt>
                <c:pt idx="740">
                  <c:v>125.20405763010885</c:v>
                </c:pt>
                <c:pt idx="741">
                  <c:v>126.68332843281397</c:v>
                </c:pt>
                <c:pt idx="742">
                  <c:v>127.48191708321092</c:v>
                </c:pt>
                <c:pt idx="743">
                  <c:v>128.14583945898275</c:v>
                </c:pt>
                <c:pt idx="744">
                  <c:v>128.69597177300804</c:v>
                </c:pt>
                <c:pt idx="745">
                  <c:v>127.89209056159963</c:v>
                </c:pt>
                <c:pt idx="746">
                  <c:v>127.25022052337557</c:v>
                </c:pt>
                <c:pt idx="747">
                  <c:v>128.59835342546322</c:v>
                </c:pt>
                <c:pt idx="748">
                  <c:v>128.58571008526914</c:v>
                </c:pt>
                <c:pt idx="749">
                  <c:v>126.86268744486928</c:v>
                </c:pt>
                <c:pt idx="750">
                  <c:v>125.7865333725376</c:v>
                </c:pt>
                <c:pt idx="751">
                  <c:v>124.20346956777429</c:v>
                </c:pt>
                <c:pt idx="752">
                  <c:v>123.99411937665404</c:v>
                </c:pt>
                <c:pt idx="753">
                  <c:v>124.8950308732727</c:v>
                </c:pt>
                <c:pt idx="754">
                  <c:v>123.10408703322567</c:v>
                </c:pt>
                <c:pt idx="755">
                  <c:v>121.64745663040294</c:v>
                </c:pt>
                <c:pt idx="756">
                  <c:v>121.06351073213774</c:v>
                </c:pt>
                <c:pt idx="757">
                  <c:v>122.51749485445471</c:v>
                </c:pt>
                <c:pt idx="758">
                  <c:v>123.3107909438402</c:v>
                </c:pt>
                <c:pt idx="759">
                  <c:v>124.60629226698045</c:v>
                </c:pt>
                <c:pt idx="760">
                  <c:v>126.95618935607189</c:v>
                </c:pt>
                <c:pt idx="761">
                  <c:v>128.14877977065584</c:v>
                </c:pt>
                <c:pt idx="762">
                  <c:v>128.37341958247586</c:v>
                </c:pt>
                <c:pt idx="763">
                  <c:v>128.73801822993249</c:v>
                </c:pt>
                <c:pt idx="764">
                  <c:v>128.86739194354612</c:v>
                </c:pt>
                <c:pt idx="765">
                  <c:v>127.82563951778901</c:v>
                </c:pt>
                <c:pt idx="766">
                  <c:v>129.82181711261404</c:v>
                </c:pt>
                <c:pt idx="767">
                  <c:v>129.71331961187897</c:v>
                </c:pt>
                <c:pt idx="768">
                  <c:v>132.1875918847399</c:v>
                </c:pt>
                <c:pt idx="769">
                  <c:v>132.39870626286398</c:v>
                </c:pt>
                <c:pt idx="770">
                  <c:v>132.55630696853876</c:v>
                </c:pt>
                <c:pt idx="771">
                  <c:v>132.72625698324032</c:v>
                </c:pt>
                <c:pt idx="772">
                  <c:v>133.70714495736559</c:v>
                </c:pt>
                <c:pt idx="773">
                  <c:v>133.43693031461345</c:v>
                </c:pt>
                <c:pt idx="774">
                  <c:v>133.97882975595425</c:v>
                </c:pt>
                <c:pt idx="775">
                  <c:v>134.05880623346087</c:v>
                </c:pt>
                <c:pt idx="776">
                  <c:v>133.79682446339325</c:v>
                </c:pt>
                <c:pt idx="777">
                  <c:v>133.92796236401071</c:v>
                </c:pt>
                <c:pt idx="778">
                  <c:v>133.80123493090278</c:v>
                </c:pt>
                <c:pt idx="779">
                  <c:v>134.30755660099982</c:v>
                </c:pt>
                <c:pt idx="780">
                  <c:v>135.09644222287574</c:v>
                </c:pt>
                <c:pt idx="781">
                  <c:v>134.36577477212595</c:v>
                </c:pt>
                <c:pt idx="782">
                  <c:v>134.28932666862698</c:v>
                </c:pt>
                <c:pt idx="783">
                  <c:v>133.76477506615711</c:v>
                </c:pt>
                <c:pt idx="784">
                  <c:v>134.83063804763316</c:v>
                </c:pt>
                <c:pt idx="785">
                  <c:v>135.38282857982958</c:v>
                </c:pt>
                <c:pt idx="786">
                  <c:v>135.91414289914741</c:v>
                </c:pt>
                <c:pt idx="787">
                  <c:v>136.53925316083516</c:v>
                </c:pt>
                <c:pt idx="788">
                  <c:v>138.40311673037354</c:v>
                </c:pt>
                <c:pt idx="789">
                  <c:v>138.769479564834</c:v>
                </c:pt>
                <c:pt idx="790">
                  <c:v>138.75889444281106</c:v>
                </c:pt>
                <c:pt idx="791">
                  <c:v>139.38723904733916</c:v>
                </c:pt>
                <c:pt idx="792">
                  <c:v>140.20493972361083</c:v>
                </c:pt>
                <c:pt idx="793">
                  <c:v>138.14613349015011</c:v>
                </c:pt>
                <c:pt idx="794">
                  <c:v>139.56924433990017</c:v>
                </c:pt>
                <c:pt idx="795">
                  <c:v>139.80094089973551</c:v>
                </c:pt>
                <c:pt idx="796">
                  <c:v>140.39253160835062</c:v>
                </c:pt>
                <c:pt idx="797">
                  <c:v>140.59335489561909</c:v>
                </c:pt>
                <c:pt idx="798">
                  <c:v>140.64539841223188</c:v>
                </c:pt>
                <c:pt idx="799">
                  <c:v>140.24786827403722</c:v>
                </c:pt>
                <c:pt idx="800">
                  <c:v>139.45398412231714</c:v>
                </c:pt>
                <c:pt idx="801">
                  <c:v>138.33607762422835</c:v>
                </c:pt>
                <c:pt idx="802">
                  <c:v>137.86180535136742</c:v>
                </c:pt>
                <c:pt idx="803">
                  <c:v>138.11349603057943</c:v>
                </c:pt>
                <c:pt idx="804">
                  <c:v>140.06292266980319</c:v>
                </c:pt>
                <c:pt idx="805">
                  <c:v>139.85592472802136</c:v>
                </c:pt>
                <c:pt idx="806">
                  <c:v>140.64833872390491</c:v>
                </c:pt>
                <c:pt idx="807">
                  <c:v>140.55395471920042</c:v>
                </c:pt>
                <c:pt idx="808">
                  <c:v>140.65951190826249</c:v>
                </c:pt>
                <c:pt idx="809">
                  <c:v>140.13466627462532</c:v>
                </c:pt>
                <c:pt idx="810">
                  <c:v>139.34754483975323</c:v>
                </c:pt>
                <c:pt idx="811">
                  <c:v>140.57453690091168</c:v>
                </c:pt>
                <c:pt idx="812">
                  <c:v>142.30549838282877</c:v>
                </c:pt>
                <c:pt idx="813">
                  <c:v>142.61775948250533</c:v>
                </c:pt>
                <c:pt idx="814">
                  <c:v>143.03440164657474</c:v>
                </c:pt>
                <c:pt idx="815">
                  <c:v>143.15054395765972</c:v>
                </c:pt>
                <c:pt idx="816">
                  <c:v>143.90355777712458</c:v>
                </c:pt>
                <c:pt idx="817">
                  <c:v>143.80976183475468</c:v>
                </c:pt>
                <c:pt idx="818">
                  <c:v>144.89650102910929</c:v>
                </c:pt>
                <c:pt idx="819">
                  <c:v>144.80946780358738</c:v>
                </c:pt>
                <c:pt idx="820">
                  <c:v>142.47721258453413</c:v>
                </c:pt>
                <c:pt idx="821">
                  <c:v>144.25727727139093</c:v>
                </c:pt>
                <c:pt idx="822">
                  <c:v>145.79858865039711</c:v>
                </c:pt>
                <c:pt idx="823">
                  <c:v>145.33401940605722</c:v>
                </c:pt>
                <c:pt idx="824">
                  <c:v>145.66980299911808</c:v>
                </c:pt>
                <c:pt idx="825">
                  <c:v>146.87033225521924</c:v>
                </c:pt>
                <c:pt idx="826">
                  <c:v>146.95413113790079</c:v>
                </c:pt>
                <c:pt idx="827">
                  <c:v>147.79800058806248</c:v>
                </c:pt>
                <c:pt idx="828">
                  <c:v>147.65774772125863</c:v>
                </c:pt>
                <c:pt idx="829">
                  <c:v>145.63863569538387</c:v>
                </c:pt>
                <c:pt idx="830">
                  <c:v>147.03381358424011</c:v>
                </c:pt>
                <c:pt idx="831">
                  <c:v>147.88973831226127</c:v>
                </c:pt>
                <c:pt idx="832">
                  <c:v>147.17935901205547</c:v>
                </c:pt>
                <c:pt idx="833">
                  <c:v>146.29550132314046</c:v>
                </c:pt>
                <c:pt idx="834">
                  <c:v>146.48044692737452</c:v>
                </c:pt>
                <c:pt idx="835">
                  <c:v>149.57453690091171</c:v>
                </c:pt>
                <c:pt idx="836">
                  <c:v>149.62658041752448</c:v>
                </c:pt>
                <c:pt idx="837">
                  <c:v>149.05998235813016</c:v>
                </c:pt>
                <c:pt idx="838">
                  <c:v>149.31431931784789</c:v>
                </c:pt>
                <c:pt idx="839">
                  <c:v>149.06674507497814</c:v>
                </c:pt>
                <c:pt idx="840">
                  <c:v>149.84622169950035</c:v>
                </c:pt>
                <c:pt idx="841">
                  <c:v>151.04616289326685</c:v>
                </c:pt>
                <c:pt idx="842">
                  <c:v>150.86592178770965</c:v>
                </c:pt>
                <c:pt idx="843">
                  <c:v>149.32813878271111</c:v>
                </c:pt>
                <c:pt idx="844">
                  <c:v>150.09585416054119</c:v>
                </c:pt>
                <c:pt idx="845">
                  <c:v>151.64245810055883</c:v>
                </c:pt>
                <c:pt idx="846">
                  <c:v>150.65245516024714</c:v>
                </c:pt>
                <c:pt idx="847">
                  <c:v>150.48338723904749</c:v>
                </c:pt>
                <c:pt idx="848">
                  <c:v>152.16906792119983</c:v>
                </c:pt>
                <c:pt idx="849">
                  <c:v>151.8762128785653</c:v>
                </c:pt>
                <c:pt idx="850">
                  <c:v>151.44016465745383</c:v>
                </c:pt>
                <c:pt idx="851">
                  <c:v>150.45839458982667</c:v>
                </c:pt>
                <c:pt idx="852">
                  <c:v>151.40899735371966</c:v>
                </c:pt>
                <c:pt idx="853">
                  <c:v>152.26433401940622</c:v>
                </c:pt>
                <c:pt idx="854">
                  <c:v>153.62011173184374</c:v>
                </c:pt>
                <c:pt idx="855">
                  <c:v>154.11731843575433</c:v>
                </c:pt>
                <c:pt idx="856">
                  <c:v>153.90120552778609</c:v>
                </c:pt>
                <c:pt idx="857">
                  <c:v>153.43104969126739</c:v>
                </c:pt>
                <c:pt idx="858">
                  <c:v>153.00147015583664</c:v>
                </c:pt>
                <c:pt idx="859">
                  <c:v>154.32196412819772</c:v>
                </c:pt>
                <c:pt idx="860">
                  <c:v>154.49426639223773</c:v>
                </c:pt>
                <c:pt idx="861">
                  <c:v>154.18318141723037</c:v>
                </c:pt>
                <c:pt idx="862">
                  <c:v>153.06703910614542</c:v>
                </c:pt>
                <c:pt idx="863">
                  <c:v>153.23404880917391</c:v>
                </c:pt>
                <c:pt idx="864">
                  <c:v>151.34401646574551</c:v>
                </c:pt>
                <c:pt idx="865">
                  <c:v>153.02381652455173</c:v>
                </c:pt>
                <c:pt idx="866">
                  <c:v>152.96648044692751</c:v>
                </c:pt>
                <c:pt idx="867">
                  <c:v>153.1875918847399</c:v>
                </c:pt>
                <c:pt idx="868">
                  <c:v>151.73890032343442</c:v>
                </c:pt>
                <c:pt idx="869">
                  <c:v>152.86856806821538</c:v>
                </c:pt>
                <c:pt idx="870">
                  <c:v>150.64422228756263</c:v>
                </c:pt>
                <c:pt idx="871">
                  <c:v>148.83328432813892</c:v>
                </c:pt>
                <c:pt idx="872">
                  <c:v>148.52719788297574</c:v>
                </c:pt>
                <c:pt idx="873">
                  <c:v>147.66862687444885</c:v>
                </c:pt>
                <c:pt idx="874">
                  <c:v>147.34254630990901</c:v>
                </c:pt>
                <c:pt idx="875">
                  <c:v>146.05204351661291</c:v>
                </c:pt>
                <c:pt idx="876">
                  <c:v>147.32725668920924</c:v>
                </c:pt>
                <c:pt idx="877">
                  <c:v>149.08997353719511</c:v>
                </c:pt>
                <c:pt idx="878">
                  <c:v>149.12172890326391</c:v>
                </c:pt>
                <c:pt idx="879">
                  <c:v>148.43928256395193</c:v>
                </c:pt>
                <c:pt idx="880">
                  <c:v>149.95471920023539</c:v>
                </c:pt>
                <c:pt idx="881">
                  <c:v>150.43134372243472</c:v>
                </c:pt>
                <c:pt idx="882">
                  <c:v>148.06498088797426</c:v>
                </c:pt>
                <c:pt idx="883">
                  <c:v>147.55630696853882</c:v>
                </c:pt>
                <c:pt idx="884">
                  <c:v>148.90326374595722</c:v>
                </c:pt>
                <c:pt idx="885">
                  <c:v>150.77300793884169</c:v>
                </c:pt>
                <c:pt idx="886">
                  <c:v>152.32990296971496</c:v>
                </c:pt>
                <c:pt idx="887">
                  <c:v>152.53454866215836</c:v>
                </c:pt>
                <c:pt idx="888">
                  <c:v>152.53366656865646</c:v>
                </c:pt>
                <c:pt idx="889">
                  <c:v>153.3102028815056</c:v>
                </c:pt>
                <c:pt idx="890">
                  <c:v>153.56306968538684</c:v>
                </c:pt>
                <c:pt idx="891">
                  <c:v>153.52602175830657</c:v>
                </c:pt>
                <c:pt idx="892">
                  <c:v>154.26874448691581</c:v>
                </c:pt>
                <c:pt idx="893">
                  <c:v>156.07615407233183</c:v>
                </c:pt>
                <c:pt idx="894">
                  <c:v>155.75124963246122</c:v>
                </c:pt>
                <c:pt idx="895">
                  <c:v>155.93266686268763</c:v>
                </c:pt>
                <c:pt idx="896">
                  <c:v>156.07556600999723</c:v>
                </c:pt>
                <c:pt idx="897">
                  <c:v>156.46603940017658</c:v>
                </c:pt>
                <c:pt idx="898">
                  <c:v>156.04263451925922</c:v>
                </c:pt>
                <c:pt idx="899">
                  <c:v>154.8909144369305</c:v>
                </c:pt>
                <c:pt idx="900">
                  <c:v>155.97530138194668</c:v>
                </c:pt>
                <c:pt idx="901">
                  <c:v>156.01411349603077</c:v>
                </c:pt>
                <c:pt idx="902">
                  <c:v>154.86474566304048</c:v>
                </c:pt>
                <c:pt idx="903">
                  <c:v>153.93942957953561</c:v>
                </c:pt>
                <c:pt idx="904">
                  <c:v>155.17524257571324</c:v>
                </c:pt>
                <c:pt idx="905">
                  <c:v>155.34842693325513</c:v>
                </c:pt>
                <c:pt idx="906">
                  <c:v>155.58188768009433</c:v>
                </c:pt>
                <c:pt idx="907">
                  <c:v>157.42516906792144</c:v>
                </c:pt>
                <c:pt idx="908">
                  <c:v>157.39370773301997</c:v>
                </c:pt>
                <c:pt idx="909">
                  <c:v>157.21817112613962</c:v>
                </c:pt>
                <c:pt idx="910">
                  <c:v>157.62393413701878</c:v>
                </c:pt>
                <c:pt idx="911">
                  <c:v>158.0511614231111</c:v>
                </c:pt>
                <c:pt idx="912">
                  <c:v>159.39517788885647</c:v>
                </c:pt>
                <c:pt idx="913">
                  <c:v>159.76889150249951</c:v>
                </c:pt>
                <c:pt idx="914">
                  <c:v>159.70596883269653</c:v>
                </c:pt>
                <c:pt idx="915">
                  <c:v>160.93002058218192</c:v>
                </c:pt>
                <c:pt idx="916">
                  <c:v>161.33578359306108</c:v>
                </c:pt>
                <c:pt idx="917">
                  <c:v>160.92825639517812</c:v>
                </c:pt>
                <c:pt idx="918">
                  <c:v>160.67685974713342</c:v>
                </c:pt>
                <c:pt idx="919">
                  <c:v>160.18435754189966</c:v>
                </c:pt>
                <c:pt idx="920">
                  <c:v>160.81446633343157</c:v>
                </c:pt>
                <c:pt idx="921">
                  <c:v>161.06733313731274</c:v>
                </c:pt>
                <c:pt idx="922">
                  <c:v>161.21346662746271</c:v>
                </c:pt>
                <c:pt idx="923">
                  <c:v>160.55513084386962</c:v>
                </c:pt>
                <c:pt idx="924">
                  <c:v>160.9847103793004</c:v>
                </c:pt>
                <c:pt idx="925">
                  <c:v>161.98206409879467</c:v>
                </c:pt>
                <c:pt idx="926">
                  <c:v>162.80564539841242</c:v>
                </c:pt>
                <c:pt idx="927">
                  <c:v>163.69273743016777</c:v>
                </c:pt>
                <c:pt idx="928">
                  <c:v>163.85915907086169</c:v>
                </c:pt>
                <c:pt idx="929">
                  <c:v>163.98059394295811</c:v>
                </c:pt>
                <c:pt idx="930">
                  <c:v>165.65451337841827</c:v>
                </c:pt>
                <c:pt idx="931">
                  <c:v>164.20288150543973</c:v>
                </c:pt>
                <c:pt idx="932">
                  <c:v>165.10879153190254</c:v>
                </c:pt>
                <c:pt idx="933">
                  <c:v>165.57541899441355</c:v>
                </c:pt>
                <c:pt idx="934">
                  <c:v>166.63334313437238</c:v>
                </c:pt>
                <c:pt idx="935">
                  <c:v>164.31255513084403</c:v>
                </c:pt>
                <c:pt idx="936">
                  <c:v>163.02822699206132</c:v>
                </c:pt>
                <c:pt idx="937">
                  <c:v>161.86415760070582</c:v>
                </c:pt>
                <c:pt idx="938">
                  <c:v>163.61099676565729</c:v>
                </c:pt>
                <c:pt idx="939">
                  <c:v>163.35607174360496</c:v>
                </c:pt>
                <c:pt idx="940">
                  <c:v>159.57453690091162</c:v>
                </c:pt>
                <c:pt idx="941">
                  <c:v>158.75389591296693</c:v>
                </c:pt>
                <c:pt idx="942">
                  <c:v>160.5145545427817</c:v>
                </c:pt>
                <c:pt idx="943">
                  <c:v>160.64510438106453</c:v>
                </c:pt>
                <c:pt idx="944">
                  <c:v>159.84827991767139</c:v>
                </c:pt>
                <c:pt idx="945">
                  <c:v>162.37283152014129</c:v>
                </c:pt>
                <c:pt idx="946">
                  <c:v>160.14936783299044</c:v>
                </c:pt>
                <c:pt idx="947">
                  <c:v>157.20552778594546</c:v>
                </c:pt>
                <c:pt idx="948">
                  <c:v>152.49426639223771</c:v>
                </c:pt>
                <c:pt idx="949">
                  <c:v>154.07321376065875</c:v>
                </c:pt>
                <c:pt idx="950">
                  <c:v>152.88150543957673</c:v>
                </c:pt>
                <c:pt idx="951">
                  <c:v>156.4042928550428</c:v>
                </c:pt>
                <c:pt idx="952">
                  <c:v>157.13496030579256</c:v>
                </c:pt>
                <c:pt idx="953">
                  <c:v>157.14172302264055</c:v>
                </c:pt>
                <c:pt idx="954">
                  <c:v>159.78917965304336</c:v>
                </c:pt>
                <c:pt idx="955">
                  <c:v>160.40017641870051</c:v>
                </c:pt>
                <c:pt idx="956">
                  <c:v>162.9879447221407</c:v>
                </c:pt>
                <c:pt idx="957">
                  <c:v>163.3122610996767</c:v>
                </c:pt>
                <c:pt idx="958">
                  <c:v>164.90002940311686</c:v>
                </c:pt>
                <c:pt idx="959">
                  <c:v>164.5727727139078</c:v>
                </c:pt>
                <c:pt idx="960">
                  <c:v>165.27050867391958</c:v>
                </c:pt>
                <c:pt idx="961">
                  <c:v>163.79417818288752</c:v>
                </c:pt>
                <c:pt idx="962">
                  <c:v>165.67509556012948</c:v>
                </c:pt>
                <c:pt idx="963">
                  <c:v>165.15260217583074</c:v>
                </c:pt>
                <c:pt idx="964">
                  <c:v>165.41605410173489</c:v>
                </c:pt>
                <c:pt idx="965">
                  <c:v>164.42752131725973</c:v>
                </c:pt>
                <c:pt idx="966">
                  <c:v>164.42105263157904</c:v>
                </c:pt>
                <c:pt idx="967">
                  <c:v>166.08056453984133</c:v>
                </c:pt>
                <c:pt idx="968">
                  <c:v>162.56777418406364</c:v>
                </c:pt>
                <c:pt idx="969">
                  <c:v>162.30726256983252</c:v>
                </c:pt>
                <c:pt idx="970">
                  <c:v>161.81740664510451</c:v>
                </c:pt>
                <c:pt idx="971">
                  <c:v>159.02440458688633</c:v>
                </c:pt>
                <c:pt idx="972">
                  <c:v>160.86592178770965</c:v>
                </c:pt>
                <c:pt idx="973">
                  <c:v>161.58541605410193</c:v>
                </c:pt>
                <c:pt idx="974">
                  <c:v>163.3087327256691</c:v>
                </c:pt>
                <c:pt idx="975">
                  <c:v>164.53278447515456</c:v>
                </c:pt>
                <c:pt idx="976">
                  <c:v>165.42252278741566</c:v>
                </c:pt>
                <c:pt idx="977">
                  <c:v>165.63040282269941</c:v>
                </c:pt>
                <c:pt idx="978">
                  <c:v>165.67421346662766</c:v>
                </c:pt>
                <c:pt idx="979">
                  <c:v>165.19435460158797</c:v>
                </c:pt>
                <c:pt idx="980">
                  <c:v>167.998823875331</c:v>
                </c:pt>
                <c:pt idx="981">
                  <c:v>167.67274331079116</c:v>
                </c:pt>
                <c:pt idx="982">
                  <c:v>168.14378124081171</c:v>
                </c:pt>
                <c:pt idx="983">
                  <c:v>168.56600999705987</c:v>
                </c:pt>
                <c:pt idx="984">
                  <c:v>168.25227874154677</c:v>
                </c:pt>
                <c:pt idx="985">
                  <c:v>168.9317847691857</c:v>
                </c:pt>
                <c:pt idx="986">
                  <c:v>168.72008232872702</c:v>
                </c:pt>
                <c:pt idx="987">
                  <c:v>169.43487209644238</c:v>
                </c:pt>
                <c:pt idx="988">
                  <c:v>167.85504263451944</c:v>
                </c:pt>
                <c:pt idx="989">
                  <c:v>167.87827109673643</c:v>
                </c:pt>
                <c:pt idx="990">
                  <c:v>167.59600117612484</c:v>
                </c:pt>
                <c:pt idx="991">
                  <c:v>169.09938253454885</c:v>
                </c:pt>
                <c:pt idx="992">
                  <c:v>167.47838870920336</c:v>
                </c:pt>
                <c:pt idx="993">
                  <c:v>169.10114672155271</c:v>
                </c:pt>
                <c:pt idx="994">
                  <c:v>170.30402822699227</c:v>
                </c:pt>
                <c:pt idx="995">
                  <c:v>169.95148485739512</c:v>
                </c:pt>
                <c:pt idx="996">
                  <c:v>170.98000588062359</c:v>
                </c:pt>
                <c:pt idx="997">
                  <c:v>172.29785357247894</c:v>
                </c:pt>
                <c:pt idx="998">
                  <c:v>170.98676859747158</c:v>
                </c:pt>
                <c:pt idx="999">
                  <c:v>171.78682740370505</c:v>
                </c:pt>
                <c:pt idx="1000">
                  <c:v>171.75742428697467</c:v>
                </c:pt>
                <c:pt idx="1001">
                  <c:v>172.43957659511935</c:v>
                </c:pt>
                <c:pt idx="1002">
                  <c:v>172.12525727727163</c:v>
                </c:pt>
                <c:pt idx="1003">
                  <c:v>172.04351661276118</c:v>
                </c:pt>
                <c:pt idx="1004">
                  <c:v>170.46221699500171</c:v>
                </c:pt>
                <c:pt idx="1005">
                  <c:v>170.82799176712754</c:v>
                </c:pt>
                <c:pt idx="1006">
                  <c:v>170.7768303440167</c:v>
                </c:pt>
                <c:pt idx="1007">
                  <c:v>171.22963834166447</c:v>
                </c:pt>
                <c:pt idx="1008">
                  <c:v>171.50602763892996</c:v>
                </c:pt>
                <c:pt idx="1009">
                  <c:v>170.94001764187027</c:v>
                </c:pt>
                <c:pt idx="1010">
                  <c:v>167.75801234930924</c:v>
                </c:pt>
                <c:pt idx="1011">
                  <c:v>168.44457512496348</c:v>
                </c:pt>
                <c:pt idx="1012">
                  <c:v>167.97089091443715</c:v>
                </c:pt>
                <c:pt idx="1013">
                  <c:v>170.03116730373443</c:v>
                </c:pt>
                <c:pt idx="1014">
                  <c:v>174.33225521905345</c:v>
                </c:pt>
                <c:pt idx="1015">
                  <c:v>175.62775654219374</c:v>
                </c:pt>
                <c:pt idx="1016">
                  <c:v>176.28756248162333</c:v>
                </c:pt>
                <c:pt idx="1017">
                  <c:v>176.45839458982678</c:v>
                </c:pt>
                <c:pt idx="1018">
                  <c:v>175.94795648338749</c:v>
                </c:pt>
                <c:pt idx="1019">
                  <c:v>175.98882681564271</c:v>
                </c:pt>
                <c:pt idx="1020">
                  <c:v>174.92413995883589</c:v>
                </c:pt>
                <c:pt idx="1021">
                  <c:v>172.61452513966506</c:v>
                </c:pt>
                <c:pt idx="1022">
                  <c:v>173.29079682446365</c:v>
                </c:pt>
                <c:pt idx="1023">
                  <c:v>173.97765363128516</c:v>
                </c:pt>
                <c:pt idx="1024">
                  <c:v>173.98147603646012</c:v>
                </c:pt>
                <c:pt idx="1025">
                  <c:v>174.91061452513995</c:v>
                </c:pt>
                <c:pt idx="1026">
                  <c:v>175.51720082328754</c:v>
                </c:pt>
                <c:pt idx="1027">
                  <c:v>176.04733901793617</c:v>
                </c:pt>
                <c:pt idx="1028">
                  <c:v>177.05468979711878</c:v>
                </c:pt>
                <c:pt idx="1029">
                  <c:v>176.38165245516052</c:v>
                </c:pt>
                <c:pt idx="1030">
                  <c:v>177.3707733019703</c:v>
                </c:pt>
                <c:pt idx="1031">
                  <c:v>177.80505733607791</c:v>
                </c:pt>
                <c:pt idx="1032">
                  <c:v>177.88532784475183</c:v>
                </c:pt>
                <c:pt idx="1033">
                  <c:v>178.96177594825082</c:v>
                </c:pt>
                <c:pt idx="1034">
                  <c:v>178.62716847985917</c:v>
                </c:pt>
                <c:pt idx="1035">
                  <c:v>179.07291972949164</c:v>
                </c:pt>
                <c:pt idx="1036">
                  <c:v>177.97265510144106</c:v>
                </c:pt>
                <c:pt idx="1037">
                  <c:v>177.44516318729814</c:v>
                </c:pt>
                <c:pt idx="1038">
                  <c:v>178.89414877977092</c:v>
                </c:pt>
                <c:pt idx="1039">
                  <c:v>177.92561011467242</c:v>
                </c:pt>
                <c:pt idx="1040">
                  <c:v>177.92090561599557</c:v>
                </c:pt>
                <c:pt idx="1041">
                  <c:v>178.59688326962683</c:v>
                </c:pt>
                <c:pt idx="1042">
                  <c:v>177.90679211996496</c:v>
                </c:pt>
                <c:pt idx="1043">
                  <c:v>172.65980593942982</c:v>
                </c:pt>
                <c:pt idx="1044">
                  <c:v>172.51043810643952</c:v>
                </c:pt>
                <c:pt idx="1045">
                  <c:v>174.38547486033548</c:v>
                </c:pt>
                <c:pt idx="1046">
                  <c:v>175.65627756542222</c:v>
                </c:pt>
                <c:pt idx="1047">
                  <c:v>177.59600117612496</c:v>
                </c:pt>
                <c:pt idx="1048">
                  <c:v>177.52396354013555</c:v>
                </c:pt>
                <c:pt idx="1049">
                  <c:v>175.56130549838312</c:v>
                </c:pt>
                <c:pt idx="1050">
                  <c:v>173.68244633931224</c:v>
                </c:pt>
                <c:pt idx="1051">
                  <c:v>172.9382534548665</c:v>
                </c:pt>
                <c:pt idx="1052">
                  <c:v>172.5536606880332</c:v>
                </c:pt>
                <c:pt idx="1053">
                  <c:v>174.72713907674242</c:v>
                </c:pt>
                <c:pt idx="1054">
                  <c:v>175.69479564833901</c:v>
                </c:pt>
                <c:pt idx="1055">
                  <c:v>173.74389885327872</c:v>
                </c:pt>
                <c:pt idx="1056">
                  <c:v>174.01499558953279</c:v>
                </c:pt>
                <c:pt idx="1057">
                  <c:v>171.33313731255541</c:v>
                </c:pt>
                <c:pt idx="1058">
                  <c:v>171.60305792414024</c:v>
                </c:pt>
                <c:pt idx="1059">
                  <c:v>171.79976477506642</c:v>
                </c:pt>
                <c:pt idx="1060">
                  <c:v>174.94589826521636</c:v>
                </c:pt>
                <c:pt idx="1061">
                  <c:v>174.57630108791557</c:v>
                </c:pt>
                <c:pt idx="1062">
                  <c:v>176.32049397236131</c:v>
                </c:pt>
                <c:pt idx="1063">
                  <c:v>177.86650985004437</c:v>
                </c:pt>
                <c:pt idx="1064">
                  <c:v>178.95824757424313</c:v>
                </c:pt>
                <c:pt idx="1065">
                  <c:v>179.90914436930342</c:v>
                </c:pt>
                <c:pt idx="1066">
                  <c:v>179.39547192002379</c:v>
                </c:pt>
                <c:pt idx="1067">
                  <c:v>176.77977065568976</c:v>
                </c:pt>
                <c:pt idx="1068">
                  <c:v>178.40929138488707</c:v>
                </c:pt>
                <c:pt idx="1069">
                  <c:v>177.5745369009118</c:v>
                </c:pt>
                <c:pt idx="1070">
                  <c:v>178.51132019994148</c:v>
                </c:pt>
                <c:pt idx="1071">
                  <c:v>177.61040870332283</c:v>
                </c:pt>
                <c:pt idx="1072">
                  <c:v>176.25904145839488</c:v>
                </c:pt>
                <c:pt idx="1073">
                  <c:v>177.53249044398734</c:v>
                </c:pt>
                <c:pt idx="1074">
                  <c:v>178.22640399882417</c:v>
                </c:pt>
                <c:pt idx="1075">
                  <c:v>178.87591884739811</c:v>
                </c:pt>
                <c:pt idx="1076">
                  <c:v>177.18288738606321</c:v>
                </c:pt>
                <c:pt idx="1077">
                  <c:v>178.3722434578068</c:v>
                </c:pt>
                <c:pt idx="1078">
                  <c:v>178.43281387827136</c:v>
                </c:pt>
                <c:pt idx="1079">
                  <c:v>177.94678035871829</c:v>
                </c:pt>
                <c:pt idx="1080">
                  <c:v>179.80211702440485</c:v>
                </c:pt>
                <c:pt idx="1081">
                  <c:v>179.7891796530435</c:v>
                </c:pt>
                <c:pt idx="1082">
                  <c:v>180.2287562481626</c:v>
                </c:pt>
                <c:pt idx="1083">
                  <c:v>180.65715965892412</c:v>
                </c:pt>
                <c:pt idx="1084">
                  <c:v>179.87415466039428</c:v>
                </c:pt>
                <c:pt idx="1085">
                  <c:v>176.80476330491058</c:v>
                </c:pt>
                <c:pt idx="1086">
                  <c:v>175.92619817700702</c:v>
                </c:pt>
                <c:pt idx="1087">
                  <c:v>175.10291090855657</c:v>
                </c:pt>
                <c:pt idx="1088">
                  <c:v>175.12672743310816</c:v>
                </c:pt>
                <c:pt idx="1089">
                  <c:v>172.34842693325515</c:v>
                </c:pt>
                <c:pt idx="1090">
                  <c:v>175.08085857100878</c:v>
                </c:pt>
                <c:pt idx="1091">
                  <c:v>172.00000000000026</c:v>
                </c:pt>
                <c:pt idx="1092">
                  <c:v>169.89561893560742</c:v>
                </c:pt>
                <c:pt idx="1093">
                  <c:v>171.79153190238191</c:v>
                </c:pt>
                <c:pt idx="1094">
                  <c:v>168.73037341958275</c:v>
                </c:pt>
                <c:pt idx="1095">
                  <c:v>169.66186415760095</c:v>
                </c:pt>
                <c:pt idx="1096">
                  <c:v>165.08556306968563</c:v>
                </c:pt>
                <c:pt idx="1097">
                  <c:v>163.83622463981203</c:v>
                </c:pt>
                <c:pt idx="1098">
                  <c:v>164.63687150838012</c:v>
                </c:pt>
                <c:pt idx="1099">
                  <c:v>162.34989708909168</c:v>
                </c:pt>
                <c:pt idx="1100">
                  <c:v>165.80241105557209</c:v>
                </c:pt>
                <c:pt idx="1101">
                  <c:v>166.86621581887704</c:v>
                </c:pt>
                <c:pt idx="1102">
                  <c:v>165.08850338135866</c:v>
                </c:pt>
                <c:pt idx="1103">
                  <c:v>166.87121434872122</c:v>
                </c:pt>
                <c:pt idx="1104">
                  <c:v>166.50661570126459</c:v>
                </c:pt>
                <c:pt idx="1105">
                  <c:v>166.64392825639544</c:v>
                </c:pt>
                <c:pt idx="1106">
                  <c:v>169.58453396060008</c:v>
                </c:pt>
                <c:pt idx="1107">
                  <c:v>169.85151426051189</c:v>
                </c:pt>
                <c:pt idx="1108">
                  <c:v>167.95648338723933</c:v>
                </c:pt>
                <c:pt idx="1109">
                  <c:v>167.40105851220258</c:v>
                </c:pt>
                <c:pt idx="1110">
                  <c:v>164.09703028521048</c:v>
                </c:pt>
                <c:pt idx="1111">
                  <c:v>165.00588062334634</c:v>
                </c:pt>
                <c:pt idx="1112">
                  <c:v>165.62981476036484</c:v>
                </c:pt>
                <c:pt idx="1113">
                  <c:v>166.74419288444599</c:v>
                </c:pt>
                <c:pt idx="1114">
                  <c:v>158.67450749779502</c:v>
                </c:pt>
                <c:pt idx="1115">
                  <c:v>149.19376653925337</c:v>
                </c:pt>
                <c:pt idx="1116">
                  <c:v>148.84592766833308</c:v>
                </c:pt>
                <c:pt idx="1117">
                  <c:v>146.50896795060299</c:v>
                </c:pt>
                <c:pt idx="1118">
                  <c:v>160.44986768597494</c:v>
                </c:pt>
                <c:pt idx="1119">
                  <c:v>154.89708909144392</c:v>
                </c:pt>
                <c:pt idx="1120">
                  <c:v>157.69950014701578</c:v>
                </c:pt>
                <c:pt idx="1121">
                  <c:v>158.95236695089702</c:v>
                </c:pt>
                <c:pt idx="1122">
                  <c:v>158.67774184063532</c:v>
                </c:pt>
                <c:pt idx="1123">
                  <c:v>155.12202293443124</c:v>
                </c:pt>
                <c:pt idx="1124">
                  <c:v>155.32784475154386</c:v>
                </c:pt>
                <c:pt idx="1125">
                  <c:v>151.66715671861238</c:v>
                </c:pt>
                <c:pt idx="1126">
                  <c:v>155.47662452219959</c:v>
                </c:pt>
                <c:pt idx="1127">
                  <c:v>158.06703910614547</c:v>
                </c:pt>
                <c:pt idx="1128">
                  <c:v>161.26933254925049</c:v>
                </c:pt>
                <c:pt idx="1129">
                  <c:v>162.45839458982678</c:v>
                </c:pt>
                <c:pt idx="1130">
                  <c:v>162.56248162305229</c:v>
                </c:pt>
                <c:pt idx="1131">
                  <c:v>163.50573360776266</c:v>
                </c:pt>
                <c:pt idx="1132">
                  <c:v>163.74772125845365</c:v>
                </c:pt>
                <c:pt idx="1133">
                  <c:v>164.77918259335516</c:v>
                </c:pt>
                <c:pt idx="1134">
                  <c:v>167.20582181711285</c:v>
                </c:pt>
                <c:pt idx="1135">
                  <c:v>166.1387827109676</c:v>
                </c:pt>
                <c:pt idx="1136">
                  <c:v>164.86062922669825</c:v>
                </c:pt>
                <c:pt idx="1137">
                  <c:v>165.57718318141744</c:v>
                </c:pt>
                <c:pt idx="1138">
                  <c:v>166.53748897383142</c:v>
                </c:pt>
                <c:pt idx="1139">
                  <c:v>166.418994413408</c:v>
                </c:pt>
                <c:pt idx="1140">
                  <c:v>171.8374007644812</c:v>
                </c:pt>
                <c:pt idx="1141">
                  <c:v>173.08291678917982</c:v>
                </c:pt>
                <c:pt idx="1142">
                  <c:v>173.26021758306396</c:v>
                </c:pt>
                <c:pt idx="1143">
                  <c:v>173.97618347544858</c:v>
                </c:pt>
                <c:pt idx="1144">
                  <c:v>175.19494266392257</c:v>
                </c:pt>
                <c:pt idx="1145">
                  <c:v>175.34842693325513</c:v>
                </c:pt>
                <c:pt idx="1146">
                  <c:v>174.66803881211428</c:v>
                </c:pt>
                <c:pt idx="1147">
                  <c:v>171.84975007350798</c:v>
                </c:pt>
                <c:pt idx="1148">
                  <c:v>171.77330197000902</c:v>
                </c:pt>
                <c:pt idx="1149">
                  <c:v>170.62099382534566</c:v>
                </c:pt>
                <c:pt idx="1150">
                  <c:v>174.11173184357563</c:v>
                </c:pt>
                <c:pt idx="1151">
                  <c:v>173.1417230226406</c:v>
                </c:pt>
                <c:pt idx="1152">
                  <c:v>173.83622463981203</c:v>
                </c:pt>
                <c:pt idx="1153">
                  <c:v>173.82211114378146</c:v>
                </c:pt>
                <c:pt idx="1154">
                  <c:v>174.53513672449301</c:v>
                </c:pt>
                <c:pt idx="1155">
                  <c:v>175.54748603351976</c:v>
                </c:pt>
                <c:pt idx="1156">
                  <c:v>175.56042340488113</c:v>
                </c:pt>
                <c:pt idx="1157">
                  <c:v>174.63393119670707</c:v>
                </c:pt>
                <c:pt idx="1158">
                  <c:v>176.42928550426367</c:v>
                </c:pt>
                <c:pt idx="1159">
                  <c:v>176.59159070861537</c:v>
                </c:pt>
                <c:pt idx="1160">
                  <c:v>177.55983534254656</c:v>
                </c:pt>
                <c:pt idx="1161">
                  <c:v>177.07262569832426</c:v>
                </c:pt>
                <c:pt idx="1162">
                  <c:v>177.74948544545748</c:v>
                </c:pt>
                <c:pt idx="1163">
                  <c:v>175.74154660394026</c:v>
                </c:pt>
                <c:pt idx="1164">
                  <c:v>177.39223757718341</c:v>
                </c:pt>
                <c:pt idx="1165">
                  <c:v>175.91061452513989</c:v>
                </c:pt>
                <c:pt idx="1166">
                  <c:v>175.85621875918869</c:v>
                </c:pt>
                <c:pt idx="1167">
                  <c:v>175.47309614819193</c:v>
                </c:pt>
                <c:pt idx="1168">
                  <c:v>177.15877683034427</c:v>
                </c:pt>
                <c:pt idx="1169">
                  <c:v>179.12907968244662</c:v>
                </c:pt>
                <c:pt idx="1170">
                  <c:v>179.12849162011202</c:v>
                </c:pt>
                <c:pt idx="1171">
                  <c:v>180.56512790355808</c:v>
                </c:pt>
                <c:pt idx="1172">
                  <c:v>181.50749779476655</c:v>
                </c:pt>
                <c:pt idx="1173">
                  <c:v>182.44486915613084</c:v>
                </c:pt>
                <c:pt idx="1174">
                  <c:v>182.24081152602204</c:v>
                </c:pt>
                <c:pt idx="1175">
                  <c:v>183.10555718906232</c:v>
                </c:pt>
                <c:pt idx="1176">
                  <c:v>184.63246104087062</c:v>
                </c:pt>
                <c:pt idx="1177">
                  <c:v>183.18082916789206</c:v>
                </c:pt>
                <c:pt idx="1178">
                  <c:v>183.04969126727462</c:v>
                </c:pt>
                <c:pt idx="1179">
                  <c:v>184.15936489267892</c:v>
                </c:pt>
                <c:pt idx="1180">
                  <c:v>184.66509850044136</c:v>
                </c:pt>
                <c:pt idx="1181">
                  <c:v>184.05615995295534</c:v>
                </c:pt>
                <c:pt idx="1182">
                  <c:v>184.31520141134993</c:v>
                </c:pt>
                <c:pt idx="1183">
                  <c:v>183.58600411643667</c:v>
                </c:pt>
                <c:pt idx="1184">
                  <c:v>184.1723022640403</c:v>
                </c:pt>
                <c:pt idx="1185">
                  <c:v>185.16201117318468</c:v>
                </c:pt>
                <c:pt idx="1186">
                  <c:v>185.14525139664838</c:v>
                </c:pt>
                <c:pt idx="1187">
                  <c:v>185.40429285504297</c:v>
                </c:pt>
                <c:pt idx="1188">
                  <c:v>185.52249338429905</c:v>
                </c:pt>
                <c:pt idx="1189">
                  <c:v>186.97177300793916</c:v>
                </c:pt>
                <c:pt idx="1190">
                  <c:v>187.10232284622205</c:v>
                </c:pt>
                <c:pt idx="1191">
                  <c:v>187.84592766833322</c:v>
                </c:pt>
                <c:pt idx="1192">
                  <c:v>187.87915319023853</c:v>
                </c:pt>
                <c:pt idx="1193">
                  <c:v>187.32314025286715</c:v>
                </c:pt>
                <c:pt idx="1194">
                  <c:v>187.08909144369338</c:v>
                </c:pt>
                <c:pt idx="1195">
                  <c:v>186.39782416936234</c:v>
                </c:pt>
                <c:pt idx="1196">
                  <c:v>183.41693619523707</c:v>
                </c:pt>
                <c:pt idx="1197">
                  <c:v>186.11996471626028</c:v>
                </c:pt>
                <c:pt idx="1198">
                  <c:v>185.21581887680128</c:v>
                </c:pt>
                <c:pt idx="1199">
                  <c:v>186.56453984122354</c:v>
                </c:pt>
                <c:pt idx="1200">
                  <c:v>186.41576007056781</c:v>
                </c:pt>
                <c:pt idx="1201">
                  <c:v>187.86974419288478</c:v>
                </c:pt>
                <c:pt idx="1202">
                  <c:v>187.39929432519881</c:v>
                </c:pt>
                <c:pt idx="1203">
                  <c:v>189.52543369597211</c:v>
                </c:pt>
                <c:pt idx="1204">
                  <c:v>190.13760658629849</c:v>
                </c:pt>
                <c:pt idx="1205">
                  <c:v>190.19523669509005</c:v>
                </c:pt>
                <c:pt idx="1206">
                  <c:v>189.64422228756285</c:v>
                </c:pt>
                <c:pt idx="1207">
                  <c:v>189.62511026168809</c:v>
                </c:pt>
                <c:pt idx="1208">
                  <c:v>188.51426051161459</c:v>
                </c:pt>
                <c:pt idx="1209">
                  <c:v>188.05586592178807</c:v>
                </c:pt>
                <c:pt idx="1210">
                  <c:v>187.30285210232321</c:v>
                </c:pt>
                <c:pt idx="1211">
                  <c:v>190.14730961481953</c:v>
                </c:pt>
                <c:pt idx="1212">
                  <c:v>189.33607762422852</c:v>
                </c:pt>
                <c:pt idx="1213">
                  <c:v>190.11878859159106</c:v>
                </c:pt>
                <c:pt idx="1214">
                  <c:v>190.57336077624262</c:v>
                </c:pt>
                <c:pt idx="1215">
                  <c:v>191.17494854454606</c:v>
                </c:pt>
                <c:pt idx="1216">
                  <c:v>189.95177888856253</c:v>
                </c:pt>
                <c:pt idx="1217">
                  <c:v>188.63687150838021</c:v>
                </c:pt>
                <c:pt idx="1218">
                  <c:v>189.59894148779804</c:v>
                </c:pt>
                <c:pt idx="1219">
                  <c:v>191.18141723022671</c:v>
                </c:pt>
                <c:pt idx="1220">
                  <c:v>190.57630108791562</c:v>
                </c:pt>
                <c:pt idx="1221">
                  <c:v>190.97765363128519</c:v>
                </c:pt>
                <c:pt idx="1222">
                  <c:v>191.49103204939752</c:v>
                </c:pt>
                <c:pt idx="1223">
                  <c:v>192.06233460746867</c:v>
                </c:pt>
                <c:pt idx="1224">
                  <c:v>193.69214936783328</c:v>
                </c:pt>
                <c:pt idx="1225">
                  <c:v>193.59864745663069</c:v>
                </c:pt>
                <c:pt idx="1226">
                  <c:v>194.50985004410495</c:v>
                </c:pt>
                <c:pt idx="1227">
                  <c:v>194.25933548956218</c:v>
                </c:pt>
                <c:pt idx="1228">
                  <c:v>194.07086151132049</c:v>
                </c:pt>
                <c:pt idx="1229">
                  <c:v>195.00029403116758</c:v>
                </c:pt>
                <c:pt idx="1230">
                  <c:v>195.95295501323164</c:v>
                </c:pt>
                <c:pt idx="1231">
                  <c:v>196.81711261393735</c:v>
                </c:pt>
                <c:pt idx="1232">
                  <c:v>195.73419582475771</c:v>
                </c:pt>
                <c:pt idx="1233">
                  <c:v>195.17700676271716</c:v>
                </c:pt>
                <c:pt idx="1234">
                  <c:v>194.19935313143222</c:v>
                </c:pt>
                <c:pt idx="1235">
                  <c:v>195.34548662158215</c:v>
                </c:pt>
                <c:pt idx="1236">
                  <c:v>195.86033519553098</c:v>
                </c:pt>
                <c:pt idx="1237">
                  <c:v>196.66157012643367</c:v>
                </c:pt>
                <c:pt idx="1238">
                  <c:v>197.33019700088238</c:v>
                </c:pt>
                <c:pt idx="1239">
                  <c:v>197.45221993531345</c:v>
                </c:pt>
                <c:pt idx="1240">
                  <c:v>197.4651573066748</c:v>
                </c:pt>
                <c:pt idx="1241">
                  <c:v>198.18523963540164</c:v>
                </c:pt>
                <c:pt idx="1242">
                  <c:v>197.42987356659836</c:v>
                </c:pt>
                <c:pt idx="1243">
                  <c:v>198.58041752425788</c:v>
                </c:pt>
                <c:pt idx="1244">
                  <c:v>198.03322552190562</c:v>
                </c:pt>
                <c:pt idx="1245">
                  <c:v>192.66421640693943</c:v>
                </c:pt>
                <c:pt idx="1246">
                  <c:v>195.66950896795092</c:v>
                </c:pt>
                <c:pt idx="1247">
                  <c:v>195.36342252278772</c:v>
                </c:pt>
                <c:pt idx="1248">
                  <c:v>196.14995589532521</c:v>
                </c:pt>
                <c:pt idx="1249">
                  <c:v>194.91531902381681</c:v>
                </c:pt>
                <c:pt idx="1250">
                  <c:v>195.94266392237606</c:v>
                </c:pt>
                <c:pt idx="1251">
                  <c:v>198.03381358424022</c:v>
                </c:pt>
                <c:pt idx="1252">
                  <c:v>198.04028226992091</c:v>
                </c:pt>
                <c:pt idx="1253">
                  <c:v>196.98324022346395</c:v>
                </c:pt>
                <c:pt idx="1254">
                  <c:v>198.13113790061772</c:v>
                </c:pt>
                <c:pt idx="1255">
                  <c:v>199.69685386651011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18-49B5-B3B1-D621D0D2E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695743"/>
        <c:axId val="1532701023"/>
      </c:lineChart>
      <c:catAx>
        <c:axId val="153269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000" b="1" i="1" u="none" strike="noStrike" cap="all" baseline="0"/>
                  <a:t>Número de Periodo de Observación</a:t>
                </a:r>
                <a:endParaRPr lang="es-MX" sz="2000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2701023"/>
        <c:crosses val="autoZero"/>
        <c:auto val="1"/>
        <c:lblAlgn val="ctr"/>
        <c:lblOffset val="100"/>
        <c:noMultiLvlLbl val="0"/>
      </c:catAx>
      <c:valAx>
        <c:axId val="15327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2000" b="1" i="1" u="none" strike="noStrike" cap="all" baseline="0"/>
                  <a:t>Retorno Acumulado (Base 100</a:t>
                </a:r>
                <a:r>
                  <a:rPr lang="es-MX" sz="900" b="1" i="0" u="none" strike="noStrike" cap="all" baseline="0"/>
                  <a:t>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269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62DD16-21BF-4F0D-ACB5-5C600E16D244}">
  <sheetPr>
    <tabColor theme="9" tint="0.79998168889431442"/>
  </sheetPr>
  <sheetViews>
    <sheetView zoomScale="5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1176D7-CC7C-47F4-A81E-9CA08731F585}">
  <sheetPr>
    <tabColor theme="9" tint="0.79998168889431442"/>
  </sheetPr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7923F3-AD25-1621-E08E-B5AD8AAB1C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9120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3F8B56-1DD4-3B29-1818-F6D71EA528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xel Cruz" id="{BC7CFC7C-4CEC-4077-9FA8-D13BF7CB8791}" userId="ef3e88715802741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B474DC-DF84-4360-BE65-4CCAFED9EB7B}" name="Tabla2" displayName="Tabla2" ref="T2:W13" totalsRowShown="0">
  <autoFilter ref="T2:W13" xr:uid="{85B474DC-DF84-4360-BE65-4CCAFED9EB7B}"/>
  <tableColumns count="4">
    <tableColumn id="1" xr3:uid="{C205C9E7-50EA-468F-B776-FC617E2E12F4}" name="Acciones"/>
    <tableColumn id="2" xr3:uid="{C0E8FF12-245D-4648-BCAD-CC816019A6AC}" name="V.Esperado" dataDxfId="2" dataCellStyle="Porcentaje"/>
    <tableColumn id="3" xr3:uid="{3A96152D-119F-4C69-A236-1BD7D4AB3E44}" name="Riesgo " dataDxfId="1" dataCellStyle="Porcentaje"/>
    <tableColumn id="4" xr3:uid="{E4CE9DD6-1C79-4042-A61B-74D75E659086}" name="W" dataDxfId="0" dataCellStyle="Porcentaj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10-26T03:44:24.97" personId="{BC7CFC7C-4CEC-4077-9FA8-D13BF7CB8791}" id="{7BEF4332-0293-4E64-B359-7FE7E6B58D80}">
    <text xml:space="preserve">Closing price of the day </text>
  </threadedComment>
  <threadedComment ref="C2" dT="2025-10-26T03:44:32.32" personId="{BC7CFC7C-4CEC-4077-9FA8-D13BF7CB8791}" id="{FDBB814E-6617-486B-9A46-DFDB7D199ED7}">
    <text xml:space="preserve">Closing price of the day </text>
  </threadedComment>
  <threadedComment ref="D2" dT="2025-10-26T03:44:36.81" personId="{BC7CFC7C-4CEC-4077-9FA8-D13BF7CB8791}" id="{DCE01A9D-05DB-4ACA-8B5B-C02F892A3BEA}">
    <text xml:space="preserve">Closing price of the day </text>
  </threadedComment>
  <threadedComment ref="E2" dT="2025-10-26T03:44:41.20" personId="{BC7CFC7C-4CEC-4077-9FA8-D13BF7CB8791}" id="{B7993324-05AC-4DC5-90C8-B0C7201B4831}">
    <text xml:space="preserve">Closing price of the day </text>
  </threadedComment>
  <threadedComment ref="F2" dT="2025-10-26T03:44:48.51" personId="{BC7CFC7C-4CEC-4077-9FA8-D13BF7CB8791}" id="{F0B2392C-683B-4BCB-8EA3-9E5095476B98}">
    <text xml:space="preserve">Closing price of the day </text>
  </threadedComment>
  <threadedComment ref="G2" dT="2025-10-26T03:44:52.83" personId="{BC7CFC7C-4CEC-4077-9FA8-D13BF7CB8791}" id="{C9A5EA4C-5BC7-429D-A292-F8656C94495D}">
    <text xml:space="preserve">Closing price of the day </text>
  </threadedComment>
  <threadedComment ref="H2" dT="2025-10-26T03:44:57.49" personId="{BC7CFC7C-4CEC-4077-9FA8-D13BF7CB8791}" id="{381D4481-CA32-4567-8236-8E8681371894}">
    <text xml:space="preserve">Closing price of the day </text>
  </threadedComment>
  <threadedComment ref="I2" dT="2025-10-26T03:45:03.29" personId="{BC7CFC7C-4CEC-4077-9FA8-D13BF7CB8791}" id="{AE0403DE-9C6A-4EF9-9CE3-AE97F7CCEC84}">
    <text xml:space="preserve">Closing price of the day </text>
  </threadedComment>
  <threadedComment ref="J2" dT="2025-10-26T03:45:08.05" personId="{BC7CFC7C-4CEC-4077-9FA8-D13BF7CB8791}" id="{7F3965BC-298E-406A-9CDD-0CBE8498D409}">
    <text xml:space="preserve">Closing price of the day </text>
  </threadedComment>
  <threadedComment ref="K2" dT="2025-10-26T03:45:12.33" personId="{BC7CFC7C-4CEC-4077-9FA8-D13BF7CB8791}" id="{4441E85C-A1AA-4D3F-B71E-1E0B379AC873}">
    <text xml:space="preserve">Closing price of the day </text>
  </threadedComment>
  <threadedComment ref="L2" dT="2025-10-26T03:45:19.33" personId="{BC7CFC7C-4CEC-4077-9FA8-D13BF7CB8791}" id="{C279824B-19F9-49F7-A584-5533804467A8}">
    <text xml:space="preserve">Closing price of the day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30" dT="2025-11-23T03:24:40.30" personId="{BC7CFC7C-4CEC-4077-9FA8-D13BF7CB8791}" id="{4FEE726F-12FF-4B01-9A25-ABBD47D6FAC4}">
    <text>Obj: Varianza del portafolio
Cambiando variables: W
Minimizar
1. Valor esperado = Rendimiento esperado
2.que los pesos no pueden ser (w) &gt;=0
3. que el final de los w (pesos) es 100%</text>
  </threadedComment>
  <threadedComment ref="T42" dT="2025-11-23T03:30:26.73" personId="{BC7CFC7C-4CEC-4077-9FA8-D13BF7CB8791}" id="{B40F962C-037A-4770-B438-2545011363A7}">
    <text>Establecer objetivo con varianza Portafolio darle MIN
Cambiando las celdas de varibles: son el peso de cada accion w 
Nuestras restricciones 
1.PESOS W &gt;= 0
2.SUMA DE PESOS ES IGUAL A 100</text>
  </threadedComment>
  <threadedComment ref="T43" dT="2025-11-19T00:45:36.41" personId="{BC7CFC7C-4CEC-4077-9FA8-D13BF7CB8791}" id="{23B095C5-1C16-4DD4-A9C0-3A221D11A157}">
    <text>Tasa libro de riesgo</text>
  </threadedComment>
  <threadedComment ref="T44" dT="2025-11-20T23:43:51.14" personId="{BC7CFC7C-4CEC-4077-9FA8-D13BF7CB8791}" id="{BE154629-5631-4FF6-A3D8-24C794A0BFD6}">
    <text xml:space="preserve">Se utilizaron las mismas formulas de solver, solamente se maximixo el indice de shapare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1F9F-543A-45B3-BD4E-A7C9A1060A72}">
  <sheetPr>
    <tabColor rgb="FF00B0F0"/>
  </sheetPr>
  <dimension ref="A1:Y1259"/>
  <sheetViews>
    <sheetView showGridLines="0" zoomScale="70" workbookViewId="0">
      <selection activeCell="E26" sqref="E26"/>
    </sheetView>
  </sheetViews>
  <sheetFormatPr baseColWidth="10" defaultColWidth="11.453125" defaultRowHeight="14.5" x14ac:dyDescent="0.35"/>
  <cols>
    <col min="2" max="2" width="10.453125" bestFit="1" customWidth="1"/>
    <col min="10" max="10" width="12.1796875" customWidth="1"/>
    <col min="11" max="11" width="12.453125" bestFit="1" customWidth="1"/>
    <col min="12" max="12" width="11.7265625" bestFit="1" customWidth="1"/>
  </cols>
  <sheetData>
    <row r="1" spans="1:25" x14ac:dyDescent="0.35">
      <c r="B1" s="9" t="s">
        <v>0</v>
      </c>
      <c r="C1" s="68" t="s">
        <v>1</v>
      </c>
      <c r="D1" s="68"/>
      <c r="E1" s="68"/>
      <c r="F1" s="69" t="s">
        <v>2</v>
      </c>
      <c r="G1" s="69"/>
      <c r="H1" s="67" t="s">
        <v>3</v>
      </c>
      <c r="I1" s="67"/>
      <c r="J1" s="3" t="s">
        <v>4</v>
      </c>
      <c r="K1" s="4" t="s">
        <v>5</v>
      </c>
      <c r="L1" s="5" t="s">
        <v>6</v>
      </c>
      <c r="M1" s="65" t="s">
        <v>80</v>
      </c>
    </row>
    <row r="2" spans="1:25" x14ac:dyDescent="0.35"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10" t="s">
        <v>18</v>
      </c>
      <c r="O2" s="9" t="s">
        <v>0</v>
      </c>
      <c r="P2" s="68" t="s">
        <v>1</v>
      </c>
      <c r="Q2" s="68"/>
      <c r="R2" s="68"/>
      <c r="S2" s="69" t="s">
        <v>2</v>
      </c>
      <c r="T2" s="69"/>
      <c r="U2" s="67" t="s">
        <v>3</v>
      </c>
      <c r="V2" s="67"/>
      <c r="W2" s="3" t="s">
        <v>4</v>
      </c>
      <c r="X2" s="4" t="s">
        <v>5</v>
      </c>
      <c r="Y2" s="5" t="s">
        <v>6</v>
      </c>
    </row>
    <row r="3" spans="1:25" x14ac:dyDescent="0.35">
      <c r="A3" s="7" t="s">
        <v>19</v>
      </c>
      <c r="B3" s="7" t="s">
        <v>20</v>
      </c>
      <c r="C3" s="7" t="s">
        <v>21</v>
      </c>
      <c r="D3" s="7" t="s">
        <v>21</v>
      </c>
      <c r="E3" s="7" t="s">
        <v>21</v>
      </c>
      <c r="F3" s="7" t="s">
        <v>20</v>
      </c>
      <c r="G3" s="7" t="s">
        <v>20</v>
      </c>
      <c r="H3" s="7" t="s">
        <v>21</v>
      </c>
      <c r="I3" s="7" t="s">
        <v>21</v>
      </c>
      <c r="J3" s="7" t="s">
        <v>21</v>
      </c>
      <c r="K3" s="7" t="s">
        <v>21</v>
      </c>
      <c r="L3" s="7" t="s">
        <v>20</v>
      </c>
      <c r="M3" s="10" t="s">
        <v>20</v>
      </c>
      <c r="O3" s="7" t="str">
        <f>B2</f>
        <v>S&amp;P 500</v>
      </c>
      <c r="P3" s="7" t="str">
        <f>C2</f>
        <v>AAPL</v>
      </c>
      <c r="Q3" s="7" t="str">
        <f>D2</f>
        <v>IBM</v>
      </c>
      <c r="R3" s="7" t="str">
        <f>E2</f>
        <v>MSFT</v>
      </c>
      <c r="S3" s="7" t="str">
        <f>F2</f>
        <v>UNH</v>
      </c>
      <c r="T3" s="7" t="str">
        <f>+G2</f>
        <v>JNJ</v>
      </c>
      <c r="U3" s="7" t="str">
        <f>+H2</f>
        <v>Visa Inc.</v>
      </c>
      <c r="V3" s="7" t="str">
        <f>+I2</f>
        <v>AXP</v>
      </c>
      <c r="W3" s="7" t="str">
        <f>+J2</f>
        <v>Boeing</v>
      </c>
      <c r="X3" s="7" t="str">
        <f>K2</f>
        <v>WMT</v>
      </c>
      <c r="Y3" s="7" t="str">
        <f>L2</f>
        <v>CAT</v>
      </c>
    </row>
    <row r="4" spans="1:25" x14ac:dyDescent="0.35">
      <c r="A4" s="6">
        <v>44130</v>
      </c>
      <c r="B4" s="8">
        <v>3401</v>
      </c>
      <c r="C4" s="2">
        <v>115.05</v>
      </c>
      <c r="D4" s="2">
        <v>107.19</v>
      </c>
      <c r="E4" s="2">
        <v>210.08</v>
      </c>
      <c r="F4" s="2">
        <v>323.06</v>
      </c>
      <c r="G4" s="2">
        <v>143.97</v>
      </c>
      <c r="H4" s="2">
        <v>193.07</v>
      </c>
      <c r="I4" s="2">
        <v>96.88</v>
      </c>
      <c r="J4" s="2">
        <v>160.83000000000001</v>
      </c>
      <c r="K4" s="2">
        <v>47.39</v>
      </c>
      <c r="L4" s="2">
        <v>163.19999999999999</v>
      </c>
      <c r="M4" s="64">
        <v>6.91</v>
      </c>
      <c r="N4" s="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x14ac:dyDescent="0.35">
      <c r="A5" s="6">
        <v>44131</v>
      </c>
      <c r="B5" s="8">
        <v>3390.7</v>
      </c>
      <c r="C5" s="2">
        <v>116.6</v>
      </c>
      <c r="D5" s="2">
        <v>105.6</v>
      </c>
      <c r="E5" s="2">
        <v>213.25</v>
      </c>
      <c r="F5" s="2">
        <v>320.51</v>
      </c>
      <c r="G5" s="2">
        <v>143.15</v>
      </c>
      <c r="H5" s="2">
        <v>190.06</v>
      </c>
      <c r="I5" s="2">
        <v>94.93</v>
      </c>
      <c r="J5" s="2">
        <v>155.24</v>
      </c>
      <c r="K5" s="2">
        <v>47.62</v>
      </c>
      <c r="L5" s="2">
        <v>157.91</v>
      </c>
      <c r="M5" s="64" t="s">
        <v>77</v>
      </c>
      <c r="N5" s="1"/>
      <c r="O5" s="12">
        <f t="shared" ref="O5:O68" si="0">(B5/B4)-1</f>
        <v>-3.0285210232284809E-3</v>
      </c>
      <c r="P5" s="12">
        <f t="shared" ref="P5:P68" si="1">(C5/C4)-1</f>
        <v>1.3472403302911662E-2</v>
      </c>
      <c r="Q5" s="12">
        <f t="shared" ref="Q5:Q68" si="2">(D5/D4)-1</f>
        <v>-1.4833473271760433E-2</v>
      </c>
      <c r="R5" s="12">
        <f t="shared" ref="R5:R68" si="3">(E5/E4)-1</f>
        <v>1.5089489718202564E-2</v>
      </c>
      <c r="S5" s="12">
        <f t="shared" ref="S5:S68" si="4">(F5/F4)-1</f>
        <v>-7.8932705998886465E-3</v>
      </c>
      <c r="T5" s="12">
        <f t="shared" ref="T5:T68" si="5">(G5/G4)-1</f>
        <v>-5.6956310342431982E-3</v>
      </c>
      <c r="U5" s="12">
        <f t="shared" ref="U5:U68" si="6">(H5/H4)-1</f>
        <v>-1.5590200445434244E-2</v>
      </c>
      <c r="V5" s="12">
        <f t="shared" ref="V5:V68" si="7">(I5/I4)-1</f>
        <v>-2.0127993393889265E-2</v>
      </c>
      <c r="W5" s="12">
        <f t="shared" ref="W5:W68" si="8">(J5/J4)-1</f>
        <v>-3.4757197040353183E-2</v>
      </c>
      <c r="X5" s="12">
        <f t="shared" ref="X5:X68" si="9">(K5/K4)-1</f>
        <v>4.8533445874656689E-3</v>
      </c>
      <c r="Y5" s="12">
        <f t="shared" ref="Y5:Y68" si="10">(L5/L4)-1</f>
        <v>-3.241421568627445E-2</v>
      </c>
    </row>
    <row r="6" spans="1:25" x14ac:dyDescent="0.35">
      <c r="A6" s="6">
        <v>44132</v>
      </c>
      <c r="B6" s="8">
        <v>3271</v>
      </c>
      <c r="C6" s="2">
        <v>111.2</v>
      </c>
      <c r="D6" s="2">
        <v>101.87</v>
      </c>
      <c r="E6" s="2">
        <v>202.68</v>
      </c>
      <c r="F6" s="2">
        <v>308</v>
      </c>
      <c r="G6" s="2">
        <v>138.36000000000001</v>
      </c>
      <c r="H6" s="2">
        <v>180.87</v>
      </c>
      <c r="I6" s="2">
        <v>91.6</v>
      </c>
      <c r="J6" s="2">
        <v>148.13999999999999</v>
      </c>
      <c r="K6" s="2">
        <v>46.68</v>
      </c>
      <c r="L6" s="2">
        <v>151.16</v>
      </c>
      <c r="M6" s="64" t="s">
        <v>77</v>
      </c>
      <c r="N6" s="1"/>
      <c r="O6" s="12">
        <f t="shared" si="0"/>
        <v>-3.5302444922877263E-2</v>
      </c>
      <c r="P6" s="12">
        <f t="shared" si="1"/>
        <v>-4.6312178387650005E-2</v>
      </c>
      <c r="Q6" s="12">
        <f t="shared" si="2"/>
        <v>-3.5321969696969657E-2</v>
      </c>
      <c r="R6" s="12">
        <f t="shared" si="3"/>
        <v>-4.9566236811254383E-2</v>
      </c>
      <c r="S6" s="12">
        <f t="shared" si="4"/>
        <v>-3.9031543477582531E-2</v>
      </c>
      <c r="T6" s="12">
        <f t="shared" si="5"/>
        <v>-3.3461404121550742E-2</v>
      </c>
      <c r="U6" s="12">
        <f t="shared" si="6"/>
        <v>-4.8353151636325364E-2</v>
      </c>
      <c r="V6" s="12">
        <f t="shared" si="7"/>
        <v>-3.5078478879174257E-2</v>
      </c>
      <c r="W6" s="12">
        <f t="shared" si="8"/>
        <v>-4.573563514558121E-2</v>
      </c>
      <c r="X6" s="12">
        <f t="shared" si="9"/>
        <v>-1.973960520789575E-2</v>
      </c>
      <c r="Y6" s="12">
        <f t="shared" si="10"/>
        <v>-4.2745867899436352E-2</v>
      </c>
    </row>
    <row r="7" spans="1:25" x14ac:dyDescent="0.35">
      <c r="A7" s="6">
        <v>44133</v>
      </c>
      <c r="B7" s="8">
        <v>3310.1</v>
      </c>
      <c r="C7" s="2">
        <v>115.32</v>
      </c>
      <c r="D7" s="2">
        <v>104.03</v>
      </c>
      <c r="E7" s="2">
        <v>204.72</v>
      </c>
      <c r="F7" s="2">
        <v>303.68</v>
      </c>
      <c r="G7" s="2">
        <v>137.19</v>
      </c>
      <c r="H7" s="2">
        <v>184.87</v>
      </c>
      <c r="I7" s="2">
        <v>91.07</v>
      </c>
      <c r="J7" s="2">
        <v>148.29</v>
      </c>
      <c r="K7" s="2">
        <v>46.64</v>
      </c>
      <c r="L7" s="2">
        <v>154.66999999999999</v>
      </c>
      <c r="M7" s="64" t="s">
        <v>77</v>
      </c>
      <c r="N7" s="1"/>
      <c r="O7" s="12">
        <f t="shared" si="0"/>
        <v>1.1953531030265863E-2</v>
      </c>
      <c r="P7" s="12">
        <f t="shared" si="1"/>
        <v>3.705035971223003E-2</v>
      </c>
      <c r="Q7" s="12">
        <f t="shared" si="2"/>
        <v>2.1203494650044119E-2</v>
      </c>
      <c r="R7" s="12">
        <f t="shared" si="3"/>
        <v>1.0065127294256904E-2</v>
      </c>
      <c r="S7" s="12">
        <f t="shared" si="4"/>
        <v>-1.4025974025974053E-2</v>
      </c>
      <c r="T7" s="12">
        <f t="shared" si="5"/>
        <v>-8.4562012142238574E-3</v>
      </c>
      <c r="U7" s="12">
        <f t="shared" si="6"/>
        <v>2.2115331453530063E-2</v>
      </c>
      <c r="V7" s="12">
        <f t="shared" si="7"/>
        <v>-5.7860262008734287E-3</v>
      </c>
      <c r="W7" s="12">
        <f t="shared" si="8"/>
        <v>1.0125556905629107E-3</v>
      </c>
      <c r="X7" s="12">
        <f t="shared" si="9"/>
        <v>-8.5689802913446744E-4</v>
      </c>
      <c r="Y7" s="12">
        <f t="shared" si="10"/>
        <v>2.3220428684837202E-2</v>
      </c>
    </row>
    <row r="8" spans="1:25" x14ac:dyDescent="0.35">
      <c r="A8" s="6">
        <v>44134</v>
      </c>
      <c r="B8" s="8">
        <v>3270</v>
      </c>
      <c r="C8" s="2">
        <v>108.86</v>
      </c>
      <c r="D8" s="2">
        <v>106.65</v>
      </c>
      <c r="E8" s="2">
        <v>202.47</v>
      </c>
      <c r="F8" s="2">
        <v>305.14</v>
      </c>
      <c r="G8" s="2">
        <v>137.11000000000001</v>
      </c>
      <c r="H8" s="2">
        <v>181.71</v>
      </c>
      <c r="I8" s="2">
        <v>91.24</v>
      </c>
      <c r="J8" s="2">
        <v>144.38999999999999</v>
      </c>
      <c r="K8" s="2">
        <v>46.25</v>
      </c>
      <c r="L8" s="2">
        <v>157.05000000000001</v>
      </c>
      <c r="M8" s="64" t="s">
        <v>77</v>
      </c>
      <c r="N8" s="1"/>
      <c r="O8" s="12">
        <f t="shared" si="0"/>
        <v>-1.2114437630283081E-2</v>
      </c>
      <c r="P8" s="12">
        <f t="shared" si="1"/>
        <v>-5.6018036767256252E-2</v>
      </c>
      <c r="Q8" s="12">
        <f t="shared" si="2"/>
        <v>2.5185042776122213E-2</v>
      </c>
      <c r="R8" s="12">
        <f t="shared" si="3"/>
        <v>-1.0990621336459561E-2</v>
      </c>
      <c r="S8" s="12">
        <f t="shared" si="4"/>
        <v>4.8076923076922906E-3</v>
      </c>
      <c r="T8" s="12">
        <f t="shared" si="5"/>
        <v>-5.831328814052128E-4</v>
      </c>
      <c r="U8" s="12">
        <f t="shared" si="6"/>
        <v>-1.7093092443338564E-2</v>
      </c>
      <c r="V8" s="12">
        <f t="shared" si="7"/>
        <v>1.8666959481716816E-3</v>
      </c>
      <c r="W8" s="12">
        <f t="shared" si="8"/>
        <v>-2.6299817924337443E-2</v>
      </c>
      <c r="X8" s="12">
        <f t="shared" si="9"/>
        <v>-8.3619210977701197E-3</v>
      </c>
      <c r="Y8" s="12">
        <f t="shared" si="10"/>
        <v>1.5387599405185304E-2</v>
      </c>
    </row>
    <row r="9" spans="1:25" x14ac:dyDescent="0.35">
      <c r="A9" s="6">
        <v>44137</v>
      </c>
      <c r="B9" s="8">
        <v>3310.2</v>
      </c>
      <c r="C9" s="2">
        <v>108.77</v>
      </c>
      <c r="D9" s="2">
        <v>107.85</v>
      </c>
      <c r="E9" s="2">
        <v>202.33</v>
      </c>
      <c r="F9" s="2">
        <v>312.10000000000002</v>
      </c>
      <c r="G9" s="2">
        <v>138.69</v>
      </c>
      <c r="H9" s="2">
        <v>184.74</v>
      </c>
      <c r="I9" s="2">
        <v>93.4</v>
      </c>
      <c r="J9" s="2">
        <v>148.6</v>
      </c>
      <c r="K9" s="2">
        <v>46.8</v>
      </c>
      <c r="L9" s="2">
        <v>163.27000000000001</v>
      </c>
      <c r="M9" s="64">
        <v>6.7</v>
      </c>
      <c r="N9" s="1"/>
      <c r="O9" s="12">
        <f t="shared" si="0"/>
        <v>1.2293577981651316E-2</v>
      </c>
      <c r="P9" s="12">
        <f t="shared" si="1"/>
        <v>-8.2674995406950558E-4</v>
      </c>
      <c r="Q9" s="12">
        <f t="shared" si="2"/>
        <v>1.1251758087200914E-2</v>
      </c>
      <c r="R9" s="12">
        <f t="shared" si="3"/>
        <v>-6.9146046327839272E-4</v>
      </c>
      <c r="S9" s="12">
        <f t="shared" si="4"/>
        <v>2.2809202333355261E-2</v>
      </c>
      <c r="T9" s="12">
        <f t="shared" si="5"/>
        <v>1.1523594194442266E-2</v>
      </c>
      <c r="U9" s="12">
        <f t="shared" si="6"/>
        <v>1.6674921578339053E-2</v>
      </c>
      <c r="V9" s="12">
        <f t="shared" si="7"/>
        <v>2.3673827268742009E-2</v>
      </c>
      <c r="W9" s="12">
        <f t="shared" si="8"/>
        <v>2.915714384652679E-2</v>
      </c>
      <c r="X9" s="12">
        <f t="shared" si="9"/>
        <v>1.189189189189177E-2</v>
      </c>
      <c r="Y9" s="12">
        <f t="shared" si="10"/>
        <v>3.9605221267112301E-2</v>
      </c>
    </row>
    <row r="10" spans="1:25" x14ac:dyDescent="0.35">
      <c r="A10" s="6">
        <v>44138</v>
      </c>
      <c r="B10" s="8">
        <v>3369.2</v>
      </c>
      <c r="C10" s="2">
        <v>110.44</v>
      </c>
      <c r="D10" s="2">
        <v>109.04</v>
      </c>
      <c r="E10" s="2">
        <v>206.43</v>
      </c>
      <c r="F10" s="2">
        <v>321.35000000000002</v>
      </c>
      <c r="G10" s="2">
        <v>138.5</v>
      </c>
      <c r="H10" s="2">
        <v>188.34</v>
      </c>
      <c r="I10" s="2">
        <v>96.29</v>
      </c>
      <c r="J10" s="2">
        <v>153.65</v>
      </c>
      <c r="K10" s="2">
        <v>47.59</v>
      </c>
      <c r="L10" s="2">
        <v>167.69</v>
      </c>
      <c r="M10" s="64" t="s">
        <v>77</v>
      </c>
      <c r="N10" s="1"/>
      <c r="O10" s="12">
        <f t="shared" si="0"/>
        <v>1.7823696453386439E-2</v>
      </c>
      <c r="P10" s="12">
        <f t="shared" si="1"/>
        <v>1.5353498207226313E-2</v>
      </c>
      <c r="Q10" s="12">
        <f t="shared" si="2"/>
        <v>1.1033843300880974E-2</v>
      </c>
      <c r="R10" s="12">
        <f t="shared" si="3"/>
        <v>2.0263925270597616E-2</v>
      </c>
      <c r="S10" s="12">
        <f t="shared" si="4"/>
        <v>2.9637936558795319E-2</v>
      </c>
      <c r="T10" s="12">
        <f t="shared" si="5"/>
        <v>-1.3699617852764856E-3</v>
      </c>
      <c r="U10" s="12">
        <f t="shared" si="6"/>
        <v>1.9486846378694356E-2</v>
      </c>
      <c r="V10" s="12">
        <f t="shared" si="7"/>
        <v>3.0942184154175489E-2</v>
      </c>
      <c r="W10" s="12">
        <f t="shared" si="8"/>
        <v>3.3983849259757726E-2</v>
      </c>
      <c r="X10" s="12">
        <f t="shared" si="9"/>
        <v>1.6880341880342042E-2</v>
      </c>
      <c r="Y10" s="12">
        <f t="shared" si="10"/>
        <v>2.7071721688001427E-2</v>
      </c>
    </row>
    <row r="11" spans="1:25" x14ac:dyDescent="0.35">
      <c r="A11" s="6">
        <v>44139</v>
      </c>
      <c r="B11" s="8">
        <v>3443.4</v>
      </c>
      <c r="C11" s="2">
        <v>114.95</v>
      </c>
      <c r="D11" s="2">
        <v>106.88</v>
      </c>
      <c r="E11" s="2">
        <v>216.39</v>
      </c>
      <c r="F11" s="2">
        <v>354.56</v>
      </c>
      <c r="G11" s="2">
        <v>139.4</v>
      </c>
      <c r="H11" s="2">
        <v>193.97</v>
      </c>
      <c r="I11" s="2">
        <v>96.4</v>
      </c>
      <c r="J11" s="2">
        <v>151.63</v>
      </c>
      <c r="K11" s="2">
        <v>47.32</v>
      </c>
      <c r="L11" s="2">
        <v>155.22999999999999</v>
      </c>
      <c r="M11" s="64" t="s">
        <v>77</v>
      </c>
      <c r="N11" s="1"/>
      <c r="O11" s="12">
        <f t="shared" si="0"/>
        <v>2.2023032173809964E-2</v>
      </c>
      <c r="P11" s="12">
        <f t="shared" si="1"/>
        <v>4.0836653386454147E-2</v>
      </c>
      <c r="Q11" s="12">
        <f t="shared" si="2"/>
        <v>-1.9809244314013319E-2</v>
      </c>
      <c r="R11" s="12">
        <f t="shared" si="3"/>
        <v>4.8248801046359535E-2</v>
      </c>
      <c r="S11" s="12">
        <f t="shared" si="4"/>
        <v>0.10334526217519824</v>
      </c>
      <c r="T11" s="12">
        <f t="shared" si="5"/>
        <v>6.4981949458484678E-3</v>
      </c>
      <c r="U11" s="12">
        <f t="shared" si="6"/>
        <v>2.9892747159392608E-2</v>
      </c>
      <c r="V11" s="12">
        <f t="shared" si="7"/>
        <v>1.1423823865406302E-3</v>
      </c>
      <c r="W11" s="12">
        <f t="shared" si="8"/>
        <v>-1.3146762121705291E-2</v>
      </c>
      <c r="X11" s="12">
        <f t="shared" si="9"/>
        <v>-5.673460811094877E-3</v>
      </c>
      <c r="Y11" s="12">
        <f t="shared" si="10"/>
        <v>-7.4303774822589319E-2</v>
      </c>
    </row>
    <row r="12" spans="1:25" x14ac:dyDescent="0.35">
      <c r="A12" s="6">
        <v>44140</v>
      </c>
      <c r="B12" s="8">
        <v>3510.4</v>
      </c>
      <c r="C12" s="2">
        <v>119.03</v>
      </c>
      <c r="D12" s="2">
        <v>109.62</v>
      </c>
      <c r="E12" s="2">
        <v>223.29</v>
      </c>
      <c r="F12" s="2">
        <v>354.4</v>
      </c>
      <c r="G12" s="2">
        <v>139.76</v>
      </c>
      <c r="H12" s="2">
        <v>197.64</v>
      </c>
      <c r="I12" s="2">
        <v>98.11</v>
      </c>
      <c r="J12" s="2">
        <v>157.09</v>
      </c>
      <c r="K12" s="2">
        <v>47.82</v>
      </c>
      <c r="L12" s="2">
        <v>163.09</v>
      </c>
      <c r="M12" s="64" t="s">
        <v>77</v>
      </c>
      <c r="N12" s="1"/>
      <c r="O12" s="12">
        <f t="shared" si="0"/>
        <v>1.9457512923273468E-2</v>
      </c>
      <c r="P12" s="12">
        <f t="shared" si="1"/>
        <v>3.5493692909960739E-2</v>
      </c>
      <c r="Q12" s="12">
        <f t="shared" si="2"/>
        <v>2.5636227544910239E-2</v>
      </c>
      <c r="R12" s="12">
        <f t="shared" si="3"/>
        <v>3.1886870927491984E-2</v>
      </c>
      <c r="S12" s="12">
        <f t="shared" si="4"/>
        <v>-4.5126353790625462E-4</v>
      </c>
      <c r="T12" s="12">
        <f t="shared" si="5"/>
        <v>2.5824964131992978E-3</v>
      </c>
      <c r="U12" s="12">
        <f t="shared" si="6"/>
        <v>1.892045161622935E-2</v>
      </c>
      <c r="V12" s="12">
        <f t="shared" si="7"/>
        <v>1.7738589211618194E-2</v>
      </c>
      <c r="W12" s="12">
        <f t="shared" si="8"/>
        <v>3.6008705401305852E-2</v>
      </c>
      <c r="X12" s="12">
        <f t="shared" si="9"/>
        <v>1.0566356720202785E-2</v>
      </c>
      <c r="Y12" s="12">
        <f t="shared" si="10"/>
        <v>5.0634542292082863E-2</v>
      </c>
    </row>
    <row r="13" spans="1:25" x14ac:dyDescent="0.35">
      <c r="A13" s="6">
        <v>44141</v>
      </c>
      <c r="B13" s="8">
        <v>3509.4</v>
      </c>
      <c r="C13" s="2">
        <v>118.69</v>
      </c>
      <c r="D13" s="2">
        <v>108.93</v>
      </c>
      <c r="E13" s="2">
        <v>223.72</v>
      </c>
      <c r="F13" s="2">
        <v>347.46</v>
      </c>
      <c r="G13" s="2">
        <v>142.25</v>
      </c>
      <c r="H13" s="2">
        <v>198.47</v>
      </c>
      <c r="I13" s="2">
        <v>96.69</v>
      </c>
      <c r="J13" s="2">
        <v>157.74</v>
      </c>
      <c r="K13" s="2">
        <v>48.59</v>
      </c>
      <c r="L13" s="2">
        <v>161.29</v>
      </c>
      <c r="M13" s="64" t="s">
        <v>77</v>
      </c>
      <c r="N13" s="1"/>
      <c r="O13" s="12">
        <f t="shared" si="0"/>
        <v>-2.8486782133085864E-4</v>
      </c>
      <c r="P13" s="12">
        <f t="shared" si="1"/>
        <v>-2.8564227505670781E-3</v>
      </c>
      <c r="Q13" s="12">
        <f t="shared" si="2"/>
        <v>-6.2944718117131648E-3</v>
      </c>
      <c r="R13" s="12">
        <f t="shared" si="3"/>
        <v>1.9257467866899969E-3</v>
      </c>
      <c r="S13" s="12">
        <f t="shared" si="4"/>
        <v>-1.9582392776523738E-2</v>
      </c>
      <c r="T13" s="12">
        <f t="shared" si="5"/>
        <v>1.7816256439610934E-2</v>
      </c>
      <c r="U13" s="12">
        <f t="shared" si="6"/>
        <v>4.1995547460029758E-3</v>
      </c>
      <c r="V13" s="12">
        <f t="shared" si="7"/>
        <v>-1.4473550096830157E-2</v>
      </c>
      <c r="W13" s="12">
        <f t="shared" si="8"/>
        <v>4.1377554268253736E-3</v>
      </c>
      <c r="X13" s="12">
        <f t="shared" si="9"/>
        <v>1.6102049351735648E-2</v>
      </c>
      <c r="Y13" s="12">
        <f t="shared" si="10"/>
        <v>-1.1036850818566535E-2</v>
      </c>
    </row>
    <row r="14" spans="1:25" x14ac:dyDescent="0.35">
      <c r="A14" s="6">
        <v>44144</v>
      </c>
      <c r="B14" s="8">
        <v>3550.5</v>
      </c>
      <c r="C14" s="2">
        <v>116.32</v>
      </c>
      <c r="D14" s="2">
        <v>110.35</v>
      </c>
      <c r="E14" s="2">
        <v>218.39</v>
      </c>
      <c r="F14" s="2">
        <v>350</v>
      </c>
      <c r="G14" s="2">
        <v>146.08000000000001</v>
      </c>
      <c r="H14" s="2">
        <v>212.68</v>
      </c>
      <c r="I14" s="2">
        <v>117.37</v>
      </c>
      <c r="J14" s="2">
        <v>179.36</v>
      </c>
      <c r="K14" s="2">
        <v>47.85</v>
      </c>
      <c r="L14" s="2">
        <v>170.82</v>
      </c>
      <c r="M14" s="64">
        <v>6.81</v>
      </c>
      <c r="N14" s="1"/>
      <c r="O14" s="12">
        <f t="shared" si="0"/>
        <v>1.1711403658745123E-2</v>
      </c>
      <c r="P14" s="12">
        <f t="shared" si="1"/>
        <v>-1.9967983823405588E-2</v>
      </c>
      <c r="Q14" s="12">
        <f t="shared" si="2"/>
        <v>1.3035894611218124E-2</v>
      </c>
      <c r="R14" s="12">
        <f t="shared" si="3"/>
        <v>-2.3824423386375915E-2</v>
      </c>
      <c r="S14" s="12">
        <f t="shared" si="4"/>
        <v>7.3101939791631043E-3</v>
      </c>
      <c r="T14" s="12">
        <f t="shared" si="5"/>
        <v>2.6924428822495683E-2</v>
      </c>
      <c r="U14" s="12">
        <f t="shared" si="6"/>
        <v>7.1597722577719569E-2</v>
      </c>
      <c r="V14" s="12">
        <f t="shared" si="7"/>
        <v>0.21387940841865771</v>
      </c>
      <c r="W14" s="12">
        <f t="shared" si="8"/>
        <v>0.13706098643337139</v>
      </c>
      <c r="X14" s="12">
        <f t="shared" si="9"/>
        <v>-1.5229471084585389E-2</v>
      </c>
      <c r="Y14" s="12">
        <f t="shared" si="10"/>
        <v>5.9086118172236413E-2</v>
      </c>
    </row>
    <row r="15" spans="1:25" x14ac:dyDescent="0.35">
      <c r="A15" s="6">
        <v>44145</v>
      </c>
      <c r="B15" s="8">
        <v>3545.5</v>
      </c>
      <c r="C15" s="2">
        <v>115.97</v>
      </c>
      <c r="D15" s="2">
        <v>112.62</v>
      </c>
      <c r="E15" s="2">
        <v>211.01</v>
      </c>
      <c r="F15" s="2">
        <v>353.69</v>
      </c>
      <c r="G15" s="2">
        <v>148.28</v>
      </c>
      <c r="H15" s="2">
        <v>213.31</v>
      </c>
      <c r="I15" s="2">
        <v>115.95</v>
      </c>
      <c r="J15" s="2">
        <v>188.69</v>
      </c>
      <c r="K15" s="2">
        <v>48.52</v>
      </c>
      <c r="L15" s="2">
        <v>172.3</v>
      </c>
      <c r="M15" s="64" t="s">
        <v>77</v>
      </c>
      <c r="N15" s="1"/>
      <c r="O15" s="12">
        <f t="shared" si="0"/>
        <v>-1.4082523588226925E-3</v>
      </c>
      <c r="P15" s="12">
        <f t="shared" si="1"/>
        <v>-3.0089408528197747E-3</v>
      </c>
      <c r="Q15" s="12">
        <f t="shared" si="2"/>
        <v>2.0570910738559212E-2</v>
      </c>
      <c r="R15" s="12">
        <f t="shared" si="3"/>
        <v>-3.3792756078575015E-2</v>
      </c>
      <c r="S15" s="12">
        <f t="shared" si="4"/>
        <v>1.0542857142857187E-2</v>
      </c>
      <c r="T15" s="12">
        <f t="shared" si="5"/>
        <v>1.5060240963855387E-2</v>
      </c>
      <c r="U15" s="12">
        <f t="shared" si="6"/>
        <v>2.9621967274777727E-3</v>
      </c>
      <c r="V15" s="12">
        <f t="shared" si="7"/>
        <v>-1.2098491948538848E-2</v>
      </c>
      <c r="W15" s="12">
        <f t="shared" si="8"/>
        <v>5.2018287243532413E-2</v>
      </c>
      <c r="X15" s="12">
        <f t="shared" si="9"/>
        <v>1.4002089864158851E-2</v>
      </c>
      <c r="Y15" s="12">
        <f t="shared" si="10"/>
        <v>8.66409085587172E-3</v>
      </c>
    </row>
    <row r="16" spans="1:25" x14ac:dyDescent="0.35">
      <c r="A16" s="6">
        <v>44146</v>
      </c>
      <c r="B16" s="8">
        <v>3572.7</v>
      </c>
      <c r="C16" s="2">
        <v>119.49</v>
      </c>
      <c r="D16" s="2">
        <v>111.95</v>
      </c>
      <c r="E16" s="2">
        <v>216.55</v>
      </c>
      <c r="F16" s="2">
        <v>351.7</v>
      </c>
      <c r="G16" s="2">
        <v>147.80000000000001</v>
      </c>
      <c r="H16" s="2">
        <v>212.7</v>
      </c>
      <c r="I16" s="2">
        <v>111.12</v>
      </c>
      <c r="J16" s="2">
        <v>182.15</v>
      </c>
      <c r="K16" s="2">
        <v>49.33</v>
      </c>
      <c r="L16" s="2">
        <v>169.46</v>
      </c>
      <c r="M16" s="64" t="s">
        <v>77</v>
      </c>
      <c r="N16" s="1"/>
      <c r="O16" s="12">
        <f t="shared" si="0"/>
        <v>7.6716965167111795E-3</v>
      </c>
      <c r="P16" s="12">
        <f t="shared" si="1"/>
        <v>3.0352677416573215E-2</v>
      </c>
      <c r="Q16" s="12">
        <f t="shared" si="2"/>
        <v>-5.9492097318416537E-3</v>
      </c>
      <c r="R16" s="12">
        <f t="shared" si="3"/>
        <v>2.6254679872991904E-2</v>
      </c>
      <c r="S16" s="12">
        <f t="shared" si="4"/>
        <v>-5.6263959964941712E-3</v>
      </c>
      <c r="T16" s="12">
        <f t="shared" si="5"/>
        <v>-3.2371189641218212E-3</v>
      </c>
      <c r="U16" s="12">
        <f t="shared" si="6"/>
        <v>-2.8596877783507724E-3</v>
      </c>
      <c r="V16" s="12">
        <f t="shared" si="7"/>
        <v>-4.1655886157826671E-2</v>
      </c>
      <c r="W16" s="12">
        <f t="shared" si="8"/>
        <v>-3.4660024378610377E-2</v>
      </c>
      <c r="X16" s="12">
        <f t="shared" si="9"/>
        <v>1.6694146743610805E-2</v>
      </c>
      <c r="Y16" s="12">
        <f t="shared" si="10"/>
        <v>-1.6482878699942027E-2</v>
      </c>
    </row>
    <row r="17" spans="1:25" x14ac:dyDescent="0.35">
      <c r="A17" s="6">
        <v>44147</v>
      </c>
      <c r="B17" s="8">
        <v>3537</v>
      </c>
      <c r="C17" s="2">
        <v>119.21</v>
      </c>
      <c r="D17" s="2">
        <v>109.37</v>
      </c>
      <c r="E17" s="2">
        <v>215.44</v>
      </c>
      <c r="F17" s="2">
        <v>354.41</v>
      </c>
      <c r="G17" s="2">
        <v>148.30000000000001</v>
      </c>
      <c r="H17" s="2">
        <v>208.26</v>
      </c>
      <c r="I17" s="2">
        <v>111.1</v>
      </c>
      <c r="J17" s="2">
        <v>176.72</v>
      </c>
      <c r="K17" s="2">
        <v>49.41</v>
      </c>
      <c r="L17" s="2">
        <v>169.13</v>
      </c>
      <c r="M17" s="64" t="s">
        <v>77</v>
      </c>
      <c r="N17" s="1"/>
      <c r="O17" s="12">
        <f t="shared" si="0"/>
        <v>-9.9924426904021146E-3</v>
      </c>
      <c r="P17" s="12">
        <f t="shared" si="1"/>
        <v>-2.3432923257176164E-3</v>
      </c>
      <c r="Q17" s="12">
        <f t="shared" si="2"/>
        <v>-2.3046002679767752E-2</v>
      </c>
      <c r="R17" s="12">
        <f t="shared" si="3"/>
        <v>-5.125836989148036E-3</v>
      </c>
      <c r="S17" s="12">
        <f t="shared" si="4"/>
        <v>7.7054307648565246E-3</v>
      </c>
      <c r="T17" s="12">
        <f t="shared" si="5"/>
        <v>3.3829499323410062E-3</v>
      </c>
      <c r="U17" s="12">
        <f t="shared" si="6"/>
        <v>-2.0874471086036683E-2</v>
      </c>
      <c r="V17" s="12">
        <f t="shared" si="7"/>
        <v>-1.7998560115195517E-4</v>
      </c>
      <c r="W17" s="12">
        <f t="shared" si="8"/>
        <v>-2.9810595662915218E-2</v>
      </c>
      <c r="X17" s="12">
        <f t="shared" si="9"/>
        <v>1.6217311980539773E-3</v>
      </c>
      <c r="Y17" s="12">
        <f t="shared" si="10"/>
        <v>-1.947362209370973E-3</v>
      </c>
    </row>
    <row r="18" spans="1:25" x14ac:dyDescent="0.35">
      <c r="A18" s="6">
        <v>44148</v>
      </c>
      <c r="B18" s="8">
        <v>3585.2</v>
      </c>
      <c r="C18" s="2">
        <v>119.26</v>
      </c>
      <c r="D18" s="2">
        <v>111.61</v>
      </c>
      <c r="E18" s="2">
        <v>216.51</v>
      </c>
      <c r="F18" s="2">
        <v>355.67</v>
      </c>
      <c r="G18" s="2">
        <v>149.9</v>
      </c>
      <c r="H18" s="2">
        <v>210.48</v>
      </c>
      <c r="I18" s="2">
        <v>114.99</v>
      </c>
      <c r="J18" s="2">
        <v>187.11</v>
      </c>
      <c r="K18" s="2">
        <v>50.18</v>
      </c>
      <c r="L18" s="2">
        <v>171.71</v>
      </c>
      <c r="M18" s="64">
        <v>7.15</v>
      </c>
      <c r="N18" s="1"/>
      <c r="O18" s="12">
        <f t="shared" si="0"/>
        <v>1.3627367825840953E-2</v>
      </c>
      <c r="P18" s="12">
        <f t="shared" si="1"/>
        <v>4.194279003439938E-4</v>
      </c>
      <c r="Q18" s="12">
        <f t="shared" si="2"/>
        <v>2.0480936271372263E-2</v>
      </c>
      <c r="R18" s="12">
        <f t="shared" si="3"/>
        <v>4.9665800222800094E-3</v>
      </c>
      <c r="S18" s="12">
        <f t="shared" si="4"/>
        <v>3.5552044242543879E-3</v>
      </c>
      <c r="T18" s="12">
        <f t="shared" si="5"/>
        <v>1.0788941335131419E-2</v>
      </c>
      <c r="U18" s="12">
        <f t="shared" si="6"/>
        <v>1.0659752232786035E-2</v>
      </c>
      <c r="V18" s="12">
        <f t="shared" si="7"/>
        <v>3.5013501350134923E-2</v>
      </c>
      <c r="W18" s="12">
        <f t="shared" si="8"/>
        <v>5.8793571751924123E-2</v>
      </c>
      <c r="X18" s="12">
        <f t="shared" si="9"/>
        <v>1.5583889900829817E-2</v>
      </c>
      <c r="Y18" s="12">
        <f t="shared" si="10"/>
        <v>1.5254537929403567E-2</v>
      </c>
    </row>
    <row r="19" spans="1:25" x14ac:dyDescent="0.35">
      <c r="A19" s="6">
        <v>44151</v>
      </c>
      <c r="B19" s="8">
        <v>3626.9</v>
      </c>
      <c r="C19" s="2">
        <v>120.3</v>
      </c>
      <c r="D19" s="2">
        <v>113.05</v>
      </c>
      <c r="E19" s="2">
        <v>217.23</v>
      </c>
      <c r="F19" s="2">
        <v>356.82</v>
      </c>
      <c r="G19" s="2">
        <v>150.85</v>
      </c>
      <c r="H19" s="2">
        <v>212.7</v>
      </c>
      <c r="I19" s="2">
        <v>118.67</v>
      </c>
      <c r="J19" s="2">
        <v>202.4</v>
      </c>
      <c r="K19" s="2">
        <v>50.81</v>
      </c>
      <c r="L19" s="2">
        <v>173.19</v>
      </c>
      <c r="M19" s="64" t="s">
        <v>77</v>
      </c>
      <c r="N19" s="1"/>
      <c r="O19" s="12">
        <f t="shared" si="0"/>
        <v>1.1631150284503011E-2</v>
      </c>
      <c r="P19" s="12">
        <f t="shared" si="1"/>
        <v>8.7204427301692533E-3</v>
      </c>
      <c r="Q19" s="12">
        <f t="shared" si="2"/>
        <v>1.2902069707015462E-2</v>
      </c>
      <c r="R19" s="12">
        <f t="shared" si="3"/>
        <v>3.3254815020091755E-3</v>
      </c>
      <c r="S19" s="12">
        <f t="shared" si="4"/>
        <v>3.2333342705315182E-3</v>
      </c>
      <c r="T19" s="12">
        <f t="shared" si="5"/>
        <v>6.3375583722480311E-3</v>
      </c>
      <c r="U19" s="12">
        <f t="shared" si="6"/>
        <v>1.0547320410490224E-2</v>
      </c>
      <c r="V19" s="12">
        <f t="shared" si="7"/>
        <v>3.2002782850682809E-2</v>
      </c>
      <c r="W19" s="12">
        <f t="shared" si="8"/>
        <v>8.1716637272192694E-2</v>
      </c>
      <c r="X19" s="12">
        <f t="shared" si="9"/>
        <v>1.2554802710243118E-2</v>
      </c>
      <c r="Y19" s="12">
        <f t="shared" si="10"/>
        <v>8.6191835070759115E-3</v>
      </c>
    </row>
    <row r="20" spans="1:25" x14ac:dyDescent="0.35">
      <c r="A20" s="6">
        <v>44152</v>
      </c>
      <c r="B20" s="8">
        <v>3609.5</v>
      </c>
      <c r="C20" s="2">
        <v>119.39</v>
      </c>
      <c r="D20" s="2">
        <v>112.42</v>
      </c>
      <c r="E20" s="2">
        <v>214.46</v>
      </c>
      <c r="F20" s="2">
        <v>352.1</v>
      </c>
      <c r="G20" s="2">
        <v>149.35</v>
      </c>
      <c r="H20" s="2">
        <v>210.71</v>
      </c>
      <c r="I20" s="2">
        <v>116.48</v>
      </c>
      <c r="J20" s="2">
        <v>210.05</v>
      </c>
      <c r="K20" s="2">
        <v>49.79</v>
      </c>
      <c r="L20" s="2">
        <v>171.91</v>
      </c>
      <c r="M20" s="64" t="s">
        <v>77</v>
      </c>
      <c r="N20" s="1"/>
      <c r="O20" s="12">
        <f t="shared" si="0"/>
        <v>-4.7974854558989755E-3</v>
      </c>
      <c r="P20" s="12">
        <f t="shared" si="1"/>
        <v>-7.5644222776392045E-3</v>
      </c>
      <c r="Q20" s="12">
        <f t="shared" si="2"/>
        <v>-5.5727554179566541E-3</v>
      </c>
      <c r="R20" s="12">
        <f t="shared" si="3"/>
        <v>-1.2751461584495583E-2</v>
      </c>
      <c r="S20" s="12">
        <f t="shared" si="4"/>
        <v>-1.3227958074098933E-2</v>
      </c>
      <c r="T20" s="12">
        <f t="shared" si="5"/>
        <v>-9.9436526350679122E-3</v>
      </c>
      <c r="U20" s="12">
        <f t="shared" si="6"/>
        <v>-9.3559003291019405E-3</v>
      </c>
      <c r="V20" s="12">
        <f t="shared" si="7"/>
        <v>-1.8454537793882175E-2</v>
      </c>
      <c r="W20" s="12">
        <f t="shared" si="8"/>
        <v>3.7796442687747067E-2</v>
      </c>
      <c r="X20" s="12">
        <f t="shared" si="9"/>
        <v>-2.007478842747501E-2</v>
      </c>
      <c r="Y20" s="12">
        <f t="shared" si="10"/>
        <v>-7.390726947283377E-3</v>
      </c>
    </row>
    <row r="21" spans="1:25" x14ac:dyDescent="0.35">
      <c r="A21" s="6">
        <v>44153</v>
      </c>
      <c r="B21" s="8">
        <v>3567.8</v>
      </c>
      <c r="C21" s="2">
        <v>118.03</v>
      </c>
      <c r="D21" s="2">
        <v>111.53</v>
      </c>
      <c r="E21" s="2">
        <v>211.08</v>
      </c>
      <c r="F21" s="2">
        <v>344.51</v>
      </c>
      <c r="G21" s="2">
        <v>147.37</v>
      </c>
      <c r="H21" s="2">
        <v>207.83</v>
      </c>
      <c r="I21" s="2">
        <v>114.24</v>
      </c>
      <c r="J21" s="2">
        <v>203.3</v>
      </c>
      <c r="K21" s="2">
        <v>49.7</v>
      </c>
      <c r="L21" s="2">
        <v>172.74</v>
      </c>
      <c r="M21" s="64" t="s">
        <v>77</v>
      </c>
      <c r="N21" s="1"/>
      <c r="O21" s="12">
        <f t="shared" si="0"/>
        <v>-1.1552846654661275E-2</v>
      </c>
      <c r="P21" s="12">
        <f t="shared" si="1"/>
        <v>-1.139123879721915E-2</v>
      </c>
      <c r="Q21" s="12">
        <f t="shared" si="2"/>
        <v>-7.9167407934531697E-3</v>
      </c>
      <c r="R21" s="12">
        <f t="shared" si="3"/>
        <v>-1.576051478131113E-2</v>
      </c>
      <c r="S21" s="12">
        <f t="shared" si="4"/>
        <v>-2.1556376029537194E-2</v>
      </c>
      <c r="T21" s="12">
        <f t="shared" si="5"/>
        <v>-1.3257448945430128E-2</v>
      </c>
      <c r="U21" s="12">
        <f t="shared" si="6"/>
        <v>-1.3668074604907154E-2</v>
      </c>
      <c r="V21" s="12">
        <f t="shared" si="7"/>
        <v>-1.9230769230769273E-2</v>
      </c>
      <c r="W21" s="12">
        <f t="shared" si="8"/>
        <v>-3.213520590335639E-2</v>
      </c>
      <c r="X21" s="12">
        <f t="shared" si="9"/>
        <v>-1.807591885920834E-3</v>
      </c>
      <c r="Y21" s="12">
        <f t="shared" si="10"/>
        <v>4.8281077307894549E-3</v>
      </c>
    </row>
    <row r="22" spans="1:25" x14ac:dyDescent="0.35">
      <c r="A22" s="6">
        <v>44154</v>
      </c>
      <c r="B22" s="8">
        <v>3581.9</v>
      </c>
      <c r="C22" s="2">
        <v>118.64</v>
      </c>
      <c r="D22" s="2">
        <v>111.93</v>
      </c>
      <c r="E22" s="2">
        <v>212.42</v>
      </c>
      <c r="F22" s="2">
        <v>337</v>
      </c>
      <c r="G22" s="2">
        <v>147.13999999999999</v>
      </c>
      <c r="H22" s="2">
        <v>207.57</v>
      </c>
      <c r="I22" s="2">
        <v>114.14</v>
      </c>
      <c r="J22" s="2">
        <v>205.67</v>
      </c>
      <c r="K22" s="2">
        <v>50.71</v>
      </c>
      <c r="L22" s="2">
        <v>172.9</v>
      </c>
      <c r="M22" s="64" t="s">
        <v>77</v>
      </c>
      <c r="N22" s="1"/>
      <c r="O22" s="12">
        <f t="shared" si="0"/>
        <v>3.9520152474914472E-3</v>
      </c>
      <c r="P22" s="12">
        <f t="shared" si="1"/>
        <v>5.1681775819707454E-3</v>
      </c>
      <c r="Q22" s="12">
        <f t="shared" si="2"/>
        <v>3.5864789742670045E-3</v>
      </c>
      <c r="R22" s="12">
        <f t="shared" si="3"/>
        <v>6.3483039605836122E-3</v>
      </c>
      <c r="S22" s="12">
        <f t="shared" si="4"/>
        <v>-2.1799076949870821E-2</v>
      </c>
      <c r="T22" s="12">
        <f t="shared" si="5"/>
        <v>-1.5606975639548271E-3</v>
      </c>
      <c r="U22" s="12">
        <f t="shared" si="6"/>
        <v>-1.2510224702882988E-3</v>
      </c>
      <c r="V22" s="12">
        <f t="shared" si="7"/>
        <v>-8.753501400560193E-4</v>
      </c>
      <c r="W22" s="12">
        <f t="shared" si="8"/>
        <v>1.165764879488429E-2</v>
      </c>
      <c r="X22" s="12">
        <f t="shared" si="9"/>
        <v>2.0321931589537101E-2</v>
      </c>
      <c r="Y22" s="12">
        <f t="shared" si="10"/>
        <v>9.2624753965497852E-4</v>
      </c>
    </row>
    <row r="23" spans="1:25" x14ac:dyDescent="0.35">
      <c r="A23" s="6">
        <v>44155</v>
      </c>
      <c r="B23" s="8">
        <v>3557.5</v>
      </c>
      <c r="C23" s="2">
        <v>117.34</v>
      </c>
      <c r="D23" s="2">
        <v>111.7</v>
      </c>
      <c r="E23" s="2">
        <v>210.39</v>
      </c>
      <c r="F23" s="2">
        <v>334.7</v>
      </c>
      <c r="G23" s="2">
        <v>146.36000000000001</v>
      </c>
      <c r="H23" s="2">
        <v>203.88</v>
      </c>
      <c r="I23" s="2">
        <v>112.58</v>
      </c>
      <c r="J23" s="2">
        <v>199.62</v>
      </c>
      <c r="K23" s="2">
        <v>50.08</v>
      </c>
      <c r="L23" s="2">
        <v>172.23</v>
      </c>
      <c r="M23" s="64">
        <v>6.59</v>
      </c>
      <c r="N23" s="1"/>
      <c r="O23" s="12">
        <f t="shared" si="0"/>
        <v>-6.8120271364360274E-3</v>
      </c>
      <c r="P23" s="12">
        <f t="shared" si="1"/>
        <v>-1.0957518543492917E-2</v>
      </c>
      <c r="Q23" s="12">
        <f t="shared" si="2"/>
        <v>-2.0548557133923673E-3</v>
      </c>
      <c r="R23" s="12">
        <f t="shared" si="3"/>
        <v>-9.5565389323039041E-3</v>
      </c>
      <c r="S23" s="12">
        <f t="shared" si="4"/>
        <v>-6.8249258160237858E-3</v>
      </c>
      <c r="T23" s="12">
        <f t="shared" si="5"/>
        <v>-5.3010738072581942E-3</v>
      </c>
      <c r="U23" s="12">
        <f t="shared" si="6"/>
        <v>-1.7777135424194235E-2</v>
      </c>
      <c r="V23" s="12">
        <f t="shared" si="7"/>
        <v>-1.3667425968109326E-2</v>
      </c>
      <c r="W23" s="12">
        <f t="shared" si="8"/>
        <v>-2.9416054845140205E-2</v>
      </c>
      <c r="X23" s="12">
        <f t="shared" si="9"/>
        <v>-1.2423585091697942E-2</v>
      </c>
      <c r="Y23" s="12">
        <f t="shared" si="10"/>
        <v>-3.8750722961250483E-3</v>
      </c>
    </row>
    <row r="24" spans="1:25" x14ac:dyDescent="0.35">
      <c r="A24" s="6">
        <v>44158</v>
      </c>
      <c r="B24" s="8">
        <v>3577.6</v>
      </c>
      <c r="C24" s="2">
        <v>113.85</v>
      </c>
      <c r="D24" s="2">
        <v>114.71</v>
      </c>
      <c r="E24" s="2">
        <v>210.11</v>
      </c>
      <c r="F24" s="2">
        <v>335.06</v>
      </c>
      <c r="G24" s="2">
        <v>143.87</v>
      </c>
      <c r="H24" s="2">
        <v>208.16</v>
      </c>
      <c r="I24" s="2">
        <v>116.09</v>
      </c>
      <c r="J24" s="2">
        <v>211.53</v>
      </c>
      <c r="K24" s="2">
        <v>50.31</v>
      </c>
      <c r="L24" s="2">
        <v>174.78</v>
      </c>
      <c r="M24" s="64" t="s">
        <v>77</v>
      </c>
      <c r="N24" s="1"/>
      <c r="O24" s="12">
        <f t="shared" si="0"/>
        <v>5.650035137034326E-3</v>
      </c>
      <c r="P24" s="12">
        <f t="shared" si="1"/>
        <v>-2.9742628259758042E-2</v>
      </c>
      <c r="Q24" s="12">
        <f t="shared" si="2"/>
        <v>2.6947179946284594E-2</v>
      </c>
      <c r="R24" s="12">
        <f t="shared" si="3"/>
        <v>-1.3308617329719219E-3</v>
      </c>
      <c r="S24" s="12">
        <f t="shared" si="4"/>
        <v>1.0755900806693752E-3</v>
      </c>
      <c r="T24" s="12">
        <f t="shared" si="5"/>
        <v>-1.701284503962841E-2</v>
      </c>
      <c r="U24" s="12">
        <f t="shared" si="6"/>
        <v>2.0992740827938006E-2</v>
      </c>
      <c r="V24" s="12">
        <f t="shared" si="7"/>
        <v>3.1177829099307219E-2</v>
      </c>
      <c r="W24" s="12">
        <f t="shared" si="8"/>
        <v>5.9663360384730968E-2</v>
      </c>
      <c r="X24" s="12">
        <f t="shared" si="9"/>
        <v>4.5926517571885928E-3</v>
      </c>
      <c r="Y24" s="12">
        <f t="shared" si="10"/>
        <v>1.4805782964640413E-2</v>
      </c>
    </row>
    <row r="25" spans="1:25" x14ac:dyDescent="0.35">
      <c r="A25" s="6">
        <v>44159</v>
      </c>
      <c r="B25" s="8">
        <v>3635.4</v>
      </c>
      <c r="C25" s="2">
        <v>115.17</v>
      </c>
      <c r="D25" s="2">
        <v>118.84</v>
      </c>
      <c r="E25" s="2">
        <v>213.86</v>
      </c>
      <c r="F25" s="2">
        <v>336.01</v>
      </c>
      <c r="G25" s="2">
        <v>143.87</v>
      </c>
      <c r="H25" s="2">
        <v>209.68</v>
      </c>
      <c r="I25" s="2">
        <v>120.39</v>
      </c>
      <c r="J25" s="2">
        <v>218.49</v>
      </c>
      <c r="K25" s="2">
        <v>50.45</v>
      </c>
      <c r="L25" s="2">
        <v>176.9</v>
      </c>
      <c r="M25" s="64" t="s">
        <v>77</v>
      </c>
      <c r="N25" s="1"/>
      <c r="O25" s="12">
        <f t="shared" si="0"/>
        <v>1.6156082289803253E-2</v>
      </c>
      <c r="P25" s="12">
        <f t="shared" si="1"/>
        <v>1.1594202898550732E-2</v>
      </c>
      <c r="Q25" s="12">
        <f t="shared" si="2"/>
        <v>3.6003835759742087E-2</v>
      </c>
      <c r="R25" s="12">
        <f t="shared" si="3"/>
        <v>1.7847794012660012E-2</v>
      </c>
      <c r="S25" s="12">
        <f t="shared" si="4"/>
        <v>2.8353130782545755E-3</v>
      </c>
      <c r="T25" s="12">
        <f t="shared" si="5"/>
        <v>0</v>
      </c>
      <c r="U25" s="12">
        <f t="shared" si="6"/>
        <v>7.3020753266719307E-3</v>
      </c>
      <c r="V25" s="12">
        <f t="shared" si="7"/>
        <v>3.7040227409768312E-2</v>
      </c>
      <c r="W25" s="12">
        <f t="shared" si="8"/>
        <v>3.2903134307190607E-2</v>
      </c>
      <c r="X25" s="12">
        <f t="shared" si="9"/>
        <v>2.782746968793548E-3</v>
      </c>
      <c r="Y25" s="12">
        <f t="shared" si="10"/>
        <v>1.2129534271655862E-2</v>
      </c>
    </row>
    <row r="26" spans="1:25" x14ac:dyDescent="0.35">
      <c r="A26" s="6">
        <v>44160</v>
      </c>
      <c r="B26" s="8">
        <v>3629.7</v>
      </c>
      <c r="C26" s="2">
        <v>116.03</v>
      </c>
      <c r="D26" s="2">
        <v>118.63</v>
      </c>
      <c r="E26" s="2">
        <v>213.87</v>
      </c>
      <c r="F26" s="2">
        <v>333.19</v>
      </c>
      <c r="G26" s="2">
        <v>143.68</v>
      </c>
      <c r="H26" s="2">
        <v>210.89</v>
      </c>
      <c r="I26" s="2">
        <v>120.58</v>
      </c>
      <c r="J26" s="2">
        <v>217.61</v>
      </c>
      <c r="K26" s="2">
        <v>50.61</v>
      </c>
      <c r="L26" s="2">
        <v>174.63</v>
      </c>
      <c r="M26" s="64" t="s">
        <v>77</v>
      </c>
      <c r="N26" s="1"/>
      <c r="O26" s="12">
        <f t="shared" si="0"/>
        <v>-1.5679154976069309E-3</v>
      </c>
      <c r="P26" s="12">
        <f t="shared" si="1"/>
        <v>7.4672223669358662E-3</v>
      </c>
      <c r="Q26" s="12">
        <f t="shared" si="2"/>
        <v>-1.7670817906429992E-3</v>
      </c>
      <c r="R26" s="12">
        <f t="shared" si="3"/>
        <v>4.6759562330356275E-5</v>
      </c>
      <c r="S26" s="12">
        <f t="shared" si="4"/>
        <v>-8.3926073628760589E-3</v>
      </c>
      <c r="T26" s="12">
        <f t="shared" si="5"/>
        <v>-1.320636685896992E-3</v>
      </c>
      <c r="U26" s="12">
        <f t="shared" si="6"/>
        <v>5.7706982067911028E-3</v>
      </c>
      <c r="V26" s="12">
        <f t="shared" si="7"/>
        <v>1.5782041697816052E-3</v>
      </c>
      <c r="W26" s="12">
        <f t="shared" si="8"/>
        <v>-4.0276442857796191E-3</v>
      </c>
      <c r="X26" s="12">
        <f t="shared" si="9"/>
        <v>3.1714568880079064E-3</v>
      </c>
      <c r="Y26" s="12">
        <f t="shared" si="10"/>
        <v>-1.2832108535896003E-2</v>
      </c>
    </row>
    <row r="27" spans="1:25" x14ac:dyDescent="0.35">
      <c r="A27" s="6">
        <v>44162</v>
      </c>
      <c r="B27" s="8">
        <v>3638.3</v>
      </c>
      <c r="C27" s="2">
        <v>116.59</v>
      </c>
      <c r="D27" s="2">
        <v>118.77</v>
      </c>
      <c r="E27" s="2">
        <v>215.23</v>
      </c>
      <c r="F27" s="2">
        <v>337.94</v>
      </c>
      <c r="G27" s="2">
        <v>144</v>
      </c>
      <c r="H27" s="2">
        <v>211</v>
      </c>
      <c r="I27" s="2">
        <v>120.59</v>
      </c>
      <c r="J27" s="2">
        <v>216.5</v>
      </c>
      <c r="K27" s="2">
        <v>50.53</v>
      </c>
      <c r="L27" s="2">
        <v>175.08</v>
      </c>
      <c r="M27" s="64" t="s">
        <v>77</v>
      </c>
      <c r="N27" s="1"/>
      <c r="O27" s="12">
        <f t="shared" si="0"/>
        <v>2.3693418188832638E-3</v>
      </c>
      <c r="P27" s="12">
        <f t="shared" si="1"/>
        <v>4.8263380160302738E-3</v>
      </c>
      <c r="Q27" s="12">
        <f t="shared" si="2"/>
        <v>1.1801399308775107E-3</v>
      </c>
      <c r="R27" s="12">
        <f t="shared" si="3"/>
        <v>6.3590031327440677E-3</v>
      </c>
      <c r="S27" s="12">
        <f t="shared" si="4"/>
        <v>1.42561301359585E-2</v>
      </c>
      <c r="T27" s="12">
        <f t="shared" si="5"/>
        <v>2.2271714922048602E-3</v>
      </c>
      <c r="U27" s="12">
        <f t="shared" si="6"/>
        <v>5.2159893783487732E-4</v>
      </c>
      <c r="V27" s="12">
        <f t="shared" si="7"/>
        <v>8.2932492950771319E-5</v>
      </c>
      <c r="W27" s="12">
        <f t="shared" si="8"/>
        <v>-5.1008685262626807E-3</v>
      </c>
      <c r="X27" s="12">
        <f t="shared" si="9"/>
        <v>-1.5807152736613261E-3</v>
      </c>
      <c r="Y27" s="12">
        <f t="shared" si="10"/>
        <v>2.5768768252878438E-3</v>
      </c>
    </row>
    <row r="28" spans="1:25" x14ac:dyDescent="0.35">
      <c r="A28" s="6">
        <v>44165</v>
      </c>
      <c r="B28" s="8">
        <v>3621.6</v>
      </c>
      <c r="C28" s="2">
        <v>119.05</v>
      </c>
      <c r="D28" s="2">
        <v>117.98</v>
      </c>
      <c r="E28" s="2">
        <v>214.07</v>
      </c>
      <c r="F28" s="2">
        <v>336.34</v>
      </c>
      <c r="G28" s="2">
        <v>144.68</v>
      </c>
      <c r="H28" s="2">
        <v>210.35</v>
      </c>
      <c r="I28" s="2">
        <v>118.59</v>
      </c>
      <c r="J28" s="2">
        <v>210.71</v>
      </c>
      <c r="K28" s="2">
        <v>50.93</v>
      </c>
      <c r="L28" s="2">
        <v>173.59</v>
      </c>
      <c r="M28" s="64">
        <v>6.39</v>
      </c>
      <c r="N28" s="1"/>
      <c r="O28" s="12">
        <f t="shared" si="0"/>
        <v>-4.5900557952890386E-3</v>
      </c>
      <c r="P28" s="12">
        <f t="shared" si="1"/>
        <v>2.1099579723818485E-2</v>
      </c>
      <c r="Q28" s="12">
        <f t="shared" si="2"/>
        <v>-6.6515113244084434E-3</v>
      </c>
      <c r="R28" s="12">
        <f t="shared" si="3"/>
        <v>-5.3895832365375984E-3</v>
      </c>
      <c r="S28" s="12">
        <f t="shared" si="4"/>
        <v>-4.7345682665562716E-3</v>
      </c>
      <c r="T28" s="12">
        <f t="shared" si="5"/>
        <v>4.7222222222222943E-3</v>
      </c>
      <c r="U28" s="12">
        <f t="shared" si="6"/>
        <v>-3.0805687203792065E-3</v>
      </c>
      <c r="V28" s="12">
        <f t="shared" si="7"/>
        <v>-1.6585123144539304E-2</v>
      </c>
      <c r="W28" s="12">
        <f t="shared" si="8"/>
        <v>-2.6743648960738997E-2</v>
      </c>
      <c r="X28" s="12">
        <f t="shared" si="9"/>
        <v>7.9160894518108815E-3</v>
      </c>
      <c r="Y28" s="12">
        <f t="shared" si="10"/>
        <v>-8.5103952478867706E-3</v>
      </c>
    </row>
    <row r="29" spans="1:25" x14ac:dyDescent="0.35">
      <c r="A29" s="6">
        <v>44166</v>
      </c>
      <c r="B29" s="8">
        <v>3662.4</v>
      </c>
      <c r="C29" s="2">
        <v>122.72</v>
      </c>
      <c r="D29" s="2">
        <v>117.64</v>
      </c>
      <c r="E29" s="2">
        <v>216.21</v>
      </c>
      <c r="F29" s="2">
        <v>341.19</v>
      </c>
      <c r="G29" s="2">
        <v>147.44999999999999</v>
      </c>
      <c r="H29" s="2">
        <v>211.2</v>
      </c>
      <c r="I29" s="2">
        <v>119.93</v>
      </c>
      <c r="J29" s="2">
        <v>213.01</v>
      </c>
      <c r="K29" s="2">
        <v>50.88</v>
      </c>
      <c r="L29" s="2">
        <v>173.26</v>
      </c>
      <c r="M29" s="64" t="s">
        <v>77</v>
      </c>
      <c r="N29" s="1"/>
      <c r="O29" s="12">
        <f t="shared" si="0"/>
        <v>1.1265738899933764E-2</v>
      </c>
      <c r="P29" s="12">
        <f t="shared" si="1"/>
        <v>3.0827383452330936E-2</v>
      </c>
      <c r="Q29" s="12">
        <f t="shared" si="2"/>
        <v>-2.8818443804035088E-3</v>
      </c>
      <c r="R29" s="12">
        <f t="shared" si="3"/>
        <v>9.996730041575308E-3</v>
      </c>
      <c r="S29" s="12">
        <f t="shared" si="4"/>
        <v>1.4419932211452657E-2</v>
      </c>
      <c r="T29" s="12">
        <f t="shared" si="5"/>
        <v>1.9145700857063686E-2</v>
      </c>
      <c r="U29" s="12">
        <f t="shared" si="6"/>
        <v>4.04088424055149E-3</v>
      </c>
      <c r="V29" s="12">
        <f t="shared" si="7"/>
        <v>1.1299435028248705E-2</v>
      </c>
      <c r="W29" s="12">
        <f t="shared" si="8"/>
        <v>1.0915476246974531E-2</v>
      </c>
      <c r="X29" s="12">
        <f t="shared" si="9"/>
        <v>-9.8173964264669511E-4</v>
      </c>
      <c r="Y29" s="12">
        <f t="shared" si="10"/>
        <v>-1.9010311653897549E-3</v>
      </c>
    </row>
    <row r="30" spans="1:25" x14ac:dyDescent="0.35">
      <c r="A30" s="6">
        <v>44167</v>
      </c>
      <c r="B30" s="8">
        <v>3669</v>
      </c>
      <c r="C30" s="2">
        <v>123.08</v>
      </c>
      <c r="D30" s="2">
        <v>119.03</v>
      </c>
      <c r="E30" s="2">
        <v>215.37</v>
      </c>
      <c r="F30" s="2">
        <v>347.56</v>
      </c>
      <c r="G30" s="2">
        <v>148.13999999999999</v>
      </c>
      <c r="H30" s="2">
        <v>210.18</v>
      </c>
      <c r="I30" s="2">
        <v>122.33</v>
      </c>
      <c r="J30" s="2">
        <v>223.85</v>
      </c>
      <c r="K30" s="2">
        <v>50.17</v>
      </c>
      <c r="L30" s="2">
        <v>173.87</v>
      </c>
      <c r="M30" s="64" t="s">
        <v>77</v>
      </c>
      <c r="N30" s="1"/>
      <c r="O30" s="12">
        <f t="shared" si="0"/>
        <v>1.8020969855832014E-3</v>
      </c>
      <c r="P30" s="12">
        <f t="shared" si="1"/>
        <v>2.9335071707952132E-3</v>
      </c>
      <c r="Q30" s="12">
        <f t="shared" si="2"/>
        <v>1.1815708942536585E-2</v>
      </c>
      <c r="R30" s="12">
        <f t="shared" si="3"/>
        <v>-3.8851116969612631E-3</v>
      </c>
      <c r="S30" s="12">
        <f t="shared" si="4"/>
        <v>1.8669949295114119E-2</v>
      </c>
      <c r="T30" s="12">
        <f t="shared" si="5"/>
        <v>4.6795523906408842E-3</v>
      </c>
      <c r="U30" s="12">
        <f t="shared" si="6"/>
        <v>-4.829545454545392E-3</v>
      </c>
      <c r="V30" s="12">
        <f t="shared" si="7"/>
        <v>2.0011673476194369E-2</v>
      </c>
      <c r="W30" s="12">
        <f t="shared" si="8"/>
        <v>5.0889629594854657E-2</v>
      </c>
      <c r="X30" s="12">
        <f t="shared" si="9"/>
        <v>-1.395440251572333E-2</v>
      </c>
      <c r="Y30" s="12">
        <f t="shared" si="10"/>
        <v>3.5207203047444846E-3</v>
      </c>
    </row>
    <row r="31" spans="1:25" x14ac:dyDescent="0.35">
      <c r="A31" s="6">
        <v>44168</v>
      </c>
      <c r="B31" s="8">
        <v>3666.7</v>
      </c>
      <c r="C31" s="2">
        <v>122.94</v>
      </c>
      <c r="D31" s="2">
        <v>118.07</v>
      </c>
      <c r="E31" s="2">
        <v>214.24</v>
      </c>
      <c r="F31" s="2">
        <v>348.68</v>
      </c>
      <c r="G31" s="2">
        <v>149</v>
      </c>
      <c r="H31" s="2">
        <v>208.05</v>
      </c>
      <c r="I31" s="2">
        <v>123.12</v>
      </c>
      <c r="J31" s="2">
        <v>237.2</v>
      </c>
      <c r="K31" s="2">
        <v>49.77</v>
      </c>
      <c r="L31" s="2">
        <v>174.63</v>
      </c>
      <c r="M31" s="64" t="s">
        <v>77</v>
      </c>
      <c r="N31" s="1"/>
      <c r="O31" s="12">
        <f t="shared" si="0"/>
        <v>-6.2687380757708855E-4</v>
      </c>
      <c r="P31" s="12">
        <f t="shared" si="1"/>
        <v>-1.1374715632109789E-3</v>
      </c>
      <c r="Q31" s="12">
        <f t="shared" si="2"/>
        <v>-8.0651936486600961E-3</v>
      </c>
      <c r="R31" s="12">
        <f t="shared" si="3"/>
        <v>-5.246784603240906E-3</v>
      </c>
      <c r="S31" s="12">
        <f t="shared" si="4"/>
        <v>3.2224651858672182E-3</v>
      </c>
      <c r="T31" s="12">
        <f t="shared" si="5"/>
        <v>5.8053192925611175E-3</v>
      </c>
      <c r="U31" s="12">
        <f t="shared" si="6"/>
        <v>-1.0134170710819235E-2</v>
      </c>
      <c r="V31" s="12">
        <f t="shared" si="7"/>
        <v>6.4579416332870565E-3</v>
      </c>
      <c r="W31" s="12">
        <f t="shared" si="8"/>
        <v>5.963815054724142E-2</v>
      </c>
      <c r="X31" s="12">
        <f t="shared" si="9"/>
        <v>-7.9728921666334385E-3</v>
      </c>
      <c r="Y31" s="12">
        <f t="shared" si="10"/>
        <v>4.3710818427560305E-3</v>
      </c>
    </row>
    <row r="32" spans="1:25" x14ac:dyDescent="0.35">
      <c r="A32" s="6">
        <v>44169</v>
      </c>
      <c r="B32" s="8">
        <v>3699.1</v>
      </c>
      <c r="C32" s="2">
        <v>122.25</v>
      </c>
      <c r="D32" s="2">
        <v>121.5</v>
      </c>
      <c r="E32" s="2">
        <v>214.36</v>
      </c>
      <c r="F32" s="2">
        <v>349.89</v>
      </c>
      <c r="G32" s="2">
        <v>150.27000000000001</v>
      </c>
      <c r="H32" s="2">
        <v>212.68</v>
      </c>
      <c r="I32" s="2">
        <v>125.04</v>
      </c>
      <c r="J32" s="2">
        <v>232.71</v>
      </c>
      <c r="K32" s="2">
        <v>49.64</v>
      </c>
      <c r="L32" s="2">
        <v>182.21</v>
      </c>
      <c r="M32" s="64" t="s">
        <v>77</v>
      </c>
      <c r="N32" s="1"/>
      <c r="O32" s="12">
        <f t="shared" si="0"/>
        <v>8.8362833065154245E-3</v>
      </c>
      <c r="P32" s="12">
        <f t="shared" si="1"/>
        <v>-5.6124938994631668E-3</v>
      </c>
      <c r="Q32" s="12">
        <f t="shared" si="2"/>
        <v>2.9050563225205384E-2</v>
      </c>
      <c r="R32" s="12">
        <f t="shared" si="3"/>
        <v>5.6011949215828416E-4</v>
      </c>
      <c r="S32" s="12">
        <f t="shared" si="4"/>
        <v>3.4702305839164893E-3</v>
      </c>
      <c r="T32" s="12">
        <f t="shared" si="5"/>
        <v>8.5234899328858749E-3</v>
      </c>
      <c r="U32" s="12">
        <f t="shared" si="6"/>
        <v>2.2254265801489925E-2</v>
      </c>
      <c r="V32" s="12">
        <f t="shared" si="7"/>
        <v>1.5594541910331383E-2</v>
      </c>
      <c r="W32" s="12">
        <f t="shared" si="8"/>
        <v>-1.8929173693085888E-2</v>
      </c>
      <c r="X32" s="12">
        <f t="shared" si="9"/>
        <v>-2.6120152702431287E-3</v>
      </c>
      <c r="Y32" s="12">
        <f t="shared" si="10"/>
        <v>4.3406058523735913E-2</v>
      </c>
    </row>
    <row r="33" spans="1:25" x14ac:dyDescent="0.35">
      <c r="A33" s="6">
        <v>44172</v>
      </c>
      <c r="B33" s="8">
        <v>3692</v>
      </c>
      <c r="C33" s="2">
        <v>123.75</v>
      </c>
      <c r="D33" s="2">
        <v>119.11</v>
      </c>
      <c r="E33" s="2">
        <v>214.29</v>
      </c>
      <c r="F33" s="2">
        <v>347.86</v>
      </c>
      <c r="G33" s="2">
        <v>148.97</v>
      </c>
      <c r="H33" s="2">
        <v>212.65</v>
      </c>
      <c r="I33" s="2">
        <v>123.94</v>
      </c>
      <c r="J33" s="2">
        <v>238.17</v>
      </c>
      <c r="K33" s="2">
        <v>49.37</v>
      </c>
      <c r="L33" s="2">
        <v>178.71</v>
      </c>
      <c r="M33" s="64">
        <v>6.23</v>
      </c>
      <c r="N33" s="1"/>
      <c r="O33" s="12">
        <f t="shared" si="0"/>
        <v>-1.9193857965450478E-3</v>
      </c>
      <c r="P33" s="12">
        <f t="shared" si="1"/>
        <v>1.2269938650306678E-2</v>
      </c>
      <c r="Q33" s="12">
        <f t="shared" si="2"/>
        <v>-1.9670781893004086E-2</v>
      </c>
      <c r="R33" s="12">
        <f t="shared" si="3"/>
        <v>-3.2655346146681641E-4</v>
      </c>
      <c r="S33" s="12">
        <f t="shared" si="4"/>
        <v>-5.8018234302208427E-3</v>
      </c>
      <c r="T33" s="12">
        <f t="shared" si="5"/>
        <v>-8.6510946962136126E-3</v>
      </c>
      <c r="U33" s="12">
        <f t="shared" si="6"/>
        <v>-1.4105698702271408E-4</v>
      </c>
      <c r="V33" s="12">
        <f t="shared" si="7"/>
        <v>-8.7971849008318115E-3</v>
      </c>
      <c r="W33" s="12">
        <f t="shared" si="8"/>
        <v>2.3462678870697307E-2</v>
      </c>
      <c r="X33" s="12">
        <f t="shared" si="9"/>
        <v>-5.4391619661563473E-3</v>
      </c>
      <c r="Y33" s="12">
        <f t="shared" si="10"/>
        <v>-1.9208605455243943E-2</v>
      </c>
    </row>
    <row r="34" spans="1:25" x14ac:dyDescent="0.35">
      <c r="A34" s="6">
        <v>44173</v>
      </c>
      <c r="B34" s="8">
        <v>3702.2</v>
      </c>
      <c r="C34" s="2">
        <v>124.38</v>
      </c>
      <c r="D34" s="2">
        <v>120.07</v>
      </c>
      <c r="E34" s="2">
        <v>216.01</v>
      </c>
      <c r="F34" s="2">
        <v>347.86</v>
      </c>
      <c r="G34" s="2">
        <v>151.55000000000001</v>
      </c>
      <c r="H34" s="2">
        <v>212.77</v>
      </c>
      <c r="I34" s="2">
        <v>123.52</v>
      </c>
      <c r="J34" s="2">
        <v>236.57</v>
      </c>
      <c r="K34" s="2">
        <v>49.82</v>
      </c>
      <c r="L34" s="2">
        <v>178.84</v>
      </c>
      <c r="M34" s="64" t="s">
        <v>77</v>
      </c>
      <c r="N34" s="1"/>
      <c r="O34" s="12">
        <f t="shared" si="0"/>
        <v>2.7627302275188281E-3</v>
      </c>
      <c r="P34" s="12">
        <f t="shared" si="1"/>
        <v>5.0909090909090349E-3</v>
      </c>
      <c r="Q34" s="12">
        <f t="shared" si="2"/>
        <v>8.0597766770211798E-3</v>
      </c>
      <c r="R34" s="12">
        <f t="shared" si="3"/>
        <v>8.0265061365438761E-3</v>
      </c>
      <c r="S34" s="12">
        <f t="shared" si="4"/>
        <v>0</v>
      </c>
      <c r="T34" s="12">
        <f t="shared" si="5"/>
        <v>1.7318923273142328E-2</v>
      </c>
      <c r="U34" s="12">
        <f t="shared" si="6"/>
        <v>5.643075476133852E-4</v>
      </c>
      <c r="V34" s="12">
        <f t="shared" si="7"/>
        <v>-3.388736485396171E-3</v>
      </c>
      <c r="W34" s="12">
        <f t="shared" si="8"/>
        <v>-6.7178905823571666E-3</v>
      </c>
      <c r="X34" s="12">
        <f t="shared" si="9"/>
        <v>9.1148470731214903E-3</v>
      </c>
      <c r="Y34" s="12">
        <f t="shared" si="10"/>
        <v>7.2743551004417206E-4</v>
      </c>
    </row>
    <row r="35" spans="1:25" x14ac:dyDescent="0.35">
      <c r="A35" s="6">
        <v>44174</v>
      </c>
      <c r="B35" s="8">
        <v>3672.8</v>
      </c>
      <c r="C35" s="2">
        <v>121.78</v>
      </c>
      <c r="D35" s="2">
        <v>121.11</v>
      </c>
      <c r="E35" s="2">
        <v>211.8</v>
      </c>
      <c r="F35" s="2">
        <v>344.41</v>
      </c>
      <c r="G35" s="2">
        <v>153.1</v>
      </c>
      <c r="H35" s="2">
        <v>209.58</v>
      </c>
      <c r="I35" s="2">
        <v>121.69</v>
      </c>
      <c r="J35" s="2">
        <v>232.06</v>
      </c>
      <c r="K35" s="2">
        <v>49.42</v>
      </c>
      <c r="L35" s="2">
        <v>180.07</v>
      </c>
      <c r="M35" s="64" t="s">
        <v>77</v>
      </c>
      <c r="N35" s="1"/>
      <c r="O35" s="12">
        <f t="shared" si="0"/>
        <v>-7.9412241369994918E-3</v>
      </c>
      <c r="P35" s="12">
        <f t="shared" si="1"/>
        <v>-2.0903682264029499E-2</v>
      </c>
      <c r="Q35" s="12">
        <f t="shared" si="2"/>
        <v>8.6616140584658829E-3</v>
      </c>
      <c r="R35" s="12">
        <f t="shared" si="3"/>
        <v>-1.9489838433405793E-2</v>
      </c>
      <c r="S35" s="12">
        <f t="shared" si="4"/>
        <v>-9.9177830161558678E-3</v>
      </c>
      <c r="T35" s="12">
        <f t="shared" si="5"/>
        <v>1.0227647641042337E-2</v>
      </c>
      <c r="U35" s="12">
        <f t="shared" si="6"/>
        <v>-1.4992715138412382E-2</v>
      </c>
      <c r="V35" s="12">
        <f t="shared" si="7"/>
        <v>-1.4815414507772018E-2</v>
      </c>
      <c r="W35" s="12">
        <f t="shared" si="8"/>
        <v>-1.9064124783362169E-2</v>
      </c>
      <c r="X35" s="12">
        <f t="shared" si="9"/>
        <v>-8.0289040545965529E-3</v>
      </c>
      <c r="Y35" s="12">
        <f t="shared" si="10"/>
        <v>6.8776560053678271E-3</v>
      </c>
    </row>
    <row r="36" spans="1:25" x14ac:dyDescent="0.35">
      <c r="A36" s="6">
        <v>44175</v>
      </c>
      <c r="B36" s="8">
        <v>3668.1</v>
      </c>
      <c r="C36" s="2">
        <v>123.24</v>
      </c>
      <c r="D36" s="2">
        <v>119.36</v>
      </c>
      <c r="E36" s="2">
        <v>210.52</v>
      </c>
      <c r="F36" s="2">
        <v>339.65</v>
      </c>
      <c r="G36" s="2">
        <v>152.25</v>
      </c>
      <c r="H36" s="2">
        <v>207.61</v>
      </c>
      <c r="I36" s="2">
        <v>121.84</v>
      </c>
      <c r="J36" s="2">
        <v>234.43</v>
      </c>
      <c r="K36" s="2">
        <v>49.01</v>
      </c>
      <c r="L36" s="2">
        <v>178.85</v>
      </c>
      <c r="M36" s="64">
        <v>6</v>
      </c>
      <c r="N36" s="1"/>
      <c r="O36" s="12">
        <f t="shared" si="0"/>
        <v>-1.2796776301460255E-3</v>
      </c>
      <c r="P36" s="12">
        <f t="shared" si="1"/>
        <v>1.1988832320578124E-2</v>
      </c>
      <c r="Q36" s="12">
        <f t="shared" si="2"/>
        <v>-1.444967385021878E-2</v>
      </c>
      <c r="R36" s="12">
        <f t="shared" si="3"/>
        <v>-6.0434372049102958E-3</v>
      </c>
      <c r="S36" s="12">
        <f t="shared" si="4"/>
        <v>-1.3820736912401044E-2</v>
      </c>
      <c r="T36" s="12">
        <f t="shared" si="5"/>
        <v>-5.5519268451992287E-3</v>
      </c>
      <c r="U36" s="12">
        <f t="shared" si="6"/>
        <v>-9.3997518847218631E-3</v>
      </c>
      <c r="V36" s="12">
        <f t="shared" si="7"/>
        <v>1.2326403155560328E-3</v>
      </c>
      <c r="W36" s="12">
        <f t="shared" si="8"/>
        <v>1.0212875980349923E-2</v>
      </c>
      <c r="X36" s="12">
        <f t="shared" si="9"/>
        <v>-8.2962363415621798E-3</v>
      </c>
      <c r="Y36" s="12">
        <f t="shared" si="10"/>
        <v>-6.7751429999444168E-3</v>
      </c>
    </row>
    <row r="37" spans="1:25" x14ac:dyDescent="0.35">
      <c r="A37" s="6">
        <v>44176</v>
      </c>
      <c r="B37" s="8">
        <v>3663.5</v>
      </c>
      <c r="C37" s="2">
        <v>122.41</v>
      </c>
      <c r="D37" s="2">
        <v>118.7</v>
      </c>
      <c r="E37" s="2">
        <v>213.26</v>
      </c>
      <c r="F37" s="2">
        <v>337.07</v>
      </c>
      <c r="G37" s="2">
        <v>152.94999999999999</v>
      </c>
      <c r="H37" s="2">
        <v>206.24</v>
      </c>
      <c r="I37" s="2">
        <v>120.23</v>
      </c>
      <c r="J37" s="2">
        <v>230.33</v>
      </c>
      <c r="K37" s="2">
        <v>49</v>
      </c>
      <c r="L37" s="2">
        <v>179.29</v>
      </c>
      <c r="M37" s="64" t="s">
        <v>77</v>
      </c>
      <c r="N37" s="1"/>
      <c r="O37" s="12">
        <f t="shared" si="0"/>
        <v>-1.2540552329544097E-3</v>
      </c>
      <c r="P37" s="12">
        <f t="shared" si="1"/>
        <v>-6.7348263550794929E-3</v>
      </c>
      <c r="Q37" s="12">
        <f t="shared" si="2"/>
        <v>-5.5294906166220015E-3</v>
      </c>
      <c r="R37" s="12">
        <f t="shared" si="3"/>
        <v>1.3015390461713849E-2</v>
      </c>
      <c r="S37" s="12">
        <f t="shared" si="4"/>
        <v>-7.5960547622552221E-3</v>
      </c>
      <c r="T37" s="12">
        <f t="shared" si="5"/>
        <v>4.5977011494251485E-3</v>
      </c>
      <c r="U37" s="12">
        <f t="shared" si="6"/>
        <v>-6.5989114204518806E-3</v>
      </c>
      <c r="V37" s="12">
        <f t="shared" si="7"/>
        <v>-1.3214051214707756E-2</v>
      </c>
      <c r="W37" s="12">
        <f t="shared" si="8"/>
        <v>-1.7489229194215694E-2</v>
      </c>
      <c r="X37" s="12">
        <f t="shared" si="9"/>
        <v>-2.040399918383784E-4</v>
      </c>
      <c r="Y37" s="12">
        <f t="shared" si="10"/>
        <v>2.4601621470505819E-3</v>
      </c>
    </row>
    <row r="38" spans="1:25" x14ac:dyDescent="0.35">
      <c r="A38" s="6">
        <v>44179</v>
      </c>
      <c r="B38" s="8">
        <v>3647.5</v>
      </c>
      <c r="C38" s="2">
        <v>121.78</v>
      </c>
      <c r="D38" s="2">
        <v>117.99</v>
      </c>
      <c r="E38" s="2">
        <v>214.2</v>
      </c>
      <c r="F38" s="2">
        <v>336.13</v>
      </c>
      <c r="G38" s="2">
        <v>149.07</v>
      </c>
      <c r="H38" s="2">
        <v>207.25</v>
      </c>
      <c r="I38" s="2">
        <v>117.36</v>
      </c>
      <c r="J38" s="2">
        <v>228.62</v>
      </c>
      <c r="K38" s="2">
        <v>48.55</v>
      </c>
      <c r="L38" s="2">
        <v>178.05</v>
      </c>
      <c r="M38" s="64" t="s">
        <v>77</v>
      </c>
      <c r="N38" s="1"/>
      <c r="O38" s="12">
        <f t="shared" si="0"/>
        <v>-4.3674082161867522E-3</v>
      </c>
      <c r="P38" s="12">
        <f t="shared" si="1"/>
        <v>-5.1466383465402776E-3</v>
      </c>
      <c r="Q38" s="12">
        <f t="shared" si="2"/>
        <v>-5.9814658803707399E-3</v>
      </c>
      <c r="R38" s="12">
        <f t="shared" si="3"/>
        <v>4.4077651692768782E-3</v>
      </c>
      <c r="S38" s="12">
        <f t="shared" si="4"/>
        <v>-2.7887382442816078E-3</v>
      </c>
      <c r="T38" s="12">
        <f t="shared" si="5"/>
        <v>-2.5367767244197426E-2</v>
      </c>
      <c r="U38" s="12">
        <f t="shared" si="6"/>
        <v>4.8972071373156734E-3</v>
      </c>
      <c r="V38" s="12">
        <f t="shared" si="7"/>
        <v>-2.3870914081344119E-2</v>
      </c>
      <c r="W38" s="12">
        <f t="shared" si="8"/>
        <v>-7.4241305952329473E-3</v>
      </c>
      <c r="X38" s="12">
        <f t="shared" si="9"/>
        <v>-9.1836734693878652E-3</v>
      </c>
      <c r="Y38" s="12">
        <f t="shared" si="10"/>
        <v>-6.9161693345974884E-3</v>
      </c>
    </row>
    <row r="39" spans="1:25" x14ac:dyDescent="0.35">
      <c r="A39" s="6">
        <v>44180</v>
      </c>
      <c r="B39" s="8">
        <v>3694.6</v>
      </c>
      <c r="C39" s="2">
        <v>127.88</v>
      </c>
      <c r="D39" s="2">
        <v>120.28</v>
      </c>
      <c r="E39" s="2">
        <v>214.13</v>
      </c>
      <c r="F39" s="2">
        <v>339.67</v>
      </c>
      <c r="G39" s="2">
        <v>150.57</v>
      </c>
      <c r="H39" s="2">
        <v>208.36</v>
      </c>
      <c r="I39" s="2">
        <v>119.1</v>
      </c>
      <c r="J39" s="2">
        <v>229.5</v>
      </c>
      <c r="K39" s="2">
        <v>48.53</v>
      </c>
      <c r="L39" s="2">
        <v>181.74</v>
      </c>
      <c r="M39" s="64" t="s">
        <v>77</v>
      </c>
      <c r="N39" s="1"/>
      <c r="O39" s="12">
        <f t="shared" si="0"/>
        <v>1.2912954078135641E-2</v>
      </c>
      <c r="P39" s="12">
        <f t="shared" si="1"/>
        <v>5.0090326818853725E-2</v>
      </c>
      <c r="Q39" s="12">
        <f t="shared" si="2"/>
        <v>1.9408424442749483E-2</v>
      </c>
      <c r="R39" s="12">
        <f t="shared" si="3"/>
        <v>-3.2679738562091387E-4</v>
      </c>
      <c r="S39" s="12">
        <f t="shared" si="4"/>
        <v>1.0531639544224092E-2</v>
      </c>
      <c r="T39" s="12">
        <f t="shared" si="5"/>
        <v>1.0062386798148415E-2</v>
      </c>
      <c r="U39" s="12">
        <f t="shared" si="6"/>
        <v>5.3558504221955516E-3</v>
      </c>
      <c r="V39" s="12">
        <f t="shared" si="7"/>
        <v>1.4826175869120606E-2</v>
      </c>
      <c r="W39" s="12">
        <f t="shared" si="8"/>
        <v>3.8491820488146811E-3</v>
      </c>
      <c r="X39" s="12">
        <f t="shared" si="9"/>
        <v>-4.1194644696185279E-4</v>
      </c>
      <c r="Y39" s="12">
        <f t="shared" si="10"/>
        <v>2.0724515585509584E-2</v>
      </c>
    </row>
    <row r="40" spans="1:25" x14ac:dyDescent="0.35">
      <c r="A40" s="6">
        <v>44181</v>
      </c>
      <c r="B40" s="8">
        <v>3701.2</v>
      </c>
      <c r="C40" s="2">
        <v>127.81</v>
      </c>
      <c r="D40" s="2">
        <v>119.92</v>
      </c>
      <c r="E40" s="2">
        <v>219.28</v>
      </c>
      <c r="F40" s="2">
        <v>339.34</v>
      </c>
      <c r="G40" s="2">
        <v>149.66999999999999</v>
      </c>
      <c r="H40" s="2">
        <v>208.27</v>
      </c>
      <c r="I40" s="2">
        <v>119</v>
      </c>
      <c r="J40" s="2">
        <v>225.87</v>
      </c>
      <c r="K40" s="2">
        <v>48.48</v>
      </c>
      <c r="L40" s="2">
        <v>179.5</v>
      </c>
      <c r="M40" s="64" t="s">
        <v>77</v>
      </c>
      <c r="N40" s="1"/>
      <c r="O40" s="12">
        <f t="shared" si="0"/>
        <v>1.7863909489526097E-3</v>
      </c>
      <c r="P40" s="12">
        <f t="shared" si="1"/>
        <v>-5.4738817641530879E-4</v>
      </c>
      <c r="Q40" s="12">
        <f t="shared" si="2"/>
        <v>-2.9930162953109019E-3</v>
      </c>
      <c r="R40" s="12">
        <f t="shared" si="3"/>
        <v>2.4050810255452415E-2</v>
      </c>
      <c r="S40" s="12">
        <f t="shared" si="4"/>
        <v>-9.7153119203940985E-4</v>
      </c>
      <c r="T40" s="12">
        <f t="shared" si="5"/>
        <v>-5.9772863120143294E-3</v>
      </c>
      <c r="U40" s="12">
        <f t="shared" si="6"/>
        <v>-4.319447110769925E-4</v>
      </c>
      <c r="V40" s="12">
        <f t="shared" si="7"/>
        <v>-8.3963056255242918E-4</v>
      </c>
      <c r="W40" s="12">
        <f t="shared" si="8"/>
        <v>-1.5816993464052298E-2</v>
      </c>
      <c r="X40" s="12">
        <f t="shared" si="9"/>
        <v>-1.0302905419329322E-3</v>
      </c>
      <c r="Y40" s="12">
        <f t="shared" si="10"/>
        <v>-1.2325299878948037E-2</v>
      </c>
    </row>
    <row r="41" spans="1:25" x14ac:dyDescent="0.35">
      <c r="A41" s="6">
        <v>44182</v>
      </c>
      <c r="B41" s="8">
        <v>3722.5</v>
      </c>
      <c r="C41" s="2">
        <v>128.69999999999999</v>
      </c>
      <c r="D41" s="2">
        <v>119.92</v>
      </c>
      <c r="E41" s="2">
        <v>219.42</v>
      </c>
      <c r="F41" s="2">
        <v>341.67</v>
      </c>
      <c r="G41" s="2">
        <v>153.62</v>
      </c>
      <c r="H41" s="2">
        <v>211.18</v>
      </c>
      <c r="I41" s="2">
        <v>118.98</v>
      </c>
      <c r="J41" s="2">
        <v>221.24</v>
      </c>
      <c r="K41" s="2">
        <v>48.7</v>
      </c>
      <c r="L41" s="2">
        <v>179.17</v>
      </c>
      <c r="M41" s="64">
        <v>6</v>
      </c>
      <c r="N41" s="1"/>
      <c r="O41" s="12">
        <f t="shared" si="0"/>
        <v>5.7548903058468603E-3</v>
      </c>
      <c r="P41" s="12">
        <f t="shared" si="1"/>
        <v>6.9634613879976381E-3</v>
      </c>
      <c r="Q41" s="12">
        <f t="shared" si="2"/>
        <v>0</v>
      </c>
      <c r="R41" s="12">
        <f t="shared" si="3"/>
        <v>6.3845311929955351E-4</v>
      </c>
      <c r="S41" s="12">
        <f t="shared" si="4"/>
        <v>6.8662698178818538E-3</v>
      </c>
      <c r="T41" s="12">
        <f t="shared" si="5"/>
        <v>2.6391394401015678E-2</v>
      </c>
      <c r="U41" s="12">
        <f t="shared" si="6"/>
        <v>1.3972247563259321E-2</v>
      </c>
      <c r="V41" s="12">
        <f t="shared" si="7"/>
        <v>-1.6806722689077791E-4</v>
      </c>
      <c r="W41" s="12">
        <f t="shared" si="8"/>
        <v>-2.0498516845973369E-2</v>
      </c>
      <c r="X41" s="12">
        <f t="shared" si="9"/>
        <v>4.537953795379579E-3</v>
      </c>
      <c r="Y41" s="12">
        <f t="shared" si="10"/>
        <v>-1.8384401114206472E-3</v>
      </c>
    </row>
    <row r="42" spans="1:25" x14ac:dyDescent="0.35">
      <c r="A42" s="6">
        <v>44183</v>
      </c>
      <c r="B42" s="8">
        <v>3709.4</v>
      </c>
      <c r="C42" s="2">
        <v>126.66</v>
      </c>
      <c r="D42" s="2">
        <v>120.21</v>
      </c>
      <c r="E42" s="2">
        <v>218.59</v>
      </c>
      <c r="F42" s="2">
        <v>338.38</v>
      </c>
      <c r="G42" s="2">
        <v>154.51</v>
      </c>
      <c r="H42" s="2">
        <v>211.31</v>
      </c>
      <c r="I42" s="2">
        <v>117.51</v>
      </c>
      <c r="J42" s="2">
        <v>219.75</v>
      </c>
      <c r="K42" s="2">
        <v>48.65</v>
      </c>
      <c r="L42" s="2">
        <v>180.96</v>
      </c>
      <c r="M42" s="64" t="s">
        <v>77</v>
      </c>
      <c r="N42" s="1"/>
      <c r="O42" s="12">
        <f t="shared" si="0"/>
        <v>-3.5191403626594342E-3</v>
      </c>
      <c r="P42" s="12">
        <f t="shared" si="1"/>
        <v>-1.5850815850815825E-2</v>
      </c>
      <c r="Q42" s="12">
        <f t="shared" si="2"/>
        <v>2.4182788525684007E-3</v>
      </c>
      <c r="R42" s="12">
        <f t="shared" si="3"/>
        <v>-3.7826998450459781E-3</v>
      </c>
      <c r="S42" s="12">
        <f t="shared" si="4"/>
        <v>-9.6291743495185989E-3</v>
      </c>
      <c r="T42" s="12">
        <f t="shared" si="5"/>
        <v>5.7935164692095587E-3</v>
      </c>
      <c r="U42" s="12">
        <f t="shared" si="6"/>
        <v>6.155885974050701E-4</v>
      </c>
      <c r="V42" s="12">
        <f t="shared" si="7"/>
        <v>-1.2355017650025224E-2</v>
      </c>
      <c r="W42" s="12">
        <f t="shared" si="8"/>
        <v>-6.7347676731152051E-3</v>
      </c>
      <c r="X42" s="12">
        <f t="shared" si="9"/>
        <v>-1.0266940451746365E-3</v>
      </c>
      <c r="Y42" s="12">
        <f t="shared" si="10"/>
        <v>9.9905118044316676E-3</v>
      </c>
    </row>
    <row r="43" spans="1:25" x14ac:dyDescent="0.35">
      <c r="A43" s="6">
        <v>44186</v>
      </c>
      <c r="B43" s="8">
        <v>3694.9</v>
      </c>
      <c r="C43" s="2">
        <v>128.22999999999999</v>
      </c>
      <c r="D43" s="2">
        <v>117.86</v>
      </c>
      <c r="E43" s="2">
        <v>222.59</v>
      </c>
      <c r="F43" s="2">
        <v>336.08</v>
      </c>
      <c r="G43" s="2">
        <v>153.02000000000001</v>
      </c>
      <c r="H43" s="2">
        <v>209.01</v>
      </c>
      <c r="I43" s="2">
        <v>116.41</v>
      </c>
      <c r="J43" s="2">
        <v>219.31</v>
      </c>
      <c r="K43" s="2">
        <v>48.66</v>
      </c>
      <c r="L43" s="2">
        <v>180.16</v>
      </c>
      <c r="M43" s="64" t="s">
        <v>77</v>
      </c>
      <c r="N43" s="1"/>
      <c r="O43" s="12">
        <f t="shared" si="0"/>
        <v>-3.9089879764921953E-3</v>
      </c>
      <c r="P43" s="12">
        <f t="shared" si="1"/>
        <v>1.2395389231012022E-2</v>
      </c>
      <c r="Q43" s="12">
        <f t="shared" si="2"/>
        <v>-1.9549122369187155E-2</v>
      </c>
      <c r="R43" s="12">
        <f t="shared" si="3"/>
        <v>1.8299098769385624E-2</v>
      </c>
      <c r="S43" s="12">
        <f t="shared" si="4"/>
        <v>-6.7970920267155233E-3</v>
      </c>
      <c r="T43" s="12">
        <f t="shared" si="5"/>
        <v>-9.6433887774253213E-3</v>
      </c>
      <c r="U43" s="12">
        <f t="shared" si="6"/>
        <v>-1.0884482513842331E-2</v>
      </c>
      <c r="V43" s="12">
        <f t="shared" si="7"/>
        <v>-9.3609054548550175E-3</v>
      </c>
      <c r="W43" s="12">
        <f t="shared" si="8"/>
        <v>-2.0022753128554616E-3</v>
      </c>
      <c r="X43" s="12">
        <f t="shared" si="9"/>
        <v>2.0554984583753821E-4</v>
      </c>
      <c r="Y43" s="12">
        <f t="shared" si="10"/>
        <v>-4.4208664898320871E-3</v>
      </c>
    </row>
    <row r="44" spans="1:25" x14ac:dyDescent="0.35">
      <c r="A44" s="6">
        <v>44187</v>
      </c>
      <c r="B44" s="8">
        <v>3687.3</v>
      </c>
      <c r="C44" s="2">
        <v>131.88</v>
      </c>
      <c r="D44" s="2">
        <v>118.07</v>
      </c>
      <c r="E44" s="2">
        <v>223.94</v>
      </c>
      <c r="F44" s="2">
        <v>335.01</v>
      </c>
      <c r="G44" s="2">
        <v>152.72</v>
      </c>
      <c r="H44" s="2">
        <v>205.84</v>
      </c>
      <c r="I44" s="2">
        <v>114.55</v>
      </c>
      <c r="J44" s="2">
        <v>218.78</v>
      </c>
      <c r="K44" s="2">
        <v>48.07</v>
      </c>
      <c r="L44" s="2">
        <v>176.58</v>
      </c>
      <c r="M44" s="64" t="s">
        <v>77</v>
      </c>
      <c r="N44" s="1"/>
      <c r="O44" s="12">
        <f t="shared" si="0"/>
        <v>-2.0568892256894733E-3</v>
      </c>
      <c r="P44" s="12">
        <f t="shared" si="1"/>
        <v>2.8464477891289031E-2</v>
      </c>
      <c r="Q44" s="12">
        <f t="shared" si="2"/>
        <v>1.7817749872730548E-3</v>
      </c>
      <c r="R44" s="12">
        <f t="shared" si="3"/>
        <v>6.0649624870838803E-3</v>
      </c>
      <c r="S44" s="12">
        <f t="shared" si="4"/>
        <v>-3.1837657700547473E-3</v>
      </c>
      <c r="T44" s="12">
        <f t="shared" si="5"/>
        <v>-1.9605280355510235E-3</v>
      </c>
      <c r="U44" s="12">
        <f t="shared" si="6"/>
        <v>-1.516673843356775E-2</v>
      </c>
      <c r="V44" s="12">
        <f t="shared" si="7"/>
        <v>-1.5978008762133844E-2</v>
      </c>
      <c r="W44" s="12">
        <f t="shared" si="8"/>
        <v>-2.416670466462989E-3</v>
      </c>
      <c r="X44" s="12">
        <f t="shared" si="9"/>
        <v>-1.2124948623098986E-2</v>
      </c>
      <c r="Y44" s="12">
        <f t="shared" si="10"/>
        <v>-1.9871225577264617E-2</v>
      </c>
    </row>
    <row r="45" spans="1:25" x14ac:dyDescent="0.35">
      <c r="A45" s="6">
        <v>44188</v>
      </c>
      <c r="B45" s="8">
        <v>3690</v>
      </c>
      <c r="C45" s="2">
        <v>130.96</v>
      </c>
      <c r="D45" s="2">
        <v>118.34</v>
      </c>
      <c r="E45" s="2">
        <v>221.02</v>
      </c>
      <c r="F45" s="2">
        <v>337.59</v>
      </c>
      <c r="G45" s="2">
        <v>151.94</v>
      </c>
      <c r="H45" s="2">
        <v>205.3</v>
      </c>
      <c r="I45" s="2">
        <v>116.95</v>
      </c>
      <c r="J45" s="2">
        <v>219.69</v>
      </c>
      <c r="K45" s="2">
        <v>47.74</v>
      </c>
      <c r="L45" s="2">
        <v>178.42</v>
      </c>
      <c r="M45" s="64" t="s">
        <v>77</v>
      </c>
      <c r="N45" s="1"/>
      <c r="O45" s="12">
        <f t="shared" si="0"/>
        <v>7.3224310471076137E-4</v>
      </c>
      <c r="P45" s="12">
        <f t="shared" si="1"/>
        <v>-6.9760388231724368E-3</v>
      </c>
      <c r="Q45" s="12">
        <f t="shared" si="2"/>
        <v>2.2867790293894519E-3</v>
      </c>
      <c r="R45" s="12">
        <f t="shared" si="3"/>
        <v>-1.3039206930427705E-2</v>
      </c>
      <c r="S45" s="12">
        <f t="shared" si="4"/>
        <v>7.7012626488761615E-3</v>
      </c>
      <c r="T45" s="12">
        <f t="shared" si="5"/>
        <v>-5.1073860660031389E-3</v>
      </c>
      <c r="U45" s="12">
        <f t="shared" si="6"/>
        <v>-2.623396813058676E-3</v>
      </c>
      <c r="V45" s="12">
        <f t="shared" si="7"/>
        <v>2.0951549541684988E-2</v>
      </c>
      <c r="W45" s="12">
        <f t="shared" si="8"/>
        <v>4.1594295639455492E-3</v>
      </c>
      <c r="X45" s="12">
        <f t="shared" si="9"/>
        <v>-6.8649885583523806E-3</v>
      </c>
      <c r="Y45" s="12">
        <f t="shared" si="10"/>
        <v>1.0420206138860522E-2</v>
      </c>
    </row>
    <row r="46" spans="1:25" x14ac:dyDescent="0.35">
      <c r="A46" s="6">
        <v>44189</v>
      </c>
      <c r="B46" s="8">
        <v>3703.1</v>
      </c>
      <c r="C46" s="2">
        <v>131.97</v>
      </c>
      <c r="D46" s="2">
        <v>119.1</v>
      </c>
      <c r="E46" s="2">
        <v>222.75</v>
      </c>
      <c r="F46" s="2">
        <v>340.79</v>
      </c>
      <c r="G46" s="2">
        <v>152.47</v>
      </c>
      <c r="H46" s="2">
        <v>208.7</v>
      </c>
      <c r="I46" s="2">
        <v>117.35</v>
      </c>
      <c r="J46" s="2">
        <v>217.15</v>
      </c>
      <c r="K46" s="2">
        <v>47.83</v>
      </c>
      <c r="L46" s="2">
        <v>179.56</v>
      </c>
      <c r="M46" s="64">
        <v>5.84</v>
      </c>
      <c r="N46" s="1"/>
      <c r="O46" s="12">
        <f t="shared" si="0"/>
        <v>3.5501355013549674E-3</v>
      </c>
      <c r="P46" s="12">
        <f t="shared" si="1"/>
        <v>7.7122785583383369E-3</v>
      </c>
      <c r="Q46" s="12">
        <f t="shared" si="2"/>
        <v>6.4221733986817853E-3</v>
      </c>
      <c r="R46" s="12">
        <f t="shared" si="3"/>
        <v>7.8273459415436619E-3</v>
      </c>
      <c r="S46" s="12">
        <f t="shared" si="4"/>
        <v>9.4789537604789142E-3</v>
      </c>
      <c r="T46" s="12">
        <f t="shared" si="5"/>
        <v>3.4882190338292318E-3</v>
      </c>
      <c r="U46" s="12">
        <f t="shared" si="6"/>
        <v>1.6561130053579953E-2</v>
      </c>
      <c r="V46" s="12">
        <f t="shared" si="7"/>
        <v>3.4202650705428272E-3</v>
      </c>
      <c r="W46" s="12">
        <f t="shared" si="8"/>
        <v>-1.156174609677274E-2</v>
      </c>
      <c r="X46" s="12">
        <f t="shared" si="9"/>
        <v>1.8852115626308841E-3</v>
      </c>
      <c r="Y46" s="12">
        <f t="shared" si="10"/>
        <v>6.3894182266563959E-3</v>
      </c>
    </row>
    <row r="47" spans="1:25" x14ac:dyDescent="0.35">
      <c r="A47" s="6">
        <v>44193</v>
      </c>
      <c r="B47" s="8">
        <v>3735.4</v>
      </c>
      <c r="C47" s="2">
        <v>136.69</v>
      </c>
      <c r="D47" s="2">
        <v>119.22</v>
      </c>
      <c r="E47" s="2">
        <v>224.96</v>
      </c>
      <c r="F47" s="2">
        <v>345.95</v>
      </c>
      <c r="G47" s="2">
        <v>153.19</v>
      </c>
      <c r="H47" s="2">
        <v>212.63</v>
      </c>
      <c r="I47" s="2">
        <v>118.36</v>
      </c>
      <c r="J47" s="2">
        <v>216.09</v>
      </c>
      <c r="K47" s="2">
        <v>48.41</v>
      </c>
      <c r="L47" s="2">
        <v>178.37</v>
      </c>
      <c r="M47" s="64" t="s">
        <v>77</v>
      </c>
      <c r="N47" s="1"/>
      <c r="O47" s="12">
        <f t="shared" si="0"/>
        <v>8.7224217547461347E-3</v>
      </c>
      <c r="P47" s="12">
        <f t="shared" si="1"/>
        <v>3.5765704326740977E-2</v>
      </c>
      <c r="Q47" s="12">
        <f t="shared" si="2"/>
        <v>1.007556675062915E-3</v>
      </c>
      <c r="R47" s="12">
        <f t="shared" si="3"/>
        <v>9.921436588103294E-3</v>
      </c>
      <c r="S47" s="12">
        <f t="shared" si="4"/>
        <v>1.5141289357081922E-2</v>
      </c>
      <c r="T47" s="12">
        <f t="shared" si="5"/>
        <v>4.7222404407425422E-3</v>
      </c>
      <c r="U47" s="12">
        <f t="shared" si="6"/>
        <v>1.8830857690464775E-2</v>
      </c>
      <c r="V47" s="12">
        <f t="shared" si="7"/>
        <v>8.6067319982956469E-3</v>
      </c>
      <c r="W47" s="12">
        <f t="shared" si="8"/>
        <v>-4.8814183743955963E-3</v>
      </c>
      <c r="X47" s="12">
        <f t="shared" si="9"/>
        <v>1.212628057704368E-2</v>
      </c>
      <c r="Y47" s="12">
        <f t="shared" si="10"/>
        <v>-6.6273112051681293E-3</v>
      </c>
    </row>
    <row r="48" spans="1:25" x14ac:dyDescent="0.35">
      <c r="A48" s="6">
        <v>44194</v>
      </c>
      <c r="B48" s="8">
        <v>3727</v>
      </c>
      <c r="C48" s="2">
        <v>134.87</v>
      </c>
      <c r="D48" s="2">
        <v>118.25</v>
      </c>
      <c r="E48" s="2">
        <v>224.15</v>
      </c>
      <c r="F48" s="2">
        <v>347.35</v>
      </c>
      <c r="G48" s="2">
        <v>154.13999999999999</v>
      </c>
      <c r="H48" s="2">
        <v>214.37</v>
      </c>
      <c r="I48" s="2">
        <v>118.14</v>
      </c>
      <c r="J48" s="2">
        <v>216.25</v>
      </c>
      <c r="K48" s="2">
        <v>48.1</v>
      </c>
      <c r="L48" s="2">
        <v>176.65</v>
      </c>
      <c r="M48" s="64" t="s">
        <v>77</v>
      </c>
      <c r="N48" s="1"/>
      <c r="O48" s="12">
        <f t="shared" si="0"/>
        <v>-2.248755153397286E-3</v>
      </c>
      <c r="P48" s="12">
        <f t="shared" si="1"/>
        <v>-1.3314799912210074E-2</v>
      </c>
      <c r="Q48" s="12">
        <f t="shared" si="2"/>
        <v>-8.136218755242397E-3</v>
      </c>
      <c r="R48" s="12">
        <f t="shared" si="3"/>
        <v>-3.6006401137980149E-3</v>
      </c>
      <c r="S48" s="12">
        <f t="shared" si="4"/>
        <v>4.0468275762395312E-3</v>
      </c>
      <c r="T48" s="12">
        <f t="shared" si="5"/>
        <v>6.2014491807558247E-3</v>
      </c>
      <c r="U48" s="12">
        <f t="shared" si="6"/>
        <v>8.1832290833843135E-3</v>
      </c>
      <c r="V48" s="12">
        <f t="shared" si="7"/>
        <v>-1.8587360594795044E-3</v>
      </c>
      <c r="W48" s="12">
        <f t="shared" si="8"/>
        <v>7.4043222731257075E-4</v>
      </c>
      <c r="X48" s="12">
        <f t="shared" si="9"/>
        <v>-6.4036356124766991E-3</v>
      </c>
      <c r="Y48" s="12">
        <f t="shared" si="10"/>
        <v>-9.6428771654426537E-3</v>
      </c>
    </row>
    <row r="49" spans="1:25" x14ac:dyDescent="0.35">
      <c r="A49" s="6">
        <v>44195</v>
      </c>
      <c r="B49" s="8">
        <v>3732</v>
      </c>
      <c r="C49" s="2">
        <v>133.72</v>
      </c>
      <c r="D49" s="2">
        <v>118.77</v>
      </c>
      <c r="E49" s="2">
        <v>221.68</v>
      </c>
      <c r="F49" s="2">
        <v>344.99</v>
      </c>
      <c r="G49" s="2">
        <v>156.05000000000001</v>
      </c>
      <c r="H49" s="2">
        <v>218.36</v>
      </c>
      <c r="I49" s="2">
        <v>119.43</v>
      </c>
      <c r="J49" s="2">
        <v>216.67</v>
      </c>
      <c r="K49" s="2">
        <v>48.06</v>
      </c>
      <c r="L49" s="2">
        <v>180.04</v>
      </c>
      <c r="M49" s="64" t="s">
        <v>77</v>
      </c>
      <c r="N49" s="1"/>
      <c r="O49" s="12">
        <f t="shared" si="0"/>
        <v>1.3415615776763978E-3</v>
      </c>
      <c r="P49" s="12">
        <f t="shared" si="1"/>
        <v>-8.5267294431675689E-3</v>
      </c>
      <c r="Q49" s="12">
        <f t="shared" si="2"/>
        <v>4.3974630021141881E-3</v>
      </c>
      <c r="R49" s="12">
        <f t="shared" si="3"/>
        <v>-1.1019406647334362E-2</v>
      </c>
      <c r="S49" s="12">
        <f t="shared" si="4"/>
        <v>-6.7942996977112813E-3</v>
      </c>
      <c r="T49" s="12">
        <f t="shared" si="5"/>
        <v>1.2391332554820389E-2</v>
      </c>
      <c r="U49" s="12">
        <f t="shared" si="6"/>
        <v>1.8612679012921518E-2</v>
      </c>
      <c r="V49" s="12">
        <f t="shared" si="7"/>
        <v>1.0919248349416044E-2</v>
      </c>
      <c r="W49" s="12">
        <f t="shared" si="8"/>
        <v>1.9421965317918399E-3</v>
      </c>
      <c r="X49" s="12">
        <f t="shared" si="9"/>
        <v>-8.3160083160083165E-4</v>
      </c>
      <c r="Y49" s="12">
        <f t="shared" si="10"/>
        <v>1.919048966883663E-2</v>
      </c>
    </row>
    <row r="50" spans="1:25" x14ac:dyDescent="0.35">
      <c r="A50" s="6">
        <v>44196</v>
      </c>
      <c r="B50" s="8">
        <v>3756.1</v>
      </c>
      <c r="C50" s="2">
        <v>132.69</v>
      </c>
      <c r="D50" s="2">
        <v>120.24</v>
      </c>
      <c r="E50" s="2">
        <v>222.42</v>
      </c>
      <c r="F50" s="2">
        <v>350.68</v>
      </c>
      <c r="G50" s="2">
        <v>157.38</v>
      </c>
      <c r="H50" s="2">
        <v>218.73</v>
      </c>
      <c r="I50" s="2">
        <v>120.91</v>
      </c>
      <c r="J50" s="2">
        <v>214.06</v>
      </c>
      <c r="K50" s="2">
        <v>48.05</v>
      </c>
      <c r="L50" s="2">
        <v>182.02</v>
      </c>
      <c r="M50" s="64">
        <v>5.7</v>
      </c>
      <c r="N50" s="1"/>
      <c r="O50" s="12">
        <f t="shared" si="0"/>
        <v>6.4576634512325537E-3</v>
      </c>
      <c r="P50" s="12">
        <f t="shared" si="1"/>
        <v>-7.7026622793897603E-3</v>
      </c>
      <c r="Q50" s="12">
        <f t="shared" si="2"/>
        <v>1.2376862844152514E-2</v>
      </c>
      <c r="R50" s="12">
        <f t="shared" si="3"/>
        <v>3.3381450739804475E-3</v>
      </c>
      <c r="S50" s="12">
        <f t="shared" si="4"/>
        <v>1.6493231687874976E-2</v>
      </c>
      <c r="T50" s="12">
        <f t="shared" si="5"/>
        <v>8.5229093239345133E-3</v>
      </c>
      <c r="U50" s="12">
        <f t="shared" si="6"/>
        <v>1.694449532881448E-3</v>
      </c>
      <c r="V50" s="12">
        <f t="shared" si="7"/>
        <v>1.2392196265594846E-2</v>
      </c>
      <c r="W50" s="12">
        <f t="shared" si="8"/>
        <v>-1.2045968523561101E-2</v>
      </c>
      <c r="X50" s="12">
        <f t="shared" si="9"/>
        <v>-2.0807324178118147E-4</v>
      </c>
      <c r="Y50" s="12">
        <f t="shared" si="10"/>
        <v>1.0997556098644834E-2</v>
      </c>
    </row>
    <row r="51" spans="1:25" x14ac:dyDescent="0.35">
      <c r="A51" s="6">
        <v>44200</v>
      </c>
      <c r="B51" s="8">
        <v>3700.7</v>
      </c>
      <c r="C51" s="2">
        <v>129.41</v>
      </c>
      <c r="D51" s="2">
        <v>118.38</v>
      </c>
      <c r="E51" s="2">
        <v>217.69</v>
      </c>
      <c r="F51" s="2">
        <v>349.5</v>
      </c>
      <c r="G51" s="2">
        <v>156.5</v>
      </c>
      <c r="H51" s="2">
        <v>217.76</v>
      </c>
      <c r="I51" s="2">
        <v>118.04</v>
      </c>
      <c r="J51" s="2">
        <v>202.72</v>
      </c>
      <c r="K51" s="2">
        <v>48.84</v>
      </c>
      <c r="L51" s="2">
        <v>182.15</v>
      </c>
      <c r="M51" s="64" t="s">
        <v>77</v>
      </c>
      <c r="N51" s="1"/>
      <c r="O51" s="12">
        <f t="shared" si="0"/>
        <v>-1.4749341071856437E-2</v>
      </c>
      <c r="P51" s="12">
        <f t="shared" si="1"/>
        <v>-2.471927048006628E-2</v>
      </c>
      <c r="Q51" s="12">
        <f t="shared" si="2"/>
        <v>-1.5469061876247525E-2</v>
      </c>
      <c r="R51" s="12">
        <f t="shared" si="3"/>
        <v>-2.1266073194856516E-2</v>
      </c>
      <c r="S51" s="12">
        <f t="shared" si="4"/>
        <v>-3.3648910687806843E-3</v>
      </c>
      <c r="T51" s="12">
        <f t="shared" si="5"/>
        <v>-5.5915618248824073E-3</v>
      </c>
      <c r="U51" s="12">
        <f t="shared" si="6"/>
        <v>-4.4346911717643156E-3</v>
      </c>
      <c r="V51" s="12">
        <f t="shared" si="7"/>
        <v>-2.373666363410798E-2</v>
      </c>
      <c r="W51" s="12">
        <f t="shared" si="8"/>
        <v>-5.2975801177239989E-2</v>
      </c>
      <c r="X51" s="12">
        <f t="shared" si="9"/>
        <v>1.6441207075962749E-2</v>
      </c>
      <c r="Y51" s="12">
        <f t="shared" si="10"/>
        <v>7.1420722997461716E-4</v>
      </c>
    </row>
    <row r="52" spans="1:25" x14ac:dyDescent="0.35">
      <c r="A52" s="6">
        <v>44201</v>
      </c>
      <c r="B52" s="8">
        <v>3726.9</v>
      </c>
      <c r="C52" s="2">
        <v>131.01</v>
      </c>
      <c r="D52" s="2">
        <v>120.48</v>
      </c>
      <c r="E52" s="2">
        <v>217.9</v>
      </c>
      <c r="F52" s="2">
        <v>344.8</v>
      </c>
      <c r="G52" s="2">
        <v>158.34</v>
      </c>
      <c r="H52" s="2">
        <v>214.51</v>
      </c>
      <c r="I52" s="2">
        <v>118.67</v>
      </c>
      <c r="J52" s="2">
        <v>211.63</v>
      </c>
      <c r="K52" s="2">
        <v>48.58</v>
      </c>
      <c r="L52" s="2">
        <v>183.64</v>
      </c>
      <c r="M52" s="64" t="s">
        <v>77</v>
      </c>
      <c r="N52" s="1"/>
      <c r="O52" s="12">
        <f t="shared" si="0"/>
        <v>7.0797416704948546E-3</v>
      </c>
      <c r="P52" s="12">
        <f t="shared" si="1"/>
        <v>1.2363804960976665E-2</v>
      </c>
      <c r="Q52" s="12">
        <f t="shared" si="2"/>
        <v>1.7739483020780655E-2</v>
      </c>
      <c r="R52" s="12">
        <f t="shared" si="3"/>
        <v>9.6467453718585006E-4</v>
      </c>
      <c r="S52" s="12">
        <f t="shared" si="4"/>
        <v>-1.3447782546494924E-2</v>
      </c>
      <c r="T52" s="12">
        <f t="shared" si="5"/>
        <v>1.1757188498402682E-2</v>
      </c>
      <c r="U52" s="12">
        <f t="shared" si="6"/>
        <v>-1.4924687729610531E-2</v>
      </c>
      <c r="V52" s="12">
        <f t="shared" si="7"/>
        <v>5.3371738393763746E-3</v>
      </c>
      <c r="W52" s="12">
        <f t="shared" si="8"/>
        <v>4.3952249408050426E-2</v>
      </c>
      <c r="X52" s="12">
        <f t="shared" si="9"/>
        <v>-5.3235053235054508E-3</v>
      </c>
      <c r="Y52" s="12">
        <f t="shared" si="10"/>
        <v>8.1800713697501859E-3</v>
      </c>
    </row>
    <row r="53" spans="1:25" x14ac:dyDescent="0.35">
      <c r="A53" s="6">
        <v>44202</v>
      </c>
      <c r="B53" s="8">
        <v>3748.1</v>
      </c>
      <c r="C53" s="2">
        <v>126.6</v>
      </c>
      <c r="D53" s="2">
        <v>123.49</v>
      </c>
      <c r="E53" s="2">
        <v>212.25</v>
      </c>
      <c r="F53" s="2">
        <v>359.27</v>
      </c>
      <c r="G53" s="2">
        <v>159.83000000000001</v>
      </c>
      <c r="H53" s="2">
        <v>212.62</v>
      </c>
      <c r="I53" s="2">
        <v>123.06</v>
      </c>
      <c r="J53" s="2">
        <v>211.03</v>
      </c>
      <c r="K53" s="2">
        <v>48.89</v>
      </c>
      <c r="L53" s="2">
        <v>193.86</v>
      </c>
      <c r="M53" s="64" t="s">
        <v>77</v>
      </c>
      <c r="N53" s="1"/>
      <c r="O53" s="12">
        <f t="shared" si="0"/>
        <v>5.6883737154203029E-3</v>
      </c>
      <c r="P53" s="12">
        <f t="shared" si="1"/>
        <v>-3.3661552553240215E-2</v>
      </c>
      <c r="Q53" s="12">
        <f t="shared" si="2"/>
        <v>2.4983399734395784E-2</v>
      </c>
      <c r="R53" s="12">
        <f t="shared" si="3"/>
        <v>-2.5929325378614032E-2</v>
      </c>
      <c r="S53" s="12">
        <f t="shared" si="4"/>
        <v>4.1966357308584668E-2</v>
      </c>
      <c r="T53" s="12">
        <f t="shared" si="5"/>
        <v>9.4101300997853077E-3</v>
      </c>
      <c r="U53" s="12">
        <f t="shared" si="6"/>
        <v>-8.8107780523052348E-3</v>
      </c>
      <c r="V53" s="12">
        <f t="shared" si="7"/>
        <v>3.6993342883626879E-2</v>
      </c>
      <c r="W53" s="12">
        <f t="shared" si="8"/>
        <v>-2.8351367953503015E-3</v>
      </c>
      <c r="X53" s="12">
        <f t="shared" si="9"/>
        <v>6.3812268423220075E-3</v>
      </c>
      <c r="Y53" s="12">
        <f t="shared" si="10"/>
        <v>5.5652363319538489E-2</v>
      </c>
    </row>
    <row r="54" spans="1:25" x14ac:dyDescent="0.35">
      <c r="A54" s="6">
        <v>44203</v>
      </c>
      <c r="B54" s="8">
        <v>3803.8</v>
      </c>
      <c r="C54" s="2">
        <v>130.91999999999999</v>
      </c>
      <c r="D54" s="2">
        <v>123.21</v>
      </c>
      <c r="E54" s="2">
        <v>218.29</v>
      </c>
      <c r="F54" s="2">
        <v>365.03</v>
      </c>
      <c r="G54" s="2">
        <v>160.37</v>
      </c>
      <c r="H54" s="2">
        <v>213.81</v>
      </c>
      <c r="I54" s="2">
        <v>121.66</v>
      </c>
      <c r="J54" s="2">
        <v>212.71</v>
      </c>
      <c r="K54" s="2">
        <v>48.88</v>
      </c>
      <c r="L54" s="2">
        <v>194.23</v>
      </c>
      <c r="M54" s="64" t="s">
        <v>77</v>
      </c>
      <c r="N54" s="1"/>
      <c r="O54" s="12">
        <f t="shared" si="0"/>
        <v>1.4860862837170918E-2</v>
      </c>
      <c r="P54" s="12">
        <f t="shared" si="1"/>
        <v>3.4123222748815074E-2</v>
      </c>
      <c r="Q54" s="12">
        <f t="shared" si="2"/>
        <v>-2.267390072070663E-3</v>
      </c>
      <c r="R54" s="12">
        <f t="shared" si="3"/>
        <v>2.8457008244993975E-2</v>
      </c>
      <c r="S54" s="12">
        <f t="shared" si="4"/>
        <v>1.60325103682466E-2</v>
      </c>
      <c r="T54" s="12">
        <f t="shared" si="5"/>
        <v>3.3785897516109831E-3</v>
      </c>
      <c r="U54" s="12">
        <f t="shared" si="6"/>
        <v>5.5968394318501868E-3</v>
      </c>
      <c r="V54" s="12">
        <f t="shared" si="7"/>
        <v>-1.1376564277588264E-2</v>
      </c>
      <c r="W54" s="12">
        <f t="shared" si="8"/>
        <v>7.9609534189453157E-3</v>
      </c>
      <c r="X54" s="12">
        <f t="shared" si="9"/>
        <v>-2.0454080589071832E-4</v>
      </c>
      <c r="Y54" s="12">
        <f t="shared" si="10"/>
        <v>1.908593830599381E-3</v>
      </c>
    </row>
    <row r="55" spans="1:25" x14ac:dyDescent="0.35">
      <c r="A55" s="6">
        <v>44204</v>
      </c>
      <c r="B55" s="8">
        <v>3824.7</v>
      </c>
      <c r="C55" s="2">
        <v>132.05000000000001</v>
      </c>
      <c r="D55" s="2">
        <v>122.77</v>
      </c>
      <c r="E55" s="2">
        <v>219.62</v>
      </c>
      <c r="F55" s="2">
        <v>363.39</v>
      </c>
      <c r="G55" s="2">
        <v>160.04</v>
      </c>
      <c r="H55" s="2">
        <v>215.45</v>
      </c>
      <c r="I55" s="2">
        <v>121.78</v>
      </c>
      <c r="J55" s="2">
        <v>209.9</v>
      </c>
      <c r="K55" s="2">
        <v>48.88</v>
      </c>
      <c r="L55" s="2">
        <v>194.26</v>
      </c>
      <c r="M55" s="64">
        <v>5.39</v>
      </c>
      <c r="N55" s="1"/>
      <c r="O55" s="12">
        <f t="shared" si="0"/>
        <v>5.494505494505475E-3</v>
      </c>
      <c r="P55" s="12">
        <f t="shared" si="1"/>
        <v>8.6312251756799352E-3</v>
      </c>
      <c r="Q55" s="12">
        <f t="shared" si="2"/>
        <v>-3.5711387062737909E-3</v>
      </c>
      <c r="R55" s="12">
        <f t="shared" si="3"/>
        <v>6.092812313894358E-3</v>
      </c>
      <c r="S55" s="12">
        <f t="shared" si="4"/>
        <v>-4.4927814152261325E-3</v>
      </c>
      <c r="T55" s="12">
        <f t="shared" si="5"/>
        <v>-2.057741472844099E-3</v>
      </c>
      <c r="U55" s="12">
        <f t="shared" si="6"/>
        <v>7.6703615359430266E-3</v>
      </c>
      <c r="V55" s="12">
        <f t="shared" si="7"/>
        <v>9.8635541673530724E-4</v>
      </c>
      <c r="W55" s="12">
        <f t="shared" si="8"/>
        <v>-1.3210474354755308E-2</v>
      </c>
      <c r="X55" s="12">
        <f t="shared" si="9"/>
        <v>0</v>
      </c>
      <c r="Y55" s="12">
        <f t="shared" si="10"/>
        <v>1.544560572517284E-4</v>
      </c>
    </row>
    <row r="56" spans="1:25" x14ac:dyDescent="0.35">
      <c r="A56" s="6">
        <v>44207</v>
      </c>
      <c r="B56" s="8">
        <v>3799.6</v>
      </c>
      <c r="C56" s="2">
        <v>128.97999999999999</v>
      </c>
      <c r="D56" s="2">
        <v>122.81</v>
      </c>
      <c r="E56" s="2">
        <v>217.49</v>
      </c>
      <c r="F56" s="2">
        <v>360.75</v>
      </c>
      <c r="G56" s="2">
        <v>159.37</v>
      </c>
      <c r="H56" s="2">
        <v>212.89</v>
      </c>
      <c r="I56" s="2">
        <v>121.06</v>
      </c>
      <c r="J56" s="2">
        <v>206.79</v>
      </c>
      <c r="K56" s="2">
        <v>49.1</v>
      </c>
      <c r="L56" s="2">
        <v>193.86</v>
      </c>
      <c r="M56" s="64" t="s">
        <v>77</v>
      </c>
      <c r="N56" s="1"/>
      <c r="O56" s="12">
        <f t="shared" si="0"/>
        <v>-6.5626062174810595E-3</v>
      </c>
      <c r="P56" s="12">
        <f t="shared" si="1"/>
        <v>-2.3248769405528336E-2</v>
      </c>
      <c r="Q56" s="12">
        <f t="shared" si="2"/>
        <v>3.2581249490926112E-4</v>
      </c>
      <c r="R56" s="12">
        <f t="shared" si="3"/>
        <v>-9.698570257717809E-3</v>
      </c>
      <c r="S56" s="12">
        <f t="shared" si="4"/>
        <v>-7.2649219846445678E-3</v>
      </c>
      <c r="T56" s="12">
        <f t="shared" si="5"/>
        <v>-4.1864533866532438E-3</v>
      </c>
      <c r="U56" s="12">
        <f t="shared" si="6"/>
        <v>-1.1882107217451865E-2</v>
      </c>
      <c r="V56" s="12">
        <f t="shared" si="7"/>
        <v>-5.9123008704220492E-3</v>
      </c>
      <c r="W56" s="12">
        <f t="shared" si="8"/>
        <v>-1.4816579323487455E-2</v>
      </c>
      <c r="X56" s="12">
        <f t="shared" si="9"/>
        <v>4.5008183306054494E-3</v>
      </c>
      <c r="Y56" s="12">
        <f t="shared" si="10"/>
        <v>-2.0590960568309669E-3</v>
      </c>
    </row>
    <row r="57" spans="1:25" x14ac:dyDescent="0.35">
      <c r="A57" s="6">
        <v>44208</v>
      </c>
      <c r="B57" s="8">
        <v>3801.2</v>
      </c>
      <c r="C57" s="2">
        <v>128.80000000000001</v>
      </c>
      <c r="D57" s="2">
        <v>123.42</v>
      </c>
      <c r="E57" s="2">
        <v>214.93</v>
      </c>
      <c r="F57" s="2">
        <v>357.37</v>
      </c>
      <c r="G57" s="2">
        <v>158.13</v>
      </c>
      <c r="H57" s="2">
        <v>208.86</v>
      </c>
      <c r="I57" s="2">
        <v>121.62</v>
      </c>
      <c r="J57" s="2">
        <v>208.41</v>
      </c>
      <c r="K57" s="2">
        <v>49.66</v>
      </c>
      <c r="L57" s="2">
        <v>197.54</v>
      </c>
      <c r="M57" s="64" t="s">
        <v>77</v>
      </c>
      <c r="N57" s="1"/>
      <c r="O57" s="12">
        <f t="shared" si="0"/>
        <v>4.2109695757441834E-4</v>
      </c>
      <c r="P57" s="12">
        <f t="shared" si="1"/>
        <v>-1.3955652039073785E-3</v>
      </c>
      <c r="Q57" s="12">
        <f t="shared" si="2"/>
        <v>4.9670222294602162E-3</v>
      </c>
      <c r="R57" s="12">
        <f t="shared" si="3"/>
        <v>-1.1770656122120582E-2</v>
      </c>
      <c r="S57" s="12">
        <f t="shared" si="4"/>
        <v>-9.3693693693693847E-3</v>
      </c>
      <c r="T57" s="12">
        <f t="shared" si="5"/>
        <v>-7.7806362552551578E-3</v>
      </c>
      <c r="U57" s="12">
        <f t="shared" si="6"/>
        <v>-1.892996383108636E-2</v>
      </c>
      <c r="V57" s="12">
        <f t="shared" si="7"/>
        <v>4.6258053857590742E-3</v>
      </c>
      <c r="W57" s="12">
        <f t="shared" si="8"/>
        <v>7.8340345277818635E-3</v>
      </c>
      <c r="X57" s="12">
        <f t="shared" si="9"/>
        <v>1.140529531568224E-2</v>
      </c>
      <c r="Y57" s="12">
        <f t="shared" si="10"/>
        <v>1.8982771071907489E-2</v>
      </c>
    </row>
    <row r="58" spans="1:25" x14ac:dyDescent="0.35">
      <c r="A58" s="6">
        <v>44209</v>
      </c>
      <c r="B58" s="8">
        <v>3809.8</v>
      </c>
      <c r="C58" s="2">
        <v>130.88999999999999</v>
      </c>
      <c r="D58" s="2">
        <v>121.23</v>
      </c>
      <c r="E58" s="2">
        <v>216.34</v>
      </c>
      <c r="F58" s="2">
        <v>355.04</v>
      </c>
      <c r="G58" s="2">
        <v>157.88999999999999</v>
      </c>
      <c r="H58" s="2">
        <v>209.35</v>
      </c>
      <c r="I58" s="2">
        <v>122.4</v>
      </c>
      <c r="J58" s="2">
        <v>207.21</v>
      </c>
      <c r="K58" s="2">
        <v>49.15</v>
      </c>
      <c r="L58" s="2">
        <v>195.89</v>
      </c>
      <c r="M58" s="64" t="s">
        <v>77</v>
      </c>
      <c r="N58" s="1"/>
      <c r="O58" s="12">
        <f t="shared" si="0"/>
        <v>2.2624434389140191E-3</v>
      </c>
      <c r="P58" s="12">
        <f t="shared" si="1"/>
        <v>1.6226708074533969E-2</v>
      </c>
      <c r="Q58" s="12">
        <f t="shared" si="2"/>
        <v>-1.7744287797763714E-2</v>
      </c>
      <c r="R58" s="12">
        <f t="shared" si="3"/>
        <v>6.5602754385147843E-3</v>
      </c>
      <c r="S58" s="12">
        <f t="shared" si="4"/>
        <v>-6.5198533732545583E-3</v>
      </c>
      <c r="T58" s="12">
        <f t="shared" si="5"/>
        <v>-1.5177385695314127E-3</v>
      </c>
      <c r="U58" s="12">
        <f t="shared" si="6"/>
        <v>2.3460691372210185E-3</v>
      </c>
      <c r="V58" s="12">
        <f t="shared" si="7"/>
        <v>6.4134188455846619E-3</v>
      </c>
      <c r="W58" s="12">
        <f t="shared" si="8"/>
        <v>-5.7578810997552798E-3</v>
      </c>
      <c r="X58" s="12">
        <f t="shared" si="9"/>
        <v>-1.0269834877164707E-2</v>
      </c>
      <c r="Y58" s="12">
        <f t="shared" si="10"/>
        <v>-8.3527386858358588E-3</v>
      </c>
    </row>
    <row r="59" spans="1:25" x14ac:dyDescent="0.35">
      <c r="A59" s="6">
        <v>44210</v>
      </c>
      <c r="B59" s="8">
        <v>3795.5</v>
      </c>
      <c r="C59" s="2">
        <v>128.91</v>
      </c>
      <c r="D59" s="2">
        <v>123.19</v>
      </c>
      <c r="E59" s="2">
        <v>213.02</v>
      </c>
      <c r="F59" s="2">
        <v>350.53</v>
      </c>
      <c r="G59" s="2">
        <v>160.65</v>
      </c>
      <c r="H59" s="2">
        <v>201.86</v>
      </c>
      <c r="I59" s="2">
        <v>123.78</v>
      </c>
      <c r="J59" s="2">
        <v>209.91</v>
      </c>
      <c r="K59" s="2">
        <v>48.99</v>
      </c>
      <c r="L59" s="2">
        <v>197.4</v>
      </c>
      <c r="M59" s="64" t="s">
        <v>77</v>
      </c>
      <c r="N59" s="1"/>
      <c r="O59" s="12">
        <f t="shared" si="0"/>
        <v>-3.7534778728542939E-3</v>
      </c>
      <c r="P59" s="12">
        <f t="shared" si="1"/>
        <v>-1.5127206050882358E-2</v>
      </c>
      <c r="Q59" s="12">
        <f t="shared" si="2"/>
        <v>1.6167615276746705E-2</v>
      </c>
      <c r="R59" s="12">
        <f t="shared" si="3"/>
        <v>-1.5346214292317639E-2</v>
      </c>
      <c r="S59" s="12">
        <f t="shared" si="4"/>
        <v>-1.2702794051374644E-2</v>
      </c>
      <c r="T59" s="12">
        <f t="shared" si="5"/>
        <v>1.7480524415732557E-2</v>
      </c>
      <c r="U59" s="12">
        <f t="shared" si="6"/>
        <v>-3.5777406257463507E-2</v>
      </c>
      <c r="V59" s="12">
        <f t="shared" si="7"/>
        <v>1.1274509803921529E-2</v>
      </c>
      <c r="W59" s="12">
        <f t="shared" si="8"/>
        <v>1.3030259157376545E-2</v>
      </c>
      <c r="X59" s="12">
        <f t="shared" si="9"/>
        <v>-3.2553407934892142E-3</v>
      </c>
      <c r="Y59" s="12">
        <f t="shared" si="10"/>
        <v>7.7084077798765804E-3</v>
      </c>
    </row>
    <row r="60" spans="1:25" x14ac:dyDescent="0.35">
      <c r="A60" s="6">
        <v>44211</v>
      </c>
      <c r="B60" s="8">
        <v>3768.2</v>
      </c>
      <c r="C60" s="2">
        <v>127.14</v>
      </c>
      <c r="D60" s="2">
        <v>122.63</v>
      </c>
      <c r="E60" s="2">
        <v>212.65</v>
      </c>
      <c r="F60" s="2">
        <v>351.3</v>
      </c>
      <c r="G60" s="2">
        <v>160.30000000000001</v>
      </c>
      <c r="H60" s="2">
        <v>201.59</v>
      </c>
      <c r="I60" s="2">
        <v>122.15</v>
      </c>
      <c r="J60" s="2">
        <v>204.32</v>
      </c>
      <c r="K60" s="2">
        <v>48.21</v>
      </c>
      <c r="L60" s="2">
        <v>194.62</v>
      </c>
      <c r="M60" s="64">
        <v>5.39</v>
      </c>
      <c r="N60" s="1"/>
      <c r="O60" s="12">
        <f t="shared" si="0"/>
        <v>-7.1927282307996387E-3</v>
      </c>
      <c r="P60" s="12">
        <f t="shared" si="1"/>
        <v>-1.3730509657900791E-2</v>
      </c>
      <c r="Q60" s="12">
        <f t="shared" si="2"/>
        <v>-4.5458235246367273E-3</v>
      </c>
      <c r="R60" s="12">
        <f t="shared" si="3"/>
        <v>-1.7369261102244682E-3</v>
      </c>
      <c r="S60" s="12">
        <f t="shared" si="4"/>
        <v>2.1966736085357041E-3</v>
      </c>
      <c r="T60" s="12">
        <f t="shared" si="5"/>
        <v>-2.1786492374726851E-3</v>
      </c>
      <c r="U60" s="12">
        <f t="shared" si="6"/>
        <v>-1.3375606856237399E-3</v>
      </c>
      <c r="V60" s="12">
        <f t="shared" si="7"/>
        <v>-1.3168524802068093E-2</v>
      </c>
      <c r="W60" s="12">
        <f t="shared" si="8"/>
        <v>-2.6630460673622069E-2</v>
      </c>
      <c r="X60" s="12">
        <f t="shared" si="9"/>
        <v>-1.5921616656460524E-2</v>
      </c>
      <c r="Y60" s="12">
        <f t="shared" si="10"/>
        <v>-1.408308004052683E-2</v>
      </c>
    </row>
    <row r="61" spans="1:25" x14ac:dyDescent="0.35">
      <c r="A61" s="6">
        <v>44215</v>
      </c>
      <c r="B61" s="8">
        <v>3798.9</v>
      </c>
      <c r="C61" s="2">
        <v>127.83</v>
      </c>
      <c r="D61" s="2">
        <v>123.24</v>
      </c>
      <c r="E61" s="2">
        <v>216.44</v>
      </c>
      <c r="F61" s="2">
        <v>352.19</v>
      </c>
      <c r="G61" s="2">
        <v>162.78</v>
      </c>
      <c r="H61" s="2">
        <v>201.66</v>
      </c>
      <c r="I61" s="2">
        <v>126.75</v>
      </c>
      <c r="J61" s="2">
        <v>210.71</v>
      </c>
      <c r="K61" s="2">
        <v>47.8</v>
      </c>
      <c r="L61" s="2">
        <v>194.06</v>
      </c>
      <c r="M61" s="64" t="s">
        <v>77</v>
      </c>
      <c r="N61" s="1"/>
      <c r="O61" s="12">
        <f t="shared" si="0"/>
        <v>8.1471259487289061E-3</v>
      </c>
      <c r="P61" s="12">
        <f t="shared" si="1"/>
        <v>5.4270882491740391E-3</v>
      </c>
      <c r="Q61" s="12">
        <f t="shared" si="2"/>
        <v>4.9743129739867609E-3</v>
      </c>
      <c r="R61" s="12">
        <f t="shared" si="3"/>
        <v>1.7822713378791377E-2</v>
      </c>
      <c r="S61" s="12">
        <f t="shared" si="4"/>
        <v>2.5334471961286908E-3</v>
      </c>
      <c r="T61" s="12">
        <f t="shared" si="5"/>
        <v>1.5470991890205843E-2</v>
      </c>
      <c r="U61" s="12">
        <f t="shared" si="6"/>
        <v>3.4723944640102644E-4</v>
      </c>
      <c r="V61" s="12">
        <f t="shared" si="7"/>
        <v>3.7658616455177985E-2</v>
      </c>
      <c r="W61" s="12">
        <f t="shared" si="8"/>
        <v>3.1274471417384486E-2</v>
      </c>
      <c r="X61" s="12">
        <f t="shared" si="9"/>
        <v>-8.5044596556731467E-3</v>
      </c>
      <c r="Y61" s="12">
        <f t="shared" si="10"/>
        <v>-2.8774021169458708E-3</v>
      </c>
    </row>
    <row r="62" spans="1:25" x14ac:dyDescent="0.35">
      <c r="A62" s="6">
        <v>44216</v>
      </c>
      <c r="B62" s="8">
        <v>3851.8</v>
      </c>
      <c r="C62" s="2">
        <v>132.03</v>
      </c>
      <c r="D62" s="2">
        <v>124.25</v>
      </c>
      <c r="E62" s="2">
        <v>224.34</v>
      </c>
      <c r="F62" s="2">
        <v>350.84</v>
      </c>
      <c r="G62" s="2">
        <v>162.38</v>
      </c>
      <c r="H62" s="2">
        <v>206.01</v>
      </c>
      <c r="I62" s="2">
        <v>128.94</v>
      </c>
      <c r="J62" s="2">
        <v>211.45</v>
      </c>
      <c r="K62" s="2">
        <v>48.5</v>
      </c>
      <c r="L62" s="2">
        <v>192.34</v>
      </c>
      <c r="M62" s="64" t="s">
        <v>77</v>
      </c>
      <c r="N62" s="1"/>
      <c r="O62" s="12">
        <f t="shared" si="0"/>
        <v>1.3925083576824981E-2</v>
      </c>
      <c r="P62" s="12">
        <f t="shared" si="1"/>
        <v>3.2856137057028834E-2</v>
      </c>
      <c r="Q62" s="12">
        <f t="shared" si="2"/>
        <v>8.1953911067835783E-3</v>
      </c>
      <c r="R62" s="12">
        <f t="shared" si="3"/>
        <v>3.6499722786915489E-2</v>
      </c>
      <c r="S62" s="12">
        <f t="shared" si="4"/>
        <v>-3.8331582384508733E-3</v>
      </c>
      <c r="T62" s="12">
        <f t="shared" si="5"/>
        <v>-2.4573043371421965E-3</v>
      </c>
      <c r="U62" s="12">
        <f t="shared" si="6"/>
        <v>2.1570961023504864E-2</v>
      </c>
      <c r="V62" s="12">
        <f t="shared" si="7"/>
        <v>1.7278106508875624E-2</v>
      </c>
      <c r="W62" s="12">
        <f t="shared" si="8"/>
        <v>3.5119358359829711E-3</v>
      </c>
      <c r="X62" s="12">
        <f t="shared" si="9"/>
        <v>1.4644351464435212E-2</v>
      </c>
      <c r="Y62" s="12">
        <f t="shared" si="10"/>
        <v>-8.863238173760668E-3</v>
      </c>
    </row>
    <row r="63" spans="1:25" x14ac:dyDescent="0.35">
      <c r="A63" s="6">
        <v>44217</v>
      </c>
      <c r="B63" s="8">
        <v>3853.1</v>
      </c>
      <c r="C63" s="2">
        <v>136.87</v>
      </c>
      <c r="D63" s="2">
        <v>125.75</v>
      </c>
      <c r="E63" s="2">
        <v>224.97</v>
      </c>
      <c r="F63" s="2">
        <v>355</v>
      </c>
      <c r="G63" s="2">
        <v>161.72999999999999</v>
      </c>
      <c r="H63" s="2">
        <v>205.14</v>
      </c>
      <c r="I63" s="2">
        <v>127.43</v>
      </c>
      <c r="J63" s="2">
        <v>207.41</v>
      </c>
      <c r="K63" s="2">
        <v>48.28</v>
      </c>
      <c r="L63" s="2">
        <v>192.19</v>
      </c>
      <c r="M63" s="64" t="s">
        <v>77</v>
      </c>
      <c r="N63" s="1"/>
      <c r="O63" s="12">
        <f t="shared" si="0"/>
        <v>3.3750454333025814E-4</v>
      </c>
      <c r="P63" s="12">
        <f t="shared" si="1"/>
        <v>3.6658335226842365E-2</v>
      </c>
      <c r="Q63" s="12">
        <f t="shared" si="2"/>
        <v>1.2072434607645954E-2</v>
      </c>
      <c r="R63" s="12">
        <f t="shared" si="3"/>
        <v>2.808237496656929E-3</v>
      </c>
      <c r="S63" s="12">
        <f t="shared" si="4"/>
        <v>1.1857256869228117E-2</v>
      </c>
      <c r="T63" s="12">
        <f t="shared" si="5"/>
        <v>-4.0029560290676391E-3</v>
      </c>
      <c r="U63" s="12">
        <f t="shared" si="6"/>
        <v>-4.2230959662152845E-3</v>
      </c>
      <c r="V63" s="12">
        <f t="shared" si="7"/>
        <v>-1.1710873274391131E-2</v>
      </c>
      <c r="W63" s="12">
        <f t="shared" si="8"/>
        <v>-1.9106171671789962E-2</v>
      </c>
      <c r="X63" s="12">
        <f t="shared" si="9"/>
        <v>-4.5360824742267658E-3</v>
      </c>
      <c r="Y63" s="12">
        <f t="shared" si="10"/>
        <v>-7.7986898201110044E-4</v>
      </c>
    </row>
    <row r="64" spans="1:25" x14ac:dyDescent="0.35">
      <c r="A64" s="6">
        <v>44218</v>
      </c>
      <c r="B64" s="8">
        <v>3841.5</v>
      </c>
      <c r="C64" s="2">
        <v>139.07</v>
      </c>
      <c r="D64" s="2">
        <v>113.29</v>
      </c>
      <c r="E64" s="2">
        <v>225.95</v>
      </c>
      <c r="F64" s="2">
        <v>347.55</v>
      </c>
      <c r="G64" s="2">
        <v>163.55000000000001</v>
      </c>
      <c r="H64" s="2">
        <v>202.02</v>
      </c>
      <c r="I64" s="2">
        <v>126.14</v>
      </c>
      <c r="J64" s="2">
        <v>205.84</v>
      </c>
      <c r="K64" s="2">
        <v>48.78</v>
      </c>
      <c r="L64" s="2">
        <v>191.94</v>
      </c>
      <c r="M64" s="64" t="s">
        <v>77</v>
      </c>
      <c r="N64" s="1"/>
      <c r="O64" s="12">
        <f t="shared" si="0"/>
        <v>-3.0105629233604381E-3</v>
      </c>
      <c r="P64" s="12">
        <f t="shared" si="1"/>
        <v>1.6073646525900376E-2</v>
      </c>
      <c r="Q64" s="12">
        <f t="shared" si="2"/>
        <v>-9.9085487077534729E-2</v>
      </c>
      <c r="R64" s="12">
        <f t="shared" si="3"/>
        <v>4.3561363737387726E-3</v>
      </c>
      <c r="S64" s="12">
        <f t="shared" si="4"/>
        <v>-2.0985915492957696E-2</v>
      </c>
      <c r="T64" s="12">
        <f t="shared" si="5"/>
        <v>1.1253323440301832E-2</v>
      </c>
      <c r="U64" s="12">
        <f t="shared" si="6"/>
        <v>-1.5209125475285079E-2</v>
      </c>
      <c r="V64" s="12">
        <f t="shared" si="7"/>
        <v>-1.0123204896806182E-2</v>
      </c>
      <c r="W64" s="12">
        <f t="shared" si="8"/>
        <v>-7.5695482377898804E-3</v>
      </c>
      <c r="X64" s="12">
        <f t="shared" si="9"/>
        <v>1.0356255178127549E-2</v>
      </c>
      <c r="Y64" s="12">
        <f t="shared" si="10"/>
        <v>-1.300796087205347E-3</v>
      </c>
    </row>
    <row r="65" spans="1:25" x14ac:dyDescent="0.35">
      <c r="A65" s="6">
        <v>44221</v>
      </c>
      <c r="B65" s="8">
        <v>3855.4</v>
      </c>
      <c r="C65" s="2">
        <v>142.91999999999999</v>
      </c>
      <c r="D65" s="2">
        <v>113.26</v>
      </c>
      <c r="E65" s="2">
        <v>229.53</v>
      </c>
      <c r="F65" s="2">
        <v>347.81</v>
      </c>
      <c r="G65" s="2">
        <v>165.98</v>
      </c>
      <c r="H65" s="2">
        <v>200.98</v>
      </c>
      <c r="I65" s="2">
        <v>121.15</v>
      </c>
      <c r="J65" s="2">
        <v>203.36</v>
      </c>
      <c r="K65" s="2">
        <v>48.73</v>
      </c>
      <c r="L65" s="2">
        <v>187.34</v>
      </c>
      <c r="M65" s="64">
        <v>5.38</v>
      </c>
      <c r="N65" s="1"/>
      <c r="O65" s="12">
        <f t="shared" si="0"/>
        <v>3.61837823766753E-3</v>
      </c>
      <c r="P65" s="12">
        <f t="shared" si="1"/>
        <v>2.7683900194146682E-2</v>
      </c>
      <c r="Q65" s="12">
        <f t="shared" si="2"/>
        <v>-2.6480713213872242E-4</v>
      </c>
      <c r="R65" s="12">
        <f t="shared" si="3"/>
        <v>1.5844213321531297E-2</v>
      </c>
      <c r="S65" s="12">
        <f t="shared" si="4"/>
        <v>7.4809379945328658E-4</v>
      </c>
      <c r="T65" s="12">
        <f t="shared" si="5"/>
        <v>1.4857841638642455E-2</v>
      </c>
      <c r="U65" s="12">
        <f t="shared" si="6"/>
        <v>-5.1480051480052857E-3</v>
      </c>
      <c r="V65" s="12">
        <f t="shared" si="7"/>
        <v>-3.9559219914380828E-2</v>
      </c>
      <c r="W65" s="12">
        <f t="shared" si="8"/>
        <v>-1.2048192771084265E-2</v>
      </c>
      <c r="X65" s="12">
        <f t="shared" si="9"/>
        <v>-1.0250102501025982E-3</v>
      </c>
      <c r="Y65" s="12">
        <f t="shared" si="10"/>
        <v>-2.3965822652912361E-2</v>
      </c>
    </row>
    <row r="66" spans="1:25" x14ac:dyDescent="0.35">
      <c r="A66" s="6">
        <v>44222</v>
      </c>
      <c r="B66" s="8">
        <v>3849.6</v>
      </c>
      <c r="C66" s="2">
        <v>143.16</v>
      </c>
      <c r="D66" s="2">
        <v>117</v>
      </c>
      <c r="E66" s="2">
        <v>232.33</v>
      </c>
      <c r="F66" s="2">
        <v>343.11</v>
      </c>
      <c r="G66" s="2">
        <v>170.48</v>
      </c>
      <c r="H66" s="2">
        <v>202.01</v>
      </c>
      <c r="I66" s="2">
        <v>116.15</v>
      </c>
      <c r="J66" s="2">
        <v>202.06</v>
      </c>
      <c r="K66" s="2">
        <v>49.17</v>
      </c>
      <c r="L66" s="2">
        <v>187.21</v>
      </c>
      <c r="M66" s="64" t="s">
        <v>77</v>
      </c>
      <c r="N66" s="1"/>
      <c r="O66" s="12">
        <f t="shared" si="0"/>
        <v>-1.5043834621569774E-3</v>
      </c>
      <c r="P66" s="12">
        <f t="shared" si="1"/>
        <v>1.6792611251050804E-3</v>
      </c>
      <c r="Q66" s="12">
        <f t="shared" si="2"/>
        <v>3.3021366766731397E-2</v>
      </c>
      <c r="R66" s="12">
        <f t="shared" si="3"/>
        <v>1.2198841110094616E-2</v>
      </c>
      <c r="S66" s="12">
        <f t="shared" si="4"/>
        <v>-1.3513124982030389E-2</v>
      </c>
      <c r="T66" s="12">
        <f t="shared" si="5"/>
        <v>2.7111700204843991E-2</v>
      </c>
      <c r="U66" s="12">
        <f t="shared" si="6"/>
        <v>5.1248880485621484E-3</v>
      </c>
      <c r="V66" s="12">
        <f t="shared" si="7"/>
        <v>-4.1271151465125833E-2</v>
      </c>
      <c r="W66" s="12">
        <f t="shared" si="8"/>
        <v>-6.3926042486232015E-3</v>
      </c>
      <c r="X66" s="12">
        <f t="shared" si="9"/>
        <v>9.0293453724605843E-3</v>
      </c>
      <c r="Y66" s="12">
        <f t="shared" si="10"/>
        <v>-6.9392548307889435E-4</v>
      </c>
    </row>
    <row r="67" spans="1:25" x14ac:dyDescent="0.35">
      <c r="A67" s="6">
        <v>44223</v>
      </c>
      <c r="B67" s="8">
        <v>3750.8</v>
      </c>
      <c r="C67" s="2">
        <v>142.06</v>
      </c>
      <c r="D67" s="2">
        <v>116.98</v>
      </c>
      <c r="E67" s="2">
        <v>232.9</v>
      </c>
      <c r="F67" s="2">
        <v>332.99</v>
      </c>
      <c r="G67" s="2">
        <v>167.88</v>
      </c>
      <c r="H67" s="2">
        <v>194.97</v>
      </c>
      <c r="I67" s="2">
        <v>114.09</v>
      </c>
      <c r="J67" s="2">
        <v>194.03</v>
      </c>
      <c r="K67" s="2">
        <v>47.95</v>
      </c>
      <c r="L67" s="2">
        <v>180.63</v>
      </c>
      <c r="M67" s="64" t="s">
        <v>77</v>
      </c>
      <c r="N67" s="1"/>
      <c r="O67" s="12">
        <f t="shared" si="0"/>
        <v>-2.5665004156275928E-2</v>
      </c>
      <c r="P67" s="12">
        <f t="shared" si="1"/>
        <v>-7.683710533668564E-3</v>
      </c>
      <c r="Q67" s="12">
        <f t="shared" si="2"/>
        <v>-1.7094017094010372E-4</v>
      </c>
      <c r="R67" s="12">
        <f t="shared" si="3"/>
        <v>2.4534067920629621E-3</v>
      </c>
      <c r="S67" s="12">
        <f t="shared" si="4"/>
        <v>-2.9494914167468189E-2</v>
      </c>
      <c r="T67" s="12">
        <f t="shared" si="5"/>
        <v>-1.5251055842327554E-2</v>
      </c>
      <c r="U67" s="12">
        <f t="shared" si="6"/>
        <v>-3.4849759912875533E-2</v>
      </c>
      <c r="V67" s="12">
        <f t="shared" si="7"/>
        <v>-1.7735686612139534E-2</v>
      </c>
      <c r="W67" s="12">
        <f t="shared" si="8"/>
        <v>-3.9740671087795665E-2</v>
      </c>
      <c r="X67" s="12">
        <f t="shared" si="9"/>
        <v>-2.481187716087041E-2</v>
      </c>
      <c r="Y67" s="12">
        <f t="shared" si="10"/>
        <v>-3.5147695101757415E-2</v>
      </c>
    </row>
    <row r="68" spans="1:25" x14ac:dyDescent="0.35">
      <c r="A68" s="6">
        <v>44224</v>
      </c>
      <c r="B68" s="8">
        <v>3787.4</v>
      </c>
      <c r="C68" s="2">
        <v>137.09</v>
      </c>
      <c r="D68" s="2">
        <v>114.7</v>
      </c>
      <c r="E68" s="2">
        <v>238.93</v>
      </c>
      <c r="F68" s="2">
        <v>338.15</v>
      </c>
      <c r="G68" s="2">
        <v>169.16</v>
      </c>
      <c r="H68" s="2">
        <v>198.22</v>
      </c>
      <c r="I68" s="2">
        <v>118.97</v>
      </c>
      <c r="J68" s="2">
        <v>197.23</v>
      </c>
      <c r="K68" s="2">
        <v>47.92</v>
      </c>
      <c r="L68" s="2">
        <v>184.34</v>
      </c>
      <c r="M68" s="64" t="s">
        <v>77</v>
      </c>
      <c r="N68" s="1"/>
      <c r="O68" s="12">
        <f t="shared" si="0"/>
        <v>9.7579183107603384E-3</v>
      </c>
      <c r="P68" s="12">
        <f t="shared" si="1"/>
        <v>-3.498521751372663E-2</v>
      </c>
      <c r="Q68" s="12">
        <f t="shared" si="2"/>
        <v>-1.949051119849543E-2</v>
      </c>
      <c r="R68" s="12">
        <f t="shared" si="3"/>
        <v>2.589094031773298E-2</v>
      </c>
      <c r="S68" s="12">
        <f t="shared" si="4"/>
        <v>1.5495960839664757E-2</v>
      </c>
      <c r="T68" s="12">
        <f t="shared" si="5"/>
        <v>7.6244936859661827E-3</v>
      </c>
      <c r="U68" s="12">
        <f t="shared" si="6"/>
        <v>1.6669231163768838E-2</v>
      </c>
      <c r="V68" s="12">
        <f t="shared" si="7"/>
        <v>4.2773249189236529E-2</v>
      </c>
      <c r="W68" s="12">
        <f t="shared" si="8"/>
        <v>1.6492295005926749E-2</v>
      </c>
      <c r="X68" s="12">
        <f t="shared" si="9"/>
        <v>-6.2565172054229734E-4</v>
      </c>
      <c r="Y68" s="12">
        <f t="shared" si="10"/>
        <v>2.0539223827714226E-2</v>
      </c>
    </row>
    <row r="69" spans="1:25" x14ac:dyDescent="0.35">
      <c r="A69" s="6">
        <v>44225</v>
      </c>
      <c r="B69" s="8">
        <v>3714.2</v>
      </c>
      <c r="C69" s="2">
        <v>131.96</v>
      </c>
      <c r="D69" s="2">
        <v>113.77</v>
      </c>
      <c r="E69" s="2">
        <v>231.96</v>
      </c>
      <c r="F69" s="2">
        <v>333.58</v>
      </c>
      <c r="G69" s="2">
        <v>163.13</v>
      </c>
      <c r="H69" s="2">
        <v>193.25</v>
      </c>
      <c r="I69" s="2">
        <v>116.26</v>
      </c>
      <c r="J69" s="2">
        <v>194.19</v>
      </c>
      <c r="K69" s="2">
        <v>46.83</v>
      </c>
      <c r="L69" s="2">
        <v>182.84</v>
      </c>
      <c r="M69" s="64" t="s">
        <v>77</v>
      </c>
      <c r="N69" s="1"/>
      <c r="O69" s="12">
        <f t="shared" ref="O69:O132" si="11">(B69/B68)-1</f>
        <v>-1.9327242963510627E-2</v>
      </c>
      <c r="P69" s="12">
        <f t="shared" ref="P69:P132" si="12">(C69/C68)-1</f>
        <v>-3.7420672550878997E-2</v>
      </c>
      <c r="Q69" s="12">
        <f t="shared" ref="Q69:Q132" si="13">(D69/D68)-1</f>
        <v>-8.1081081081081363E-3</v>
      </c>
      <c r="R69" s="12">
        <f t="shared" ref="R69:R132" si="14">(E69/E68)-1</f>
        <v>-2.9171723935880745E-2</v>
      </c>
      <c r="S69" s="12">
        <f t="shared" ref="S69:S132" si="15">(F69/F68)-1</f>
        <v>-1.3514712405737095E-2</v>
      </c>
      <c r="T69" s="12">
        <f t="shared" ref="T69:T132" si="16">(G69/G68)-1</f>
        <v>-3.5646724994088497E-2</v>
      </c>
      <c r="U69" s="12">
        <f t="shared" ref="U69:U132" si="17">(H69/H68)-1</f>
        <v>-2.5073151044294195E-2</v>
      </c>
      <c r="V69" s="12">
        <f t="shared" ref="V69:V132" si="18">(I69/I68)-1</f>
        <v>-2.2778851811380951E-2</v>
      </c>
      <c r="W69" s="12">
        <f t="shared" ref="W69:W132" si="19">(J69/J68)-1</f>
        <v>-1.5413476651624958E-2</v>
      </c>
      <c r="X69" s="12">
        <f t="shared" ref="X69:X132" si="20">(K69/K68)-1</f>
        <v>-2.2746243739566019E-2</v>
      </c>
      <c r="Y69" s="12">
        <f t="shared" ref="Y69:Y132" si="21">(L69/L68)-1</f>
        <v>-8.1371378973635888E-3</v>
      </c>
    </row>
    <row r="70" spans="1:25" x14ac:dyDescent="0.35">
      <c r="A70" s="6">
        <v>44228</v>
      </c>
      <c r="B70" s="8">
        <v>3773.9</v>
      </c>
      <c r="C70" s="2">
        <v>134.13999999999999</v>
      </c>
      <c r="D70" s="2">
        <v>115.14</v>
      </c>
      <c r="E70" s="2">
        <v>239.65</v>
      </c>
      <c r="F70" s="2">
        <v>334</v>
      </c>
      <c r="G70" s="2">
        <v>162.71</v>
      </c>
      <c r="H70" s="2">
        <v>198.36</v>
      </c>
      <c r="I70" s="2">
        <v>117.03</v>
      </c>
      <c r="J70" s="2">
        <v>195.84</v>
      </c>
      <c r="K70" s="2">
        <v>46.42</v>
      </c>
      <c r="L70" s="2">
        <v>184.72</v>
      </c>
      <c r="M70" s="64">
        <v>5.27</v>
      </c>
      <c r="N70" s="1"/>
      <c r="O70" s="12">
        <f t="shared" si="11"/>
        <v>1.6073447848796496E-2</v>
      </c>
      <c r="P70" s="12">
        <f t="shared" si="12"/>
        <v>1.6520157623522103E-2</v>
      </c>
      <c r="Q70" s="12">
        <f t="shared" si="13"/>
        <v>1.2041838797574034E-2</v>
      </c>
      <c r="R70" s="12">
        <f t="shared" si="14"/>
        <v>3.3152267632350352E-2</v>
      </c>
      <c r="S70" s="12">
        <f t="shared" si="15"/>
        <v>1.259068289465759E-3</v>
      </c>
      <c r="T70" s="12">
        <f t="shared" si="16"/>
        <v>-2.574633727701725E-3</v>
      </c>
      <c r="U70" s="12">
        <f t="shared" si="17"/>
        <v>2.6442432082794287E-2</v>
      </c>
      <c r="V70" s="12">
        <f t="shared" si="18"/>
        <v>6.623086186134497E-3</v>
      </c>
      <c r="W70" s="12">
        <f t="shared" si="19"/>
        <v>8.4968329986097046E-3</v>
      </c>
      <c r="X70" s="12">
        <f t="shared" si="20"/>
        <v>-8.7550715353404973E-3</v>
      </c>
      <c r="Y70" s="12">
        <f t="shared" si="21"/>
        <v>1.0282213957558461E-2</v>
      </c>
    </row>
    <row r="71" spans="1:25" x14ac:dyDescent="0.35">
      <c r="A71" s="6">
        <v>44229</v>
      </c>
      <c r="B71" s="8">
        <v>3826.3</v>
      </c>
      <c r="C71" s="2">
        <v>134.99</v>
      </c>
      <c r="D71" s="2">
        <v>114.08</v>
      </c>
      <c r="E71" s="2">
        <v>239.51</v>
      </c>
      <c r="F71" s="2">
        <v>338.72</v>
      </c>
      <c r="G71" s="2">
        <v>161.25</v>
      </c>
      <c r="H71" s="2">
        <v>202.61</v>
      </c>
      <c r="I71" s="2">
        <v>120.7</v>
      </c>
      <c r="J71" s="2">
        <v>200.94</v>
      </c>
      <c r="K71" s="2">
        <v>46.92</v>
      </c>
      <c r="L71" s="2">
        <v>192.5</v>
      </c>
      <c r="M71" s="64" t="s">
        <v>77</v>
      </c>
      <c r="N71" s="1"/>
      <c r="O71" s="12">
        <f t="shared" si="11"/>
        <v>1.3884840615808525E-2</v>
      </c>
      <c r="P71" s="12">
        <f t="shared" si="12"/>
        <v>6.3366631877144197E-3</v>
      </c>
      <c r="Q71" s="12">
        <f t="shared" si="13"/>
        <v>-9.2061837762723586E-3</v>
      </c>
      <c r="R71" s="12">
        <f t="shared" si="14"/>
        <v>-5.8418527018577748E-4</v>
      </c>
      <c r="S71" s="12">
        <f t="shared" si="15"/>
        <v>1.4131736526946215E-2</v>
      </c>
      <c r="T71" s="12">
        <f t="shared" si="16"/>
        <v>-8.9730194825149434E-3</v>
      </c>
      <c r="U71" s="12">
        <f t="shared" si="17"/>
        <v>2.1425690663440244E-2</v>
      </c>
      <c r="V71" s="12">
        <f t="shared" si="18"/>
        <v>3.135948047509185E-2</v>
      </c>
      <c r="W71" s="12">
        <f t="shared" si="19"/>
        <v>2.6041666666666741E-2</v>
      </c>
      <c r="X71" s="12">
        <f t="shared" si="20"/>
        <v>1.077121930202507E-2</v>
      </c>
      <c r="Y71" s="12">
        <f t="shared" si="21"/>
        <v>4.2117799913382381E-2</v>
      </c>
    </row>
    <row r="72" spans="1:25" x14ac:dyDescent="0.35">
      <c r="A72" s="6">
        <v>44230</v>
      </c>
      <c r="B72" s="8">
        <v>3830.2</v>
      </c>
      <c r="C72" s="2">
        <v>133.94</v>
      </c>
      <c r="D72" s="2">
        <v>113.78</v>
      </c>
      <c r="E72" s="2">
        <v>243</v>
      </c>
      <c r="F72" s="2">
        <v>337.89</v>
      </c>
      <c r="G72" s="2">
        <v>160.5</v>
      </c>
      <c r="H72" s="2">
        <v>201.36</v>
      </c>
      <c r="I72" s="2">
        <v>120.44</v>
      </c>
      <c r="J72" s="2">
        <v>207.39</v>
      </c>
      <c r="K72" s="2">
        <v>47.07</v>
      </c>
      <c r="L72" s="2">
        <v>191.45</v>
      </c>
      <c r="M72" s="64" t="s">
        <v>77</v>
      </c>
      <c r="N72" s="1"/>
      <c r="O72" s="12">
        <f t="shared" si="11"/>
        <v>1.0192614274886491E-3</v>
      </c>
      <c r="P72" s="12">
        <f t="shared" si="12"/>
        <v>-7.7783539521446565E-3</v>
      </c>
      <c r="Q72" s="12">
        <f t="shared" si="13"/>
        <v>-2.6297335203365746E-3</v>
      </c>
      <c r="R72" s="12">
        <f t="shared" si="14"/>
        <v>1.457141664231143E-2</v>
      </c>
      <c r="S72" s="12">
        <f t="shared" si="15"/>
        <v>-2.4504015115730526E-3</v>
      </c>
      <c r="T72" s="12">
        <f t="shared" si="16"/>
        <v>-4.6511627906976605E-3</v>
      </c>
      <c r="U72" s="12">
        <f t="shared" si="17"/>
        <v>-6.1694881792606626E-3</v>
      </c>
      <c r="V72" s="12">
        <f t="shared" si="18"/>
        <v>-2.1541010770506075E-3</v>
      </c>
      <c r="W72" s="12">
        <f t="shared" si="19"/>
        <v>3.2099134069871527E-2</v>
      </c>
      <c r="X72" s="12">
        <f t="shared" si="20"/>
        <v>3.1969309462915874E-3</v>
      </c>
      <c r="Y72" s="12">
        <f t="shared" si="21"/>
        <v>-5.4545454545454897E-3</v>
      </c>
    </row>
    <row r="73" spans="1:25" x14ac:dyDescent="0.35">
      <c r="A73" s="6">
        <v>44231</v>
      </c>
      <c r="B73" s="8">
        <v>3871.7</v>
      </c>
      <c r="C73" s="2">
        <v>137.38999999999999</v>
      </c>
      <c r="D73" s="2">
        <v>115.59</v>
      </c>
      <c r="E73" s="2">
        <v>242.01</v>
      </c>
      <c r="F73" s="2">
        <v>329.32</v>
      </c>
      <c r="G73" s="2">
        <v>161.99</v>
      </c>
      <c r="H73" s="2">
        <v>209.25</v>
      </c>
      <c r="I73" s="2">
        <v>124.9</v>
      </c>
      <c r="J73" s="2">
        <v>210.64</v>
      </c>
      <c r="K73" s="2">
        <v>47.51</v>
      </c>
      <c r="L73" s="2">
        <v>191.65</v>
      </c>
      <c r="M73" s="64" t="s">
        <v>77</v>
      </c>
      <c r="N73" s="1"/>
      <c r="O73" s="12">
        <f t="shared" si="11"/>
        <v>1.0834943344995018E-2</v>
      </c>
      <c r="P73" s="12">
        <f t="shared" si="12"/>
        <v>2.5757802000895946E-2</v>
      </c>
      <c r="Q73" s="12">
        <f t="shared" si="13"/>
        <v>1.5907892423976167E-2</v>
      </c>
      <c r="R73" s="12">
        <f t="shared" si="14"/>
        <v>-4.0740740740741188E-3</v>
      </c>
      <c r="S73" s="12">
        <f t="shared" si="15"/>
        <v>-2.5363283908964473E-2</v>
      </c>
      <c r="T73" s="12">
        <f t="shared" si="16"/>
        <v>9.283489096573172E-3</v>
      </c>
      <c r="U73" s="12">
        <f t="shared" si="17"/>
        <v>3.918355184743727E-2</v>
      </c>
      <c r="V73" s="12">
        <f t="shared" si="18"/>
        <v>3.7030886748588676E-2</v>
      </c>
      <c r="W73" s="12">
        <f t="shared" si="19"/>
        <v>1.5670958098269017E-2</v>
      </c>
      <c r="X73" s="12">
        <f t="shared" si="20"/>
        <v>9.3477799022732011E-3</v>
      </c>
      <c r="Y73" s="12">
        <f t="shared" si="21"/>
        <v>1.0446591799426752E-3</v>
      </c>
    </row>
    <row r="74" spans="1:25" x14ac:dyDescent="0.35">
      <c r="A74" s="6">
        <v>44232</v>
      </c>
      <c r="B74" s="8">
        <v>3886.8</v>
      </c>
      <c r="C74" s="2">
        <v>136.76</v>
      </c>
      <c r="D74" s="2">
        <v>116.33</v>
      </c>
      <c r="E74" s="2">
        <v>242.2</v>
      </c>
      <c r="F74" s="2">
        <v>324.51</v>
      </c>
      <c r="G74" s="2">
        <v>164.45</v>
      </c>
      <c r="H74" s="2">
        <v>208.77</v>
      </c>
      <c r="I74" s="2">
        <v>126.28</v>
      </c>
      <c r="J74" s="2">
        <v>207.93</v>
      </c>
      <c r="K74" s="2">
        <v>48.12</v>
      </c>
      <c r="L74" s="2">
        <v>193</v>
      </c>
      <c r="M74" s="64" t="s">
        <v>77</v>
      </c>
      <c r="N74" s="1"/>
      <c r="O74" s="12">
        <f t="shared" si="11"/>
        <v>3.9000955652557234E-3</v>
      </c>
      <c r="P74" s="12">
        <f t="shared" si="12"/>
        <v>-4.5854865710750481E-3</v>
      </c>
      <c r="Q74" s="12">
        <f t="shared" si="13"/>
        <v>6.4019378838999774E-3</v>
      </c>
      <c r="R74" s="12">
        <f t="shared" si="14"/>
        <v>7.8509152514349978E-4</v>
      </c>
      <c r="S74" s="12">
        <f t="shared" si="15"/>
        <v>-1.4605854488035974E-2</v>
      </c>
      <c r="T74" s="12">
        <f t="shared" si="16"/>
        <v>1.518612260016039E-2</v>
      </c>
      <c r="U74" s="12">
        <f t="shared" si="17"/>
        <v>-2.2939068100358284E-3</v>
      </c>
      <c r="V74" s="12">
        <f t="shared" si="18"/>
        <v>1.1048839071256866E-2</v>
      </c>
      <c r="W74" s="12">
        <f t="shared" si="19"/>
        <v>-1.2865552601595054E-2</v>
      </c>
      <c r="X74" s="12">
        <f t="shared" si="20"/>
        <v>1.2839402231109132E-2</v>
      </c>
      <c r="Y74" s="12">
        <f t="shared" si="21"/>
        <v>7.0440907905033878E-3</v>
      </c>
    </row>
    <row r="75" spans="1:25" x14ac:dyDescent="0.35">
      <c r="A75" s="6">
        <v>44235</v>
      </c>
      <c r="B75" s="8">
        <v>3915.6</v>
      </c>
      <c r="C75" s="2">
        <v>136.91</v>
      </c>
      <c r="D75" s="2">
        <v>118.07</v>
      </c>
      <c r="E75" s="2">
        <v>242.47</v>
      </c>
      <c r="F75" s="2">
        <v>324.33999999999997</v>
      </c>
      <c r="G75" s="2">
        <v>164.92</v>
      </c>
      <c r="H75" s="2">
        <v>206.89</v>
      </c>
      <c r="I75" s="2">
        <v>127.99</v>
      </c>
      <c r="J75" s="2">
        <v>211.95</v>
      </c>
      <c r="K75" s="2">
        <v>48.34</v>
      </c>
      <c r="L75" s="2">
        <v>197.45</v>
      </c>
      <c r="M75" s="64">
        <v>5.15</v>
      </c>
      <c r="N75" s="1"/>
      <c r="O75" s="12">
        <f t="shared" si="11"/>
        <v>7.4096943501080759E-3</v>
      </c>
      <c r="P75" s="12">
        <f t="shared" si="12"/>
        <v>1.0968119333139015E-3</v>
      </c>
      <c r="Q75" s="12">
        <f t="shared" si="13"/>
        <v>1.4957448637496817E-2</v>
      </c>
      <c r="R75" s="12">
        <f t="shared" si="14"/>
        <v>1.1147811725846779E-3</v>
      </c>
      <c r="S75" s="12">
        <f t="shared" si="15"/>
        <v>-5.2386675295068574E-4</v>
      </c>
      <c r="T75" s="12">
        <f t="shared" si="16"/>
        <v>2.8580115536638306E-3</v>
      </c>
      <c r="U75" s="12">
        <f t="shared" si="17"/>
        <v>-9.0051252574604446E-3</v>
      </c>
      <c r="V75" s="12">
        <f t="shared" si="18"/>
        <v>1.3541336712068475E-2</v>
      </c>
      <c r="W75" s="12">
        <f t="shared" si="19"/>
        <v>1.933342951954975E-2</v>
      </c>
      <c r="X75" s="12">
        <f t="shared" si="20"/>
        <v>4.5719035743974068E-3</v>
      </c>
      <c r="Y75" s="12">
        <f t="shared" si="21"/>
        <v>2.3056994818652754E-2</v>
      </c>
    </row>
    <row r="76" spans="1:25" x14ac:dyDescent="0.35">
      <c r="A76" s="6">
        <v>44236</v>
      </c>
      <c r="B76" s="8">
        <v>3911.2</v>
      </c>
      <c r="C76" s="2">
        <v>136.01</v>
      </c>
      <c r="D76" s="2">
        <v>116.63</v>
      </c>
      <c r="E76" s="2">
        <v>243.77</v>
      </c>
      <c r="F76" s="2">
        <v>329.63</v>
      </c>
      <c r="G76" s="2">
        <v>166.27</v>
      </c>
      <c r="H76" s="2">
        <v>206.52</v>
      </c>
      <c r="I76" s="2">
        <v>126.68</v>
      </c>
      <c r="J76" s="2">
        <v>215.12</v>
      </c>
      <c r="K76" s="2">
        <v>48.61</v>
      </c>
      <c r="L76" s="2">
        <v>197.28</v>
      </c>
      <c r="M76" s="64" t="s">
        <v>77</v>
      </c>
      <c r="N76" s="1"/>
      <c r="O76" s="12">
        <f t="shared" si="11"/>
        <v>-1.1237102870569338E-3</v>
      </c>
      <c r="P76" s="12">
        <f t="shared" si="12"/>
        <v>-6.5736615294719192E-3</v>
      </c>
      <c r="Q76" s="12">
        <f t="shared" si="13"/>
        <v>-1.2196154823409855E-2</v>
      </c>
      <c r="R76" s="12">
        <f t="shared" si="14"/>
        <v>5.3614880191363845E-3</v>
      </c>
      <c r="S76" s="12">
        <f t="shared" si="15"/>
        <v>1.631004501449107E-2</v>
      </c>
      <c r="T76" s="12">
        <f t="shared" si="16"/>
        <v>8.1857870482660022E-3</v>
      </c>
      <c r="U76" s="12">
        <f t="shared" si="17"/>
        <v>-1.7883899656820912E-3</v>
      </c>
      <c r="V76" s="12">
        <f t="shared" si="18"/>
        <v>-1.0235174623017373E-2</v>
      </c>
      <c r="W76" s="12">
        <f t="shared" si="19"/>
        <v>1.4956357631517037E-2</v>
      </c>
      <c r="X76" s="12">
        <f t="shared" si="20"/>
        <v>5.5854364915184362E-3</v>
      </c>
      <c r="Y76" s="12">
        <f t="shared" si="21"/>
        <v>-8.6097746264868213E-4</v>
      </c>
    </row>
    <row r="77" spans="1:25" x14ac:dyDescent="0.35">
      <c r="A77" s="6">
        <v>44237</v>
      </c>
      <c r="B77" s="8">
        <v>3909.9</v>
      </c>
      <c r="C77" s="2">
        <v>135.38999999999999</v>
      </c>
      <c r="D77" s="2">
        <v>116.76</v>
      </c>
      <c r="E77" s="2">
        <v>242.82</v>
      </c>
      <c r="F77" s="2">
        <v>333.4</v>
      </c>
      <c r="G77" s="2">
        <v>166.81</v>
      </c>
      <c r="H77" s="2">
        <v>206.44</v>
      </c>
      <c r="I77" s="2">
        <v>128.22999999999999</v>
      </c>
      <c r="J77" s="2">
        <v>211.92</v>
      </c>
      <c r="K77" s="2">
        <v>48.04</v>
      </c>
      <c r="L77" s="2">
        <v>197.72</v>
      </c>
      <c r="M77" s="64" t="s">
        <v>77</v>
      </c>
      <c r="N77" s="1"/>
      <c r="O77" s="12">
        <f t="shared" si="11"/>
        <v>-3.3237880957248667E-4</v>
      </c>
      <c r="P77" s="12">
        <f t="shared" si="12"/>
        <v>-4.558488346445122E-3</v>
      </c>
      <c r="Q77" s="12">
        <f t="shared" si="13"/>
        <v>1.114636028466176E-3</v>
      </c>
      <c r="R77" s="12">
        <f t="shared" si="14"/>
        <v>-3.8971161340608518E-3</v>
      </c>
      <c r="S77" s="12">
        <f t="shared" si="15"/>
        <v>1.143706580104964E-2</v>
      </c>
      <c r="T77" s="12">
        <f t="shared" si="16"/>
        <v>3.2477295964394859E-3</v>
      </c>
      <c r="U77" s="12">
        <f t="shared" si="17"/>
        <v>-3.8737168313007775E-4</v>
      </c>
      <c r="V77" s="12">
        <f t="shared" si="18"/>
        <v>1.223555415219435E-2</v>
      </c>
      <c r="W77" s="12">
        <f t="shared" si="19"/>
        <v>-1.4875418371141813E-2</v>
      </c>
      <c r="X77" s="12">
        <f t="shared" si="20"/>
        <v>-1.1725982308167016E-2</v>
      </c>
      <c r="Y77" s="12">
        <f t="shared" si="21"/>
        <v>2.2303325223034243E-3</v>
      </c>
    </row>
    <row r="78" spans="1:25" x14ac:dyDescent="0.35">
      <c r="A78" s="6">
        <v>44238</v>
      </c>
      <c r="B78" s="8">
        <v>3916.4</v>
      </c>
      <c r="C78" s="2">
        <v>135.13</v>
      </c>
      <c r="D78" s="2">
        <v>115.49</v>
      </c>
      <c r="E78" s="2">
        <v>244.49</v>
      </c>
      <c r="F78" s="2">
        <v>333.07</v>
      </c>
      <c r="G78" s="2">
        <v>166.06</v>
      </c>
      <c r="H78" s="2">
        <v>210.66</v>
      </c>
      <c r="I78" s="2">
        <v>128.31</v>
      </c>
      <c r="J78" s="2">
        <v>210.66</v>
      </c>
      <c r="K78" s="2">
        <v>48.01</v>
      </c>
      <c r="L78" s="2">
        <v>198.35</v>
      </c>
      <c r="M78" s="64" t="s">
        <v>77</v>
      </c>
      <c r="N78" s="1"/>
      <c r="O78" s="12">
        <f t="shared" si="11"/>
        <v>1.662446609887791E-3</v>
      </c>
      <c r="P78" s="12">
        <f t="shared" si="12"/>
        <v>-1.9203781667773701E-3</v>
      </c>
      <c r="Q78" s="12">
        <f t="shared" si="13"/>
        <v>-1.0877012675573949E-2</v>
      </c>
      <c r="R78" s="12">
        <f t="shared" si="14"/>
        <v>6.8775224446091521E-3</v>
      </c>
      <c r="S78" s="12">
        <f t="shared" si="15"/>
        <v>-9.8980203959198043E-4</v>
      </c>
      <c r="T78" s="12">
        <f t="shared" si="16"/>
        <v>-4.496133325340157E-3</v>
      </c>
      <c r="U78" s="12">
        <f t="shared" si="17"/>
        <v>2.0441774849835337E-2</v>
      </c>
      <c r="V78" s="12">
        <f t="shared" si="18"/>
        <v>6.2387896748039573E-4</v>
      </c>
      <c r="W78" s="12">
        <f t="shared" si="19"/>
        <v>-5.9456398640995722E-3</v>
      </c>
      <c r="X78" s="12">
        <f t="shared" si="20"/>
        <v>-6.2447960033307215E-4</v>
      </c>
      <c r="Y78" s="12">
        <f t="shared" si="21"/>
        <v>3.1863240946792271E-3</v>
      </c>
    </row>
    <row r="79" spans="1:25" x14ac:dyDescent="0.35">
      <c r="A79" s="6">
        <v>44239</v>
      </c>
      <c r="B79" s="8">
        <v>3934.8</v>
      </c>
      <c r="C79" s="2">
        <v>135.37</v>
      </c>
      <c r="D79" s="2">
        <v>115.38</v>
      </c>
      <c r="E79" s="2">
        <v>244.99</v>
      </c>
      <c r="F79" s="2">
        <v>328.24</v>
      </c>
      <c r="G79" s="2">
        <v>166.58</v>
      </c>
      <c r="H79" s="2">
        <v>209.96</v>
      </c>
      <c r="I79" s="2">
        <v>129.62</v>
      </c>
      <c r="J79" s="2">
        <v>210.98</v>
      </c>
      <c r="K79" s="2">
        <v>48.16</v>
      </c>
      <c r="L79" s="2">
        <v>197.99</v>
      </c>
      <c r="M79" s="64" t="s">
        <v>77</v>
      </c>
      <c r="N79" s="1"/>
      <c r="O79" s="12">
        <f t="shared" si="11"/>
        <v>4.6981922173425783E-3</v>
      </c>
      <c r="P79" s="12">
        <f t="shared" si="12"/>
        <v>1.7760674905646923E-3</v>
      </c>
      <c r="Q79" s="12">
        <f t="shared" si="13"/>
        <v>-9.5246341674604107E-4</v>
      </c>
      <c r="R79" s="12">
        <f t="shared" si="14"/>
        <v>2.0450734181356456E-3</v>
      </c>
      <c r="S79" s="12">
        <f t="shared" si="15"/>
        <v>-1.4501456150358694E-2</v>
      </c>
      <c r="T79" s="12">
        <f t="shared" si="16"/>
        <v>3.1313982897749337E-3</v>
      </c>
      <c r="U79" s="12">
        <f t="shared" si="17"/>
        <v>-3.3228899648722887E-3</v>
      </c>
      <c r="V79" s="12">
        <f t="shared" si="18"/>
        <v>1.020964850752093E-2</v>
      </c>
      <c r="W79" s="12">
        <f t="shared" si="19"/>
        <v>1.5190354125129701E-3</v>
      </c>
      <c r="X79" s="12">
        <f t="shared" si="20"/>
        <v>3.1243490939387719E-3</v>
      </c>
      <c r="Y79" s="12">
        <f t="shared" si="21"/>
        <v>-1.814973531635955E-3</v>
      </c>
    </row>
    <row r="80" spans="1:25" x14ac:dyDescent="0.35">
      <c r="A80" s="6">
        <v>44243</v>
      </c>
      <c r="B80" s="8">
        <v>3932.6</v>
      </c>
      <c r="C80" s="2">
        <v>133.19</v>
      </c>
      <c r="D80" s="2">
        <v>114.69</v>
      </c>
      <c r="E80" s="2">
        <v>243.7</v>
      </c>
      <c r="F80" s="2">
        <v>324.62</v>
      </c>
      <c r="G80" s="2">
        <v>165.07</v>
      </c>
      <c r="H80" s="2">
        <v>207.9</v>
      </c>
      <c r="I80" s="2">
        <v>130.68</v>
      </c>
      <c r="J80" s="2">
        <v>217.18</v>
      </c>
      <c r="K80" s="2">
        <v>48.55</v>
      </c>
      <c r="L80" s="2">
        <v>202.38</v>
      </c>
      <c r="M80" s="64">
        <v>4.9800000000000004</v>
      </c>
      <c r="N80" s="1"/>
      <c r="O80" s="12">
        <f t="shared" si="11"/>
        <v>-5.5911355087945314E-4</v>
      </c>
      <c r="P80" s="12">
        <f t="shared" si="12"/>
        <v>-1.6104011228484927E-2</v>
      </c>
      <c r="Q80" s="12">
        <f t="shared" si="13"/>
        <v>-5.980239209568361E-3</v>
      </c>
      <c r="R80" s="12">
        <f t="shared" si="14"/>
        <v>-5.2655210416752141E-3</v>
      </c>
      <c r="S80" s="12">
        <f t="shared" si="15"/>
        <v>-1.102851572020469E-2</v>
      </c>
      <c r="T80" s="12">
        <f t="shared" si="16"/>
        <v>-9.0647136510987325E-3</v>
      </c>
      <c r="U80" s="12">
        <f t="shared" si="17"/>
        <v>-9.811392646218331E-3</v>
      </c>
      <c r="V80" s="12">
        <f t="shared" si="18"/>
        <v>8.1777503471687218E-3</v>
      </c>
      <c r="W80" s="12">
        <f t="shared" si="19"/>
        <v>2.9386671722438251E-2</v>
      </c>
      <c r="X80" s="12">
        <f t="shared" si="20"/>
        <v>8.0980066445182075E-3</v>
      </c>
      <c r="Y80" s="12">
        <f t="shared" si="21"/>
        <v>2.2172837011970259E-2</v>
      </c>
    </row>
    <row r="81" spans="1:25" x14ac:dyDescent="0.35">
      <c r="A81" s="6">
        <v>44244</v>
      </c>
      <c r="B81" s="8">
        <v>3931.3</v>
      </c>
      <c r="C81" s="2">
        <v>130.84</v>
      </c>
      <c r="D81" s="2">
        <v>114.59</v>
      </c>
      <c r="E81" s="2">
        <v>244.2</v>
      </c>
      <c r="F81" s="2">
        <v>326.86</v>
      </c>
      <c r="G81" s="2">
        <v>165.66</v>
      </c>
      <c r="H81" s="2">
        <v>207.51</v>
      </c>
      <c r="I81" s="2">
        <v>128.56</v>
      </c>
      <c r="J81" s="2">
        <v>215.52</v>
      </c>
      <c r="K81" s="2">
        <v>49.07</v>
      </c>
      <c r="L81" s="2">
        <v>202.3</v>
      </c>
      <c r="M81" s="64" t="s">
        <v>77</v>
      </c>
      <c r="N81" s="1"/>
      <c r="O81" s="12">
        <f t="shared" si="11"/>
        <v>-3.30570106290895E-4</v>
      </c>
      <c r="P81" s="12">
        <f t="shared" si="12"/>
        <v>-1.7643967264809657E-2</v>
      </c>
      <c r="Q81" s="12">
        <f t="shared" si="13"/>
        <v>-8.7191559857002776E-4</v>
      </c>
      <c r="R81" s="12">
        <f t="shared" si="14"/>
        <v>2.051702913418163E-3</v>
      </c>
      <c r="S81" s="12">
        <f t="shared" si="15"/>
        <v>6.9003758240404611E-3</v>
      </c>
      <c r="T81" s="12">
        <f t="shared" si="16"/>
        <v>3.574241230992925E-3</v>
      </c>
      <c r="U81" s="12">
        <f t="shared" si="17"/>
        <v>-1.8759018759019197E-3</v>
      </c>
      <c r="V81" s="12">
        <f t="shared" si="18"/>
        <v>-1.6222834404652664E-2</v>
      </c>
      <c r="W81" s="12">
        <f t="shared" si="19"/>
        <v>-7.6434294133898018E-3</v>
      </c>
      <c r="X81" s="12">
        <f t="shared" si="20"/>
        <v>1.0710607621009283E-2</v>
      </c>
      <c r="Y81" s="12">
        <f t="shared" si="21"/>
        <v>-3.9529597786336357E-4</v>
      </c>
    </row>
    <row r="82" spans="1:25" x14ac:dyDescent="0.35">
      <c r="A82" s="6">
        <v>44245</v>
      </c>
      <c r="B82" s="8">
        <v>3914</v>
      </c>
      <c r="C82" s="2">
        <v>129.71</v>
      </c>
      <c r="D82" s="2">
        <v>115.32</v>
      </c>
      <c r="E82" s="2">
        <v>243.79</v>
      </c>
      <c r="F82" s="2">
        <v>328.41</v>
      </c>
      <c r="G82" s="2">
        <v>165.74</v>
      </c>
      <c r="H82" s="2">
        <v>209.35</v>
      </c>
      <c r="I82" s="2">
        <v>128.49</v>
      </c>
      <c r="J82" s="2">
        <v>208.48</v>
      </c>
      <c r="K82" s="2">
        <v>45.89</v>
      </c>
      <c r="L82" s="2">
        <v>199.92</v>
      </c>
      <c r="M82" s="64" t="s">
        <v>77</v>
      </c>
      <c r="N82" s="1"/>
      <c r="O82" s="12">
        <f t="shared" si="11"/>
        <v>-4.4005799608272111E-3</v>
      </c>
      <c r="P82" s="12">
        <f t="shared" si="12"/>
        <v>-8.6365025985937205E-3</v>
      </c>
      <c r="Q82" s="12">
        <f t="shared" si="13"/>
        <v>6.3705384413996757E-3</v>
      </c>
      <c r="R82" s="12">
        <f t="shared" si="14"/>
        <v>-1.6789516789517123E-3</v>
      </c>
      <c r="S82" s="12">
        <f t="shared" si="15"/>
        <v>4.7420914152849214E-3</v>
      </c>
      <c r="T82" s="12">
        <f t="shared" si="16"/>
        <v>4.8291681757817173E-4</v>
      </c>
      <c r="U82" s="12">
        <f t="shared" si="17"/>
        <v>8.8670425521661933E-3</v>
      </c>
      <c r="V82" s="12">
        <f t="shared" si="18"/>
        <v>-5.4449284380830854E-4</v>
      </c>
      <c r="W82" s="12">
        <f t="shared" si="19"/>
        <v>-3.2665181885671912E-2</v>
      </c>
      <c r="X82" s="12">
        <f t="shared" si="20"/>
        <v>-6.480538006928882E-2</v>
      </c>
      <c r="Y82" s="12">
        <f t="shared" si="21"/>
        <v>-1.176470588235301E-2</v>
      </c>
    </row>
    <row r="83" spans="1:25" x14ac:dyDescent="0.35">
      <c r="A83" s="6">
        <v>44246</v>
      </c>
      <c r="B83" s="8">
        <v>3906.7</v>
      </c>
      <c r="C83" s="2">
        <v>129.87</v>
      </c>
      <c r="D83" s="2">
        <v>113.65</v>
      </c>
      <c r="E83" s="2">
        <v>240.97</v>
      </c>
      <c r="F83" s="2">
        <v>324.58</v>
      </c>
      <c r="G83" s="2">
        <v>162.97999999999999</v>
      </c>
      <c r="H83" s="2">
        <v>204.73</v>
      </c>
      <c r="I83" s="2">
        <v>131.71</v>
      </c>
      <c r="J83" s="2">
        <v>217.47</v>
      </c>
      <c r="K83" s="2">
        <v>46.11</v>
      </c>
      <c r="L83" s="2">
        <v>209.91</v>
      </c>
      <c r="M83" s="64" t="s">
        <v>77</v>
      </c>
      <c r="N83" s="1"/>
      <c r="O83" s="12">
        <f t="shared" si="11"/>
        <v>-1.8650996423097421E-3</v>
      </c>
      <c r="P83" s="12">
        <f t="shared" si="12"/>
        <v>1.2335209313083517E-3</v>
      </c>
      <c r="Q83" s="12">
        <f t="shared" si="13"/>
        <v>-1.4481442941380429E-2</v>
      </c>
      <c r="R83" s="12">
        <f t="shared" si="14"/>
        <v>-1.1567332540301067E-2</v>
      </c>
      <c r="S83" s="12">
        <f t="shared" si="15"/>
        <v>-1.166225145397537E-2</v>
      </c>
      <c r="T83" s="12">
        <f t="shared" si="16"/>
        <v>-1.6652588391456669E-2</v>
      </c>
      <c r="U83" s="12">
        <f t="shared" si="17"/>
        <v>-2.2068306663482251E-2</v>
      </c>
      <c r="V83" s="12">
        <f t="shared" si="18"/>
        <v>2.5060315977897041E-2</v>
      </c>
      <c r="W83" s="12">
        <f t="shared" si="19"/>
        <v>4.3121642363775914E-2</v>
      </c>
      <c r="X83" s="12">
        <f t="shared" si="20"/>
        <v>4.7940727827413543E-3</v>
      </c>
      <c r="Y83" s="12">
        <f t="shared" si="21"/>
        <v>4.9969987995198029E-2</v>
      </c>
    </row>
    <row r="84" spans="1:25" x14ac:dyDescent="0.35">
      <c r="A84" s="6">
        <v>44249</v>
      </c>
      <c r="B84" s="8">
        <v>3876.5</v>
      </c>
      <c r="C84" s="2">
        <v>126</v>
      </c>
      <c r="D84" s="2">
        <v>115.44</v>
      </c>
      <c r="E84" s="2">
        <v>234.51</v>
      </c>
      <c r="F84" s="2">
        <v>327.64</v>
      </c>
      <c r="G84" s="2">
        <v>161.87</v>
      </c>
      <c r="H84" s="2">
        <v>208.32</v>
      </c>
      <c r="I84" s="2">
        <v>135.94999999999999</v>
      </c>
      <c r="J84" s="2">
        <v>212.88</v>
      </c>
      <c r="K84" s="2">
        <v>45.9</v>
      </c>
      <c r="L84" s="2">
        <v>218.06</v>
      </c>
      <c r="M84" s="64" t="s">
        <v>77</v>
      </c>
      <c r="N84" s="1"/>
      <c r="O84" s="12">
        <f t="shared" si="11"/>
        <v>-7.7303094683491835E-3</v>
      </c>
      <c r="P84" s="12">
        <f t="shared" si="12"/>
        <v>-2.9799029799029819E-2</v>
      </c>
      <c r="Q84" s="12">
        <f t="shared" si="13"/>
        <v>1.5750109986801597E-2</v>
      </c>
      <c r="R84" s="12">
        <f t="shared" si="14"/>
        <v>-2.680831638793213E-2</v>
      </c>
      <c r="S84" s="12">
        <f t="shared" si="15"/>
        <v>9.4275679339455021E-3</v>
      </c>
      <c r="T84" s="12">
        <f t="shared" si="16"/>
        <v>-6.8106516136948736E-3</v>
      </c>
      <c r="U84" s="12">
        <f t="shared" si="17"/>
        <v>1.7535290382455049E-2</v>
      </c>
      <c r="V84" s="12">
        <f t="shared" si="18"/>
        <v>3.2191936830916257E-2</v>
      </c>
      <c r="W84" s="12">
        <f t="shared" si="19"/>
        <v>-2.1106359497861771E-2</v>
      </c>
      <c r="X84" s="12">
        <f t="shared" si="20"/>
        <v>-4.5543266102797686E-3</v>
      </c>
      <c r="Y84" s="12">
        <f t="shared" si="21"/>
        <v>3.8826163593921326E-2</v>
      </c>
    </row>
    <row r="85" spans="1:25" x14ac:dyDescent="0.35">
      <c r="A85" s="6">
        <v>44250</v>
      </c>
      <c r="B85" s="8">
        <v>3881.4</v>
      </c>
      <c r="C85" s="2">
        <v>125.86</v>
      </c>
      <c r="D85" s="2">
        <v>115.3</v>
      </c>
      <c r="E85" s="2">
        <v>233.27</v>
      </c>
      <c r="F85" s="2">
        <v>329.51</v>
      </c>
      <c r="G85" s="2">
        <v>160.44</v>
      </c>
      <c r="H85" s="2">
        <v>212.11</v>
      </c>
      <c r="I85" s="2">
        <v>136.94</v>
      </c>
      <c r="J85" s="2">
        <v>212.12</v>
      </c>
      <c r="K85" s="2">
        <v>45.16</v>
      </c>
      <c r="L85" s="2">
        <v>220.18</v>
      </c>
      <c r="M85" s="64">
        <v>4.8499999999999996</v>
      </c>
      <c r="N85" s="1"/>
      <c r="O85" s="12">
        <f t="shared" si="11"/>
        <v>1.2640268283246048E-3</v>
      </c>
      <c r="P85" s="12">
        <f t="shared" si="12"/>
        <v>-1.1111111111110628E-3</v>
      </c>
      <c r="Q85" s="12">
        <f t="shared" si="13"/>
        <v>-1.2127512127512174E-3</v>
      </c>
      <c r="R85" s="12">
        <f t="shared" si="14"/>
        <v>-5.2876209969723309E-3</v>
      </c>
      <c r="S85" s="12">
        <f t="shared" si="15"/>
        <v>5.7074838237090031E-3</v>
      </c>
      <c r="T85" s="12">
        <f t="shared" si="16"/>
        <v>-8.8342497065546643E-3</v>
      </c>
      <c r="U85" s="12">
        <f t="shared" si="17"/>
        <v>1.8193164362519276E-2</v>
      </c>
      <c r="V85" s="12">
        <f t="shared" si="18"/>
        <v>7.282089003310066E-3</v>
      </c>
      <c r="W85" s="12">
        <f t="shared" si="19"/>
        <v>-3.5700864336715155E-3</v>
      </c>
      <c r="X85" s="12">
        <f t="shared" si="20"/>
        <v>-1.6122004357298492E-2</v>
      </c>
      <c r="Y85" s="12">
        <f t="shared" si="21"/>
        <v>9.7220948362837234E-3</v>
      </c>
    </row>
    <row r="86" spans="1:25" x14ac:dyDescent="0.35">
      <c r="A86" s="6">
        <v>44251</v>
      </c>
      <c r="B86" s="8">
        <v>3925.4</v>
      </c>
      <c r="C86" s="2">
        <v>125.35</v>
      </c>
      <c r="D86" s="2">
        <v>117.69</v>
      </c>
      <c r="E86" s="2">
        <v>234.55</v>
      </c>
      <c r="F86" s="2">
        <v>332.21</v>
      </c>
      <c r="G86" s="2">
        <v>162.59</v>
      </c>
      <c r="H86" s="2">
        <v>219.43</v>
      </c>
      <c r="I86" s="2">
        <v>139.88999999999999</v>
      </c>
      <c r="J86" s="2">
        <v>229.34</v>
      </c>
      <c r="K86" s="2">
        <v>44.4</v>
      </c>
      <c r="L86" s="2">
        <v>222.47</v>
      </c>
      <c r="M86" s="64" t="s">
        <v>77</v>
      </c>
      <c r="N86" s="1"/>
      <c r="O86" s="12">
        <f t="shared" si="11"/>
        <v>1.1336115834492677E-2</v>
      </c>
      <c r="P86" s="12">
        <f t="shared" si="12"/>
        <v>-4.0521214047354315E-3</v>
      </c>
      <c r="Q86" s="12">
        <f t="shared" si="13"/>
        <v>2.0728534258456222E-2</v>
      </c>
      <c r="R86" s="12">
        <f t="shared" si="14"/>
        <v>5.4872036695674531E-3</v>
      </c>
      <c r="S86" s="12">
        <f t="shared" si="15"/>
        <v>8.1939850080421373E-3</v>
      </c>
      <c r="T86" s="12">
        <f t="shared" si="16"/>
        <v>1.3400648217402278E-2</v>
      </c>
      <c r="U86" s="12">
        <f t="shared" si="17"/>
        <v>3.4510395549478989E-2</v>
      </c>
      <c r="V86" s="12">
        <f t="shared" si="18"/>
        <v>2.1542281291076382E-2</v>
      </c>
      <c r="W86" s="12">
        <f t="shared" si="19"/>
        <v>8.1180463888365084E-2</v>
      </c>
      <c r="X86" s="12">
        <f t="shared" si="20"/>
        <v>-1.6829052258635957E-2</v>
      </c>
      <c r="Y86" s="12">
        <f t="shared" si="21"/>
        <v>1.0400581342537851E-2</v>
      </c>
    </row>
    <row r="87" spans="1:25" x14ac:dyDescent="0.35">
      <c r="A87" s="6">
        <v>44252</v>
      </c>
      <c r="B87" s="8">
        <v>3829.3</v>
      </c>
      <c r="C87" s="2">
        <v>120.99</v>
      </c>
      <c r="D87" s="2">
        <v>116.98</v>
      </c>
      <c r="E87" s="2">
        <v>228.99</v>
      </c>
      <c r="F87" s="2">
        <v>328.87</v>
      </c>
      <c r="G87" s="2">
        <v>162.76</v>
      </c>
      <c r="H87" s="2">
        <v>213.75</v>
      </c>
      <c r="I87" s="2">
        <v>137.08000000000001</v>
      </c>
      <c r="J87" s="2">
        <v>216.45</v>
      </c>
      <c r="K87" s="2">
        <v>43.98</v>
      </c>
      <c r="L87" s="2">
        <v>221.82</v>
      </c>
      <c r="M87" s="64" t="s">
        <v>77</v>
      </c>
      <c r="N87" s="1"/>
      <c r="O87" s="12">
        <f t="shared" si="11"/>
        <v>-2.4481581494879445E-2</v>
      </c>
      <c r="P87" s="12">
        <f t="shared" si="12"/>
        <v>-3.4782608695652195E-2</v>
      </c>
      <c r="Q87" s="12">
        <f t="shared" si="13"/>
        <v>-6.0327980287194771E-3</v>
      </c>
      <c r="R87" s="12">
        <f t="shared" si="14"/>
        <v>-2.3704966958004725E-2</v>
      </c>
      <c r="S87" s="12">
        <f t="shared" si="15"/>
        <v>-1.0053881580927682E-2</v>
      </c>
      <c r="T87" s="12">
        <f t="shared" si="16"/>
        <v>1.0455747585951247E-3</v>
      </c>
      <c r="U87" s="12">
        <f t="shared" si="17"/>
        <v>-2.5885248142915818E-2</v>
      </c>
      <c r="V87" s="12">
        <f t="shared" si="18"/>
        <v>-2.0087211380370062E-2</v>
      </c>
      <c r="W87" s="12">
        <f t="shared" si="19"/>
        <v>-5.6204761489491606E-2</v>
      </c>
      <c r="X87" s="12">
        <f t="shared" si="20"/>
        <v>-9.4594594594594739E-3</v>
      </c>
      <c r="Y87" s="12">
        <f t="shared" si="21"/>
        <v>-2.9217422573830643E-3</v>
      </c>
    </row>
    <row r="88" spans="1:25" x14ac:dyDescent="0.35">
      <c r="A88" s="6">
        <v>44253</v>
      </c>
      <c r="B88" s="8">
        <v>3811.2</v>
      </c>
      <c r="C88" s="2">
        <v>121.26</v>
      </c>
      <c r="D88" s="2">
        <v>113.6</v>
      </c>
      <c r="E88" s="2">
        <v>232.38</v>
      </c>
      <c r="F88" s="2">
        <v>332.22</v>
      </c>
      <c r="G88" s="2">
        <v>158.46</v>
      </c>
      <c r="H88" s="2">
        <v>212.39</v>
      </c>
      <c r="I88" s="2">
        <v>135.26</v>
      </c>
      <c r="J88" s="2">
        <v>212.01</v>
      </c>
      <c r="K88" s="2">
        <v>43.31</v>
      </c>
      <c r="L88" s="2">
        <v>215.88</v>
      </c>
      <c r="M88" s="64" t="s">
        <v>77</v>
      </c>
      <c r="N88" s="1"/>
      <c r="O88" s="12">
        <f t="shared" si="11"/>
        <v>-4.7267124539733807E-3</v>
      </c>
      <c r="P88" s="12">
        <f t="shared" si="12"/>
        <v>2.231589387552857E-3</v>
      </c>
      <c r="Q88" s="12">
        <f t="shared" si="13"/>
        <v>-2.8893828004787236E-2</v>
      </c>
      <c r="R88" s="12">
        <f t="shared" si="14"/>
        <v>1.4804139918773718E-2</v>
      </c>
      <c r="S88" s="12">
        <f t="shared" si="15"/>
        <v>1.0186395840301676E-2</v>
      </c>
      <c r="T88" s="12">
        <f t="shared" si="16"/>
        <v>-2.6419267633325028E-2</v>
      </c>
      <c r="U88" s="12">
        <f t="shared" si="17"/>
        <v>-6.3625730994152363E-3</v>
      </c>
      <c r="V88" s="12">
        <f t="shared" si="18"/>
        <v>-1.3276918587686204E-2</v>
      </c>
      <c r="W88" s="12">
        <f t="shared" si="19"/>
        <v>-2.0512820512820551E-2</v>
      </c>
      <c r="X88" s="12">
        <f t="shared" si="20"/>
        <v>-1.5234197362437363E-2</v>
      </c>
      <c r="Y88" s="12">
        <f t="shared" si="21"/>
        <v>-2.6778469028942431E-2</v>
      </c>
    </row>
    <row r="89" spans="1:25" x14ac:dyDescent="0.35">
      <c r="A89" s="6">
        <v>44256</v>
      </c>
      <c r="B89" s="8">
        <v>3901.8</v>
      </c>
      <c r="C89" s="2">
        <v>127.79</v>
      </c>
      <c r="D89" s="2">
        <v>115.33</v>
      </c>
      <c r="E89" s="2">
        <v>236.94</v>
      </c>
      <c r="F89" s="2">
        <v>334.65</v>
      </c>
      <c r="G89" s="2">
        <v>159.32</v>
      </c>
      <c r="H89" s="2">
        <v>216.63</v>
      </c>
      <c r="I89" s="2">
        <v>138.71</v>
      </c>
      <c r="J89" s="2">
        <v>224.39</v>
      </c>
      <c r="K89" s="2">
        <v>43.79</v>
      </c>
      <c r="L89" s="2">
        <v>219.76</v>
      </c>
      <c r="M89" s="64" t="s">
        <v>77</v>
      </c>
      <c r="N89" s="1"/>
      <c r="O89" s="12">
        <f t="shared" si="11"/>
        <v>2.3772040302267206E-2</v>
      </c>
      <c r="P89" s="12">
        <f t="shared" si="12"/>
        <v>5.3851228764637993E-2</v>
      </c>
      <c r="Q89" s="12">
        <f t="shared" si="13"/>
        <v>1.5228873239436558E-2</v>
      </c>
      <c r="R89" s="12">
        <f t="shared" si="14"/>
        <v>1.9623031241931432E-2</v>
      </c>
      <c r="S89" s="12">
        <f t="shared" si="15"/>
        <v>7.3144301968572911E-3</v>
      </c>
      <c r="T89" s="12">
        <f t="shared" si="16"/>
        <v>5.4272371576422618E-3</v>
      </c>
      <c r="U89" s="12">
        <f t="shared" si="17"/>
        <v>1.9963275107114375E-2</v>
      </c>
      <c r="V89" s="12">
        <f t="shared" si="18"/>
        <v>2.5506432056779715E-2</v>
      </c>
      <c r="W89" s="12">
        <f t="shared" si="19"/>
        <v>5.8393472006037506E-2</v>
      </c>
      <c r="X89" s="12">
        <f t="shared" si="20"/>
        <v>1.1082890787347033E-2</v>
      </c>
      <c r="Y89" s="12">
        <f t="shared" si="21"/>
        <v>1.7972947934037364E-2</v>
      </c>
    </row>
    <row r="90" spans="1:25" x14ac:dyDescent="0.35">
      <c r="A90" s="6">
        <v>44257</v>
      </c>
      <c r="B90" s="8">
        <v>3870.3</v>
      </c>
      <c r="C90" s="2">
        <v>125.12</v>
      </c>
      <c r="D90" s="2">
        <v>114.93</v>
      </c>
      <c r="E90" s="2">
        <v>233.87</v>
      </c>
      <c r="F90" s="2">
        <v>334.64</v>
      </c>
      <c r="G90" s="2">
        <v>159.02000000000001</v>
      </c>
      <c r="H90" s="2">
        <v>215.77</v>
      </c>
      <c r="I90" s="2">
        <v>139.25</v>
      </c>
      <c r="J90" s="2">
        <v>223.14</v>
      </c>
      <c r="K90" s="2">
        <v>43.37</v>
      </c>
      <c r="L90" s="2">
        <v>215.82</v>
      </c>
      <c r="M90" s="64">
        <v>4.8099999999999996</v>
      </c>
      <c r="N90" s="1"/>
      <c r="O90" s="12">
        <f t="shared" si="11"/>
        <v>-8.0731969860065034E-3</v>
      </c>
      <c r="P90" s="12">
        <f t="shared" si="12"/>
        <v>-2.0893653650520427E-2</v>
      </c>
      <c r="Q90" s="12">
        <f t="shared" si="13"/>
        <v>-3.4683083326106923E-3</v>
      </c>
      <c r="R90" s="12">
        <f t="shared" si="14"/>
        <v>-1.2956866717312332E-2</v>
      </c>
      <c r="S90" s="12">
        <f t="shared" si="15"/>
        <v>-2.9881966233324952E-5</v>
      </c>
      <c r="T90" s="12">
        <f t="shared" si="16"/>
        <v>-1.8830027617372513E-3</v>
      </c>
      <c r="U90" s="12">
        <f t="shared" si="17"/>
        <v>-3.969902598901287E-3</v>
      </c>
      <c r="V90" s="12">
        <f t="shared" si="18"/>
        <v>3.8930142022925995E-3</v>
      </c>
      <c r="W90" s="12">
        <f t="shared" si="19"/>
        <v>-5.5706582289762885E-3</v>
      </c>
      <c r="X90" s="12">
        <f t="shared" si="20"/>
        <v>-9.5912308746289865E-3</v>
      </c>
      <c r="Y90" s="12">
        <f t="shared" si="21"/>
        <v>-1.7928649435748123E-2</v>
      </c>
    </row>
    <row r="91" spans="1:25" x14ac:dyDescent="0.35">
      <c r="A91" s="6">
        <v>44258</v>
      </c>
      <c r="B91" s="8">
        <v>3819.7</v>
      </c>
      <c r="C91" s="2">
        <v>122.06</v>
      </c>
      <c r="D91" s="2">
        <v>116.87</v>
      </c>
      <c r="E91" s="2">
        <v>227.56</v>
      </c>
      <c r="F91" s="2">
        <v>332.87</v>
      </c>
      <c r="G91" s="2">
        <v>156.22</v>
      </c>
      <c r="H91" s="2">
        <v>214.85</v>
      </c>
      <c r="I91" s="2">
        <v>142.59</v>
      </c>
      <c r="J91" s="2">
        <v>228.56</v>
      </c>
      <c r="K91" s="2">
        <v>42.53</v>
      </c>
      <c r="L91" s="2">
        <v>214.91</v>
      </c>
      <c r="M91" s="64" t="s">
        <v>77</v>
      </c>
      <c r="N91" s="1"/>
      <c r="O91" s="12">
        <f t="shared" si="11"/>
        <v>-1.3073921918197673E-2</v>
      </c>
      <c r="P91" s="12">
        <f t="shared" si="12"/>
        <v>-2.4456521739130488E-2</v>
      </c>
      <c r="Q91" s="12">
        <f t="shared" si="13"/>
        <v>1.6879839902549376E-2</v>
      </c>
      <c r="R91" s="12">
        <f t="shared" si="14"/>
        <v>-2.6980801299867463E-2</v>
      </c>
      <c r="S91" s="12">
        <f t="shared" si="15"/>
        <v>-5.2892660769782163E-3</v>
      </c>
      <c r="T91" s="12">
        <f t="shared" si="16"/>
        <v>-1.760784806942528E-2</v>
      </c>
      <c r="U91" s="12">
        <f t="shared" si="17"/>
        <v>-4.2637994160449333E-3</v>
      </c>
      <c r="V91" s="12">
        <f t="shared" si="18"/>
        <v>2.3985637342908372E-2</v>
      </c>
      <c r="W91" s="12">
        <f t="shared" si="19"/>
        <v>2.428968360670436E-2</v>
      </c>
      <c r="X91" s="12">
        <f t="shared" si="20"/>
        <v>-1.936822688494344E-2</v>
      </c>
      <c r="Y91" s="12">
        <f t="shared" si="21"/>
        <v>-4.2164766935408604E-3</v>
      </c>
    </row>
    <row r="92" spans="1:25" x14ac:dyDescent="0.35">
      <c r="A92" s="6">
        <v>44259</v>
      </c>
      <c r="B92" s="8">
        <v>3768.5</v>
      </c>
      <c r="C92" s="2">
        <v>120.13</v>
      </c>
      <c r="D92" s="2">
        <v>114.72</v>
      </c>
      <c r="E92" s="2">
        <v>226.73</v>
      </c>
      <c r="F92" s="2">
        <v>333.81</v>
      </c>
      <c r="G92" s="2">
        <v>153.07</v>
      </c>
      <c r="H92" s="2">
        <v>211.5</v>
      </c>
      <c r="I92" s="2">
        <v>142.68</v>
      </c>
      <c r="J92" s="2">
        <v>224.71</v>
      </c>
      <c r="K92" s="2">
        <v>42.51</v>
      </c>
      <c r="L92" s="2">
        <v>212.77</v>
      </c>
      <c r="M92" s="64" t="s">
        <v>77</v>
      </c>
      <c r="N92" s="1"/>
      <c r="O92" s="12">
        <f t="shared" si="11"/>
        <v>-1.3404194046652829E-2</v>
      </c>
      <c r="P92" s="12">
        <f t="shared" si="12"/>
        <v>-1.5811895788956254E-2</v>
      </c>
      <c r="Q92" s="12">
        <f t="shared" si="13"/>
        <v>-1.8396508941559087E-2</v>
      </c>
      <c r="R92" s="12">
        <f t="shared" si="14"/>
        <v>-3.6473896994200228E-3</v>
      </c>
      <c r="S92" s="12">
        <f t="shared" si="15"/>
        <v>2.8239252561059747E-3</v>
      </c>
      <c r="T92" s="12">
        <f t="shared" si="16"/>
        <v>-2.0163871463320993E-2</v>
      </c>
      <c r="U92" s="12">
        <f t="shared" si="17"/>
        <v>-1.5592273679311153E-2</v>
      </c>
      <c r="V92" s="12">
        <f t="shared" si="18"/>
        <v>6.3118030717435047E-4</v>
      </c>
      <c r="W92" s="12">
        <f t="shared" si="19"/>
        <v>-1.6844592229611433E-2</v>
      </c>
      <c r="X92" s="12">
        <f t="shared" si="20"/>
        <v>-4.7025628967789501E-4</v>
      </c>
      <c r="Y92" s="12">
        <f t="shared" si="21"/>
        <v>-9.9576566934995725E-3</v>
      </c>
    </row>
    <row r="93" spans="1:25" x14ac:dyDescent="0.35">
      <c r="A93" s="6">
        <v>44260</v>
      </c>
      <c r="B93" s="8">
        <v>3841.9</v>
      </c>
      <c r="C93" s="2">
        <v>121.42</v>
      </c>
      <c r="D93" s="2">
        <v>117.32</v>
      </c>
      <c r="E93" s="2">
        <v>231.6</v>
      </c>
      <c r="F93" s="2">
        <v>347.1</v>
      </c>
      <c r="G93" s="2">
        <v>156.1</v>
      </c>
      <c r="H93" s="2">
        <v>215.41</v>
      </c>
      <c r="I93" s="2">
        <v>147.33000000000001</v>
      </c>
      <c r="J93" s="2">
        <v>223.22</v>
      </c>
      <c r="K93" s="2">
        <v>43.04</v>
      </c>
      <c r="L93" s="2">
        <v>220.16</v>
      </c>
      <c r="M93" s="64" t="s">
        <v>77</v>
      </c>
      <c r="N93" s="1"/>
      <c r="O93" s="12">
        <f t="shared" si="11"/>
        <v>1.9477245588430447E-2</v>
      </c>
      <c r="P93" s="12">
        <f t="shared" si="12"/>
        <v>1.0738366769333263E-2</v>
      </c>
      <c r="Q93" s="12">
        <f t="shared" si="13"/>
        <v>2.2663877266387633E-2</v>
      </c>
      <c r="R93" s="12">
        <f t="shared" si="14"/>
        <v>2.1479292550610873E-2</v>
      </c>
      <c r="S93" s="12">
        <f t="shared" si="15"/>
        <v>3.9813067313741346E-2</v>
      </c>
      <c r="T93" s="12">
        <f t="shared" si="16"/>
        <v>1.9794865094401315E-2</v>
      </c>
      <c r="U93" s="12">
        <f t="shared" si="17"/>
        <v>1.8486997635933866E-2</v>
      </c>
      <c r="V93" s="12">
        <f t="shared" si="18"/>
        <v>3.2590412111017653E-2</v>
      </c>
      <c r="W93" s="12">
        <f t="shared" si="19"/>
        <v>-6.6307685461262089E-3</v>
      </c>
      <c r="X93" s="12">
        <f t="shared" si="20"/>
        <v>1.2467654669489514E-2</v>
      </c>
      <c r="Y93" s="12">
        <f t="shared" si="21"/>
        <v>3.4732340085538382E-2</v>
      </c>
    </row>
    <row r="94" spans="1:25" x14ac:dyDescent="0.35">
      <c r="A94" s="6">
        <v>44263</v>
      </c>
      <c r="B94" s="8">
        <v>3821.3</v>
      </c>
      <c r="C94" s="2">
        <v>116.36</v>
      </c>
      <c r="D94" s="2">
        <v>119.21</v>
      </c>
      <c r="E94" s="2">
        <v>227.39</v>
      </c>
      <c r="F94" s="2">
        <v>350.17</v>
      </c>
      <c r="G94" s="2">
        <v>157.4</v>
      </c>
      <c r="H94" s="2">
        <v>220.27</v>
      </c>
      <c r="I94" s="2">
        <v>150.27000000000001</v>
      </c>
      <c r="J94" s="2">
        <v>224.03</v>
      </c>
      <c r="K94" s="2">
        <v>42.63</v>
      </c>
      <c r="L94" s="2">
        <v>221.58</v>
      </c>
      <c r="M94" s="64" t="s">
        <v>77</v>
      </c>
      <c r="N94" s="1"/>
      <c r="O94" s="12">
        <f t="shared" si="11"/>
        <v>-5.3619302949061698E-3</v>
      </c>
      <c r="P94" s="12">
        <f t="shared" si="12"/>
        <v>-4.1673529896227968E-2</v>
      </c>
      <c r="Q94" s="12">
        <f t="shared" si="13"/>
        <v>1.6109785202863991E-2</v>
      </c>
      <c r="R94" s="12">
        <f t="shared" si="14"/>
        <v>-1.8177892918825544E-2</v>
      </c>
      <c r="S94" s="12">
        <f t="shared" si="15"/>
        <v>8.8447133390954225E-3</v>
      </c>
      <c r="T94" s="12">
        <f t="shared" si="16"/>
        <v>8.3279948750800692E-3</v>
      </c>
      <c r="U94" s="12">
        <f t="shared" si="17"/>
        <v>2.2561626665428713E-2</v>
      </c>
      <c r="V94" s="12">
        <f t="shared" si="18"/>
        <v>1.9955202606393829E-2</v>
      </c>
      <c r="W94" s="12">
        <f t="shared" si="19"/>
        <v>3.6287071050982167E-3</v>
      </c>
      <c r="X94" s="12">
        <f t="shared" si="20"/>
        <v>-9.526022304832682E-3</v>
      </c>
      <c r="Y94" s="12">
        <f t="shared" si="21"/>
        <v>6.4498546511628785E-3</v>
      </c>
    </row>
    <row r="95" spans="1:25" x14ac:dyDescent="0.35">
      <c r="A95" s="6">
        <v>44264</v>
      </c>
      <c r="B95" s="8">
        <v>3875.4</v>
      </c>
      <c r="C95" s="2">
        <v>121.08</v>
      </c>
      <c r="D95" s="2">
        <v>118.61</v>
      </c>
      <c r="E95" s="2">
        <v>233.78</v>
      </c>
      <c r="F95" s="2">
        <v>351.98</v>
      </c>
      <c r="G95" s="2">
        <v>157.69999999999999</v>
      </c>
      <c r="H95" s="2">
        <v>220.36</v>
      </c>
      <c r="I95" s="2">
        <v>145.1</v>
      </c>
      <c r="J95" s="2">
        <v>230.61</v>
      </c>
      <c r="K95" s="2">
        <v>42.96</v>
      </c>
      <c r="L95" s="2">
        <v>216.8</v>
      </c>
      <c r="M95" s="64">
        <v>4.95</v>
      </c>
      <c r="N95" s="1"/>
      <c r="O95" s="12">
        <f t="shared" si="11"/>
        <v>1.4157485672415149E-2</v>
      </c>
      <c r="P95" s="12">
        <f t="shared" si="12"/>
        <v>4.0563767617737945E-2</v>
      </c>
      <c r="Q95" s="12">
        <f t="shared" si="13"/>
        <v>-5.0331348041271484E-3</v>
      </c>
      <c r="R95" s="12">
        <f t="shared" si="14"/>
        <v>2.8101499626193016E-2</v>
      </c>
      <c r="S95" s="12">
        <f t="shared" si="15"/>
        <v>5.1689179541365426E-3</v>
      </c>
      <c r="T95" s="12">
        <f t="shared" si="16"/>
        <v>1.9059720457432761E-3</v>
      </c>
      <c r="U95" s="12">
        <f t="shared" si="17"/>
        <v>4.0858945839206129E-4</v>
      </c>
      <c r="V95" s="12">
        <f t="shared" si="18"/>
        <v>-3.4404738138018365E-2</v>
      </c>
      <c r="W95" s="12">
        <f t="shared" si="19"/>
        <v>2.9371066375039057E-2</v>
      </c>
      <c r="X95" s="12">
        <f t="shared" si="20"/>
        <v>7.7410274454610128E-3</v>
      </c>
      <c r="Y95" s="12">
        <f t="shared" si="21"/>
        <v>-2.1572344074374916E-2</v>
      </c>
    </row>
    <row r="96" spans="1:25" x14ac:dyDescent="0.35">
      <c r="A96" s="6">
        <v>44265</v>
      </c>
      <c r="B96" s="8">
        <v>3898.8</v>
      </c>
      <c r="C96" s="2">
        <v>119.98</v>
      </c>
      <c r="D96" s="2">
        <v>122.14</v>
      </c>
      <c r="E96" s="2">
        <v>232.42</v>
      </c>
      <c r="F96" s="2">
        <v>349.6</v>
      </c>
      <c r="G96" s="2">
        <v>159.15</v>
      </c>
      <c r="H96" s="2">
        <v>223.17</v>
      </c>
      <c r="I96" s="2">
        <v>146.75</v>
      </c>
      <c r="J96" s="2">
        <v>245.34</v>
      </c>
      <c r="K96" s="2">
        <v>44.06</v>
      </c>
      <c r="L96" s="2">
        <v>221.06</v>
      </c>
      <c r="M96" s="64" t="s">
        <v>77</v>
      </c>
      <c r="N96" s="1"/>
      <c r="O96" s="12">
        <f t="shared" si="11"/>
        <v>6.0380863910822757E-3</v>
      </c>
      <c r="P96" s="12">
        <f t="shared" si="12"/>
        <v>-9.0849025437726993E-3</v>
      </c>
      <c r="Q96" s="12">
        <f t="shared" si="13"/>
        <v>2.976140291712337E-2</v>
      </c>
      <c r="R96" s="12">
        <f t="shared" si="14"/>
        <v>-5.8174351954829451E-3</v>
      </c>
      <c r="S96" s="12">
        <f t="shared" si="15"/>
        <v>-6.7617478265810105E-3</v>
      </c>
      <c r="T96" s="12">
        <f t="shared" si="16"/>
        <v>9.1946734305645705E-3</v>
      </c>
      <c r="U96" s="12">
        <f t="shared" si="17"/>
        <v>1.2751860591758923E-2</v>
      </c>
      <c r="V96" s="12">
        <f t="shared" si="18"/>
        <v>1.1371467953135816E-2</v>
      </c>
      <c r="W96" s="12">
        <f t="shared" si="19"/>
        <v>6.3874073110446128E-2</v>
      </c>
      <c r="X96" s="12">
        <f t="shared" si="20"/>
        <v>2.5605214152700118E-2</v>
      </c>
      <c r="Y96" s="12">
        <f t="shared" si="21"/>
        <v>1.9649446494464984E-2</v>
      </c>
    </row>
    <row r="97" spans="1:25" x14ac:dyDescent="0.35">
      <c r="A97" s="6">
        <v>44266</v>
      </c>
      <c r="B97" s="8">
        <v>3939.3</v>
      </c>
      <c r="C97" s="2">
        <v>121.96</v>
      </c>
      <c r="D97" s="2">
        <v>121.44</v>
      </c>
      <c r="E97" s="2">
        <v>237.13</v>
      </c>
      <c r="F97" s="2">
        <v>353.1</v>
      </c>
      <c r="G97" s="2">
        <v>159.13999999999999</v>
      </c>
      <c r="H97" s="2">
        <v>226.15</v>
      </c>
      <c r="I97" s="2">
        <v>147.75</v>
      </c>
      <c r="J97" s="2">
        <v>252</v>
      </c>
      <c r="K97" s="2">
        <v>44.04</v>
      </c>
      <c r="L97" s="2">
        <v>219.76</v>
      </c>
      <c r="M97" s="64" t="s">
        <v>77</v>
      </c>
      <c r="N97" s="1"/>
      <c r="O97" s="12">
        <f t="shared" si="11"/>
        <v>1.0387811634348987E-2</v>
      </c>
      <c r="P97" s="12">
        <f t="shared" si="12"/>
        <v>1.6502750458409654E-2</v>
      </c>
      <c r="Q97" s="12">
        <f t="shared" si="13"/>
        <v>-5.7311282135255048E-3</v>
      </c>
      <c r="R97" s="12">
        <f t="shared" si="14"/>
        <v>2.0265037432234845E-2</v>
      </c>
      <c r="S97" s="12">
        <f t="shared" si="15"/>
        <v>1.0011441647597152E-2</v>
      </c>
      <c r="T97" s="12">
        <f t="shared" si="16"/>
        <v>-6.2833804586936992E-5</v>
      </c>
      <c r="U97" s="12">
        <f t="shared" si="17"/>
        <v>1.3353049244970272E-2</v>
      </c>
      <c r="V97" s="12">
        <f t="shared" si="18"/>
        <v>6.8143100511073307E-3</v>
      </c>
      <c r="W97" s="12">
        <f t="shared" si="19"/>
        <v>2.7146001467351466E-2</v>
      </c>
      <c r="X97" s="12">
        <f t="shared" si="20"/>
        <v>-4.5392646391295699E-4</v>
      </c>
      <c r="Y97" s="12">
        <f t="shared" si="21"/>
        <v>-5.8807563557405906E-3</v>
      </c>
    </row>
    <row r="98" spans="1:25" x14ac:dyDescent="0.35">
      <c r="A98" s="6">
        <v>44267</v>
      </c>
      <c r="B98" s="8">
        <v>3943.3</v>
      </c>
      <c r="C98" s="2">
        <v>121.03</v>
      </c>
      <c r="D98" s="2">
        <v>121.89</v>
      </c>
      <c r="E98" s="2">
        <v>235.75</v>
      </c>
      <c r="F98" s="2">
        <v>356.02</v>
      </c>
      <c r="G98" s="2">
        <v>159.6</v>
      </c>
      <c r="H98" s="2">
        <v>224.36</v>
      </c>
      <c r="I98" s="2">
        <v>148.54</v>
      </c>
      <c r="J98" s="2">
        <v>269.19</v>
      </c>
      <c r="K98" s="2">
        <v>44.71</v>
      </c>
      <c r="L98" s="2">
        <v>229</v>
      </c>
      <c r="M98" s="64" t="s">
        <v>77</v>
      </c>
      <c r="N98" s="1"/>
      <c r="O98" s="12">
        <f t="shared" si="11"/>
        <v>1.0154088289797691E-3</v>
      </c>
      <c r="P98" s="12">
        <f t="shared" si="12"/>
        <v>-7.6254509675303117E-3</v>
      </c>
      <c r="Q98" s="12">
        <f t="shared" si="13"/>
        <v>3.7055335968378955E-3</v>
      </c>
      <c r="R98" s="12">
        <f t="shared" si="14"/>
        <v>-5.8195926285159461E-3</v>
      </c>
      <c r="S98" s="12">
        <f t="shared" si="15"/>
        <v>8.2696120079297497E-3</v>
      </c>
      <c r="T98" s="12">
        <f t="shared" si="16"/>
        <v>2.8905366344100791E-3</v>
      </c>
      <c r="U98" s="12">
        <f t="shared" si="17"/>
        <v>-7.9151005969488875E-3</v>
      </c>
      <c r="V98" s="12">
        <f t="shared" si="18"/>
        <v>5.346869712351987E-3</v>
      </c>
      <c r="W98" s="12">
        <f t="shared" si="19"/>
        <v>6.8214285714285783E-2</v>
      </c>
      <c r="X98" s="12">
        <f t="shared" si="20"/>
        <v>1.5213442325159088E-2</v>
      </c>
      <c r="Y98" s="12">
        <f t="shared" si="21"/>
        <v>4.2045868219876326E-2</v>
      </c>
    </row>
    <row r="99" spans="1:25" x14ac:dyDescent="0.35">
      <c r="A99" s="6">
        <v>44270</v>
      </c>
      <c r="B99" s="8">
        <v>3968.9</v>
      </c>
      <c r="C99" s="2">
        <v>123.99</v>
      </c>
      <c r="D99" s="2">
        <v>122.81</v>
      </c>
      <c r="E99" s="2">
        <v>234.81</v>
      </c>
      <c r="F99" s="2">
        <v>353.88</v>
      </c>
      <c r="G99" s="2">
        <v>160.41999999999999</v>
      </c>
      <c r="H99" s="2">
        <v>223.27</v>
      </c>
      <c r="I99" s="2">
        <v>146.99</v>
      </c>
      <c r="J99" s="2">
        <v>265.63</v>
      </c>
      <c r="K99" s="2">
        <v>44.48</v>
      </c>
      <c r="L99" s="2">
        <v>230.74</v>
      </c>
      <c r="M99" s="64" t="s">
        <v>77</v>
      </c>
      <c r="N99" s="1"/>
      <c r="O99" s="12">
        <f t="shared" si="11"/>
        <v>6.4920244465296317E-3</v>
      </c>
      <c r="P99" s="12">
        <f t="shared" si="12"/>
        <v>2.4456746261257489E-2</v>
      </c>
      <c r="Q99" s="12">
        <f t="shared" si="13"/>
        <v>7.5477889900730233E-3</v>
      </c>
      <c r="R99" s="12">
        <f t="shared" si="14"/>
        <v>-3.9872746553551996E-3</v>
      </c>
      <c r="S99" s="12">
        <f t="shared" si="15"/>
        <v>-6.0108982641424724E-3</v>
      </c>
      <c r="T99" s="12">
        <f t="shared" si="16"/>
        <v>5.1378446115288856E-3</v>
      </c>
      <c r="U99" s="12">
        <f t="shared" si="17"/>
        <v>-4.8582635050811174E-3</v>
      </c>
      <c r="V99" s="12">
        <f t="shared" si="18"/>
        <v>-1.0434899690318966E-2</v>
      </c>
      <c r="W99" s="12">
        <f t="shared" si="19"/>
        <v>-1.3224859764478625E-2</v>
      </c>
      <c r="X99" s="12">
        <f t="shared" si="20"/>
        <v>-5.1442630284053159E-3</v>
      </c>
      <c r="Y99" s="12">
        <f t="shared" si="21"/>
        <v>7.5982532751091014E-3</v>
      </c>
    </row>
    <row r="100" spans="1:25" x14ac:dyDescent="0.35">
      <c r="A100" s="6">
        <v>44271</v>
      </c>
      <c r="B100" s="8">
        <v>3962.7</v>
      </c>
      <c r="C100" s="2">
        <v>125.57</v>
      </c>
      <c r="D100" s="2">
        <v>122.49</v>
      </c>
      <c r="E100" s="2">
        <v>237.71</v>
      </c>
      <c r="F100" s="2">
        <v>354.6</v>
      </c>
      <c r="G100" s="2">
        <v>161.37</v>
      </c>
      <c r="H100" s="2">
        <v>224.7</v>
      </c>
      <c r="I100" s="2">
        <v>143.30000000000001</v>
      </c>
      <c r="J100" s="2">
        <v>255.21</v>
      </c>
      <c r="K100" s="2">
        <v>44.46</v>
      </c>
      <c r="L100" s="2">
        <v>226.46</v>
      </c>
      <c r="M100" s="64">
        <v>4.9000000000000004</v>
      </c>
      <c r="N100" s="1"/>
      <c r="O100" s="12">
        <f t="shared" si="11"/>
        <v>-1.5621456826829805E-3</v>
      </c>
      <c r="P100" s="12">
        <f t="shared" si="12"/>
        <v>1.2742963142188923E-2</v>
      </c>
      <c r="Q100" s="12">
        <f t="shared" si="13"/>
        <v>-2.6056510056184923E-3</v>
      </c>
      <c r="R100" s="12">
        <f t="shared" si="14"/>
        <v>1.2350410970571879E-2</v>
      </c>
      <c r="S100" s="12">
        <f t="shared" si="15"/>
        <v>2.0345879959309254E-3</v>
      </c>
      <c r="T100" s="12">
        <f t="shared" si="16"/>
        <v>5.9219548684703582E-3</v>
      </c>
      <c r="U100" s="12">
        <f t="shared" si="17"/>
        <v>6.4048013615800592E-3</v>
      </c>
      <c r="V100" s="12">
        <f t="shared" si="18"/>
        <v>-2.5103748554323402E-2</v>
      </c>
      <c r="W100" s="12">
        <f t="shared" si="19"/>
        <v>-3.9227496894176039E-2</v>
      </c>
      <c r="X100" s="12">
        <f t="shared" si="20"/>
        <v>-4.4964028776972587E-4</v>
      </c>
      <c r="Y100" s="12">
        <f t="shared" si="21"/>
        <v>-1.8549016208719737E-2</v>
      </c>
    </row>
    <row r="101" spans="1:25" x14ac:dyDescent="0.35">
      <c r="A101" s="6">
        <v>44272</v>
      </c>
      <c r="B101" s="8">
        <v>3974.1</v>
      </c>
      <c r="C101" s="2">
        <v>124.76</v>
      </c>
      <c r="D101" s="2">
        <v>123.24</v>
      </c>
      <c r="E101" s="2">
        <v>237.04</v>
      </c>
      <c r="F101" s="2">
        <v>352.18</v>
      </c>
      <c r="G101" s="2">
        <v>160.77000000000001</v>
      </c>
      <c r="H101" s="2">
        <v>223.02</v>
      </c>
      <c r="I101" s="2">
        <v>144.68</v>
      </c>
      <c r="J101" s="2">
        <v>263.58999999999997</v>
      </c>
      <c r="K101" s="2">
        <v>44.09</v>
      </c>
      <c r="L101" s="2">
        <v>233.63</v>
      </c>
      <c r="M101" s="64" t="s">
        <v>77</v>
      </c>
      <c r="N101" s="1"/>
      <c r="O101" s="12">
        <f t="shared" si="11"/>
        <v>2.8768264062382087E-3</v>
      </c>
      <c r="P101" s="12">
        <f t="shared" si="12"/>
        <v>-6.4505853308910455E-3</v>
      </c>
      <c r="Q101" s="12">
        <f t="shared" si="13"/>
        <v>6.1229488121479214E-3</v>
      </c>
      <c r="R101" s="12">
        <f t="shared" si="14"/>
        <v>-2.8185604307771062E-3</v>
      </c>
      <c r="S101" s="12">
        <f t="shared" si="15"/>
        <v>-6.8245910885504912E-3</v>
      </c>
      <c r="T101" s="12">
        <f t="shared" si="16"/>
        <v>-3.7181632273656229E-3</v>
      </c>
      <c r="U101" s="12">
        <f t="shared" si="17"/>
        <v>-7.4766355140185592E-3</v>
      </c>
      <c r="V101" s="12">
        <f t="shared" si="18"/>
        <v>9.6301465457082625E-3</v>
      </c>
      <c r="W101" s="12">
        <f t="shared" si="19"/>
        <v>3.2835703930096605E-2</v>
      </c>
      <c r="X101" s="12">
        <f t="shared" si="20"/>
        <v>-8.3220872694556025E-3</v>
      </c>
      <c r="Y101" s="12">
        <f t="shared" si="21"/>
        <v>3.1661220524595857E-2</v>
      </c>
    </row>
    <row r="102" spans="1:25" x14ac:dyDescent="0.35">
      <c r="A102" s="6">
        <v>44273</v>
      </c>
      <c r="B102" s="8">
        <v>3915.5</v>
      </c>
      <c r="C102" s="2">
        <v>120.53</v>
      </c>
      <c r="D102" s="2">
        <v>124.23</v>
      </c>
      <c r="E102" s="2">
        <v>230.72</v>
      </c>
      <c r="F102" s="2">
        <v>362.05</v>
      </c>
      <c r="G102" s="2">
        <v>160.47</v>
      </c>
      <c r="H102" s="2">
        <v>220.66</v>
      </c>
      <c r="I102" s="2">
        <v>142.58000000000001</v>
      </c>
      <c r="J102" s="2">
        <v>256.06</v>
      </c>
      <c r="K102" s="2">
        <v>43.34</v>
      </c>
      <c r="L102" s="2">
        <v>230.68</v>
      </c>
      <c r="M102" s="64" t="s">
        <v>77</v>
      </c>
      <c r="N102" s="1"/>
      <c r="O102" s="12">
        <f t="shared" si="11"/>
        <v>-1.4745476963337611E-2</v>
      </c>
      <c r="P102" s="12">
        <f t="shared" si="12"/>
        <v>-3.3905097787752525E-2</v>
      </c>
      <c r="Q102" s="12">
        <f t="shared" si="13"/>
        <v>8.0331061343721366E-3</v>
      </c>
      <c r="R102" s="12">
        <f t="shared" si="14"/>
        <v>-2.6662166722915881E-2</v>
      </c>
      <c r="S102" s="12">
        <f t="shared" si="15"/>
        <v>2.802544153557851E-2</v>
      </c>
      <c r="T102" s="12">
        <f t="shared" si="16"/>
        <v>-1.8660197798097133E-3</v>
      </c>
      <c r="U102" s="12">
        <f t="shared" si="17"/>
        <v>-1.0582010582010692E-2</v>
      </c>
      <c r="V102" s="12">
        <f t="shared" si="18"/>
        <v>-1.4514791263477989E-2</v>
      </c>
      <c r="W102" s="12">
        <f t="shared" si="19"/>
        <v>-2.8567092833567176E-2</v>
      </c>
      <c r="X102" s="12">
        <f t="shared" si="20"/>
        <v>-1.7010660013608514E-2</v>
      </c>
      <c r="Y102" s="12">
        <f t="shared" si="21"/>
        <v>-1.2626803064674896E-2</v>
      </c>
    </row>
    <row r="103" spans="1:25" x14ac:dyDescent="0.35">
      <c r="A103" s="6">
        <v>44274</v>
      </c>
      <c r="B103" s="8">
        <v>3913.1</v>
      </c>
      <c r="C103" s="2">
        <v>119.99</v>
      </c>
      <c r="D103" s="2">
        <v>123.12</v>
      </c>
      <c r="E103" s="2">
        <v>230.35</v>
      </c>
      <c r="F103" s="2">
        <v>365.58</v>
      </c>
      <c r="G103" s="2">
        <v>160.04</v>
      </c>
      <c r="H103" s="2">
        <v>206.9</v>
      </c>
      <c r="I103" s="2">
        <v>140.71</v>
      </c>
      <c r="J103" s="2">
        <v>255.82</v>
      </c>
      <c r="K103" s="2">
        <v>43.91</v>
      </c>
      <c r="L103" s="2">
        <v>225.29</v>
      </c>
      <c r="M103" s="64" t="s">
        <v>77</v>
      </c>
      <c r="N103" s="1"/>
      <c r="O103" s="12">
        <f t="shared" si="11"/>
        <v>-6.1294853786231229E-4</v>
      </c>
      <c r="P103" s="12">
        <f t="shared" si="12"/>
        <v>-4.4802123952543127E-3</v>
      </c>
      <c r="Q103" s="12">
        <f t="shared" si="13"/>
        <v>-8.9350398454479674E-3</v>
      </c>
      <c r="R103" s="12">
        <f t="shared" si="14"/>
        <v>-1.6036754507628981E-3</v>
      </c>
      <c r="S103" s="12">
        <f t="shared" si="15"/>
        <v>9.7500345256178456E-3</v>
      </c>
      <c r="T103" s="12">
        <f t="shared" si="16"/>
        <v>-2.6796285910138939E-3</v>
      </c>
      <c r="U103" s="12">
        <f t="shared" si="17"/>
        <v>-6.2358379407232767E-2</v>
      </c>
      <c r="V103" s="12">
        <f t="shared" si="18"/>
        <v>-1.3115443961284945E-2</v>
      </c>
      <c r="W103" s="12">
        <f t="shared" si="19"/>
        <v>-9.3728032492390589E-4</v>
      </c>
      <c r="X103" s="12">
        <f t="shared" si="20"/>
        <v>1.3151822796492629E-2</v>
      </c>
      <c r="Y103" s="12">
        <f t="shared" si="21"/>
        <v>-2.3365701404543193E-2</v>
      </c>
    </row>
    <row r="104" spans="1:25" x14ac:dyDescent="0.35">
      <c r="A104" s="6">
        <v>44277</v>
      </c>
      <c r="B104" s="8">
        <v>3940.6</v>
      </c>
      <c r="C104" s="2">
        <v>123.39</v>
      </c>
      <c r="D104" s="2">
        <v>124.7</v>
      </c>
      <c r="E104" s="2">
        <v>235.99</v>
      </c>
      <c r="F104" s="2">
        <v>366.86</v>
      </c>
      <c r="G104" s="2">
        <v>160.5</v>
      </c>
      <c r="H104" s="2">
        <v>208</v>
      </c>
      <c r="I104" s="2">
        <v>139.94999999999999</v>
      </c>
      <c r="J104" s="2">
        <v>251.23</v>
      </c>
      <c r="K104" s="2">
        <v>44.12</v>
      </c>
      <c r="L104" s="2">
        <v>226.02</v>
      </c>
      <c r="M104" s="64" t="s">
        <v>77</v>
      </c>
      <c r="N104" s="1"/>
      <c r="O104" s="12">
        <f t="shared" si="11"/>
        <v>7.027676266898375E-3</v>
      </c>
      <c r="P104" s="12">
        <f t="shared" si="12"/>
        <v>2.8335694641220099E-2</v>
      </c>
      <c r="Q104" s="12">
        <f t="shared" si="13"/>
        <v>1.2833008447043603E-2</v>
      </c>
      <c r="R104" s="12">
        <f t="shared" si="14"/>
        <v>2.4484480138919018E-2</v>
      </c>
      <c r="S104" s="12">
        <f t="shared" si="15"/>
        <v>3.5012856283167526E-3</v>
      </c>
      <c r="T104" s="12">
        <f t="shared" si="16"/>
        <v>2.8742814296427444E-3</v>
      </c>
      <c r="U104" s="12">
        <f t="shared" si="17"/>
        <v>5.3165780570323395E-3</v>
      </c>
      <c r="V104" s="12">
        <f t="shared" si="18"/>
        <v>-5.4011797313625598E-3</v>
      </c>
      <c r="W104" s="12">
        <f t="shared" si="19"/>
        <v>-1.7942303181924801E-2</v>
      </c>
      <c r="X104" s="12">
        <f t="shared" si="20"/>
        <v>4.7825096788887134E-3</v>
      </c>
      <c r="Y104" s="12">
        <f t="shared" si="21"/>
        <v>3.2402680988947719E-3</v>
      </c>
    </row>
    <row r="105" spans="1:25" x14ac:dyDescent="0.35">
      <c r="A105" s="6">
        <v>44278</v>
      </c>
      <c r="B105" s="8">
        <v>3910.5</v>
      </c>
      <c r="C105" s="2">
        <v>122.54</v>
      </c>
      <c r="D105" s="2">
        <v>124.61</v>
      </c>
      <c r="E105" s="2">
        <v>237.58</v>
      </c>
      <c r="F105" s="2">
        <v>368.5</v>
      </c>
      <c r="G105" s="2">
        <v>160.35</v>
      </c>
      <c r="H105" s="2">
        <v>208.15</v>
      </c>
      <c r="I105" s="2">
        <v>136.08000000000001</v>
      </c>
      <c r="J105" s="2">
        <v>241.25</v>
      </c>
      <c r="K105" s="2">
        <v>44.65</v>
      </c>
      <c r="L105" s="2">
        <v>218.25</v>
      </c>
      <c r="M105" s="64">
        <v>4.8</v>
      </c>
      <c r="N105" s="1"/>
      <c r="O105" s="12">
        <f t="shared" si="11"/>
        <v>-7.6384306958331427E-3</v>
      </c>
      <c r="P105" s="12">
        <f t="shared" si="12"/>
        <v>-6.8887268011994518E-3</v>
      </c>
      <c r="Q105" s="12">
        <f t="shared" si="13"/>
        <v>-7.2173215717730166E-4</v>
      </c>
      <c r="R105" s="12">
        <f t="shared" si="14"/>
        <v>6.7375736260011365E-3</v>
      </c>
      <c r="S105" s="12">
        <f t="shared" si="15"/>
        <v>4.4703701684565278E-3</v>
      </c>
      <c r="T105" s="12">
        <f t="shared" si="16"/>
        <v>-9.3457943925234765E-4</v>
      </c>
      <c r="U105" s="12">
        <f t="shared" si="17"/>
        <v>7.2115384615378808E-4</v>
      </c>
      <c r="V105" s="12">
        <f t="shared" si="18"/>
        <v>-2.7652733118970874E-2</v>
      </c>
      <c r="W105" s="12">
        <f t="shared" si="19"/>
        <v>-3.9724555188472621E-2</v>
      </c>
      <c r="X105" s="12">
        <f t="shared" si="20"/>
        <v>1.201269265639171E-2</v>
      </c>
      <c r="Y105" s="12">
        <f t="shared" si="21"/>
        <v>-3.4377488717812654E-2</v>
      </c>
    </row>
    <row r="106" spans="1:25" x14ac:dyDescent="0.35">
      <c r="A106" s="6">
        <v>44279</v>
      </c>
      <c r="B106" s="8">
        <v>3889.1</v>
      </c>
      <c r="C106" s="2">
        <v>120.09</v>
      </c>
      <c r="D106" s="2">
        <v>124.76</v>
      </c>
      <c r="E106" s="2">
        <v>235.46</v>
      </c>
      <c r="F106" s="2">
        <v>370.6</v>
      </c>
      <c r="G106" s="2">
        <v>161.91</v>
      </c>
      <c r="H106" s="2">
        <v>208.07</v>
      </c>
      <c r="I106" s="2">
        <v>138.41999999999999</v>
      </c>
      <c r="J106" s="2">
        <v>239.24</v>
      </c>
      <c r="K106" s="2">
        <v>44.37</v>
      </c>
      <c r="L106" s="2">
        <v>221.23</v>
      </c>
      <c r="M106" s="64" t="s">
        <v>77</v>
      </c>
      <c r="N106" s="1"/>
      <c r="O106" s="12">
        <f t="shared" si="11"/>
        <v>-5.4724459787751645E-3</v>
      </c>
      <c r="P106" s="12">
        <f t="shared" si="12"/>
        <v>-1.9993471519503814E-2</v>
      </c>
      <c r="Q106" s="12">
        <f t="shared" si="13"/>
        <v>1.2037557178397051E-3</v>
      </c>
      <c r="R106" s="12">
        <f t="shared" si="14"/>
        <v>-8.9233100429328971E-3</v>
      </c>
      <c r="S106" s="12">
        <f t="shared" si="15"/>
        <v>5.6987788331073208E-3</v>
      </c>
      <c r="T106" s="12">
        <f t="shared" si="16"/>
        <v>9.7287184284378103E-3</v>
      </c>
      <c r="U106" s="12">
        <f t="shared" si="17"/>
        <v>-3.8433821763161902E-4</v>
      </c>
      <c r="V106" s="12">
        <f t="shared" si="18"/>
        <v>1.7195767195766987E-2</v>
      </c>
      <c r="W106" s="12">
        <f t="shared" si="19"/>
        <v>-8.3316062176165273E-3</v>
      </c>
      <c r="X106" s="12">
        <f t="shared" si="20"/>
        <v>-6.2709966405375406E-3</v>
      </c>
      <c r="Y106" s="12">
        <f t="shared" si="21"/>
        <v>1.3654066437571499E-2</v>
      </c>
    </row>
    <row r="107" spans="1:25" x14ac:dyDescent="0.35">
      <c r="A107" s="6">
        <v>44280</v>
      </c>
      <c r="B107" s="8">
        <v>3909.5</v>
      </c>
      <c r="C107" s="2">
        <v>120.59</v>
      </c>
      <c r="D107" s="2">
        <v>127.1</v>
      </c>
      <c r="E107" s="2">
        <v>232.34</v>
      </c>
      <c r="F107" s="2">
        <v>371.09</v>
      </c>
      <c r="G107" s="2">
        <v>161.97</v>
      </c>
      <c r="H107" s="2">
        <v>207.97</v>
      </c>
      <c r="I107" s="2">
        <v>142.28</v>
      </c>
      <c r="J107" s="2">
        <v>247.19</v>
      </c>
      <c r="K107" s="2">
        <v>44.67</v>
      </c>
      <c r="L107" s="2">
        <v>224.25</v>
      </c>
      <c r="M107" s="64" t="s">
        <v>77</v>
      </c>
      <c r="N107" s="1"/>
      <c r="O107" s="12">
        <f t="shared" si="11"/>
        <v>5.2454295338253409E-3</v>
      </c>
      <c r="P107" s="12">
        <f t="shared" si="12"/>
        <v>4.1635440086602582E-3</v>
      </c>
      <c r="Q107" s="12">
        <f t="shared" si="13"/>
        <v>1.8756011542160778E-2</v>
      </c>
      <c r="R107" s="12">
        <f t="shared" si="14"/>
        <v>-1.3250658285908434E-2</v>
      </c>
      <c r="S107" s="12">
        <f t="shared" si="15"/>
        <v>1.3221802482459299E-3</v>
      </c>
      <c r="T107" s="12">
        <f t="shared" si="16"/>
        <v>3.7057624606262607E-4</v>
      </c>
      <c r="U107" s="12">
        <f t="shared" si="17"/>
        <v>-4.8060748786460383E-4</v>
      </c>
      <c r="V107" s="12">
        <f t="shared" si="18"/>
        <v>2.7886143620864168E-2</v>
      </c>
      <c r="W107" s="12">
        <f t="shared" si="19"/>
        <v>3.3230229058685889E-2</v>
      </c>
      <c r="X107" s="12">
        <f t="shared" si="20"/>
        <v>6.7613252197431528E-3</v>
      </c>
      <c r="Y107" s="12">
        <f t="shared" si="21"/>
        <v>1.3650951498440644E-2</v>
      </c>
    </row>
    <row r="108" spans="1:25" x14ac:dyDescent="0.35">
      <c r="A108" s="6">
        <v>44281</v>
      </c>
      <c r="B108" s="8">
        <v>3974.5</v>
      </c>
      <c r="C108" s="2">
        <v>121.21</v>
      </c>
      <c r="D108" s="2">
        <v>130.27000000000001</v>
      </c>
      <c r="E108" s="2">
        <v>236.48</v>
      </c>
      <c r="F108" s="2">
        <v>376.48</v>
      </c>
      <c r="G108" s="2">
        <v>164.93</v>
      </c>
      <c r="H108" s="2">
        <v>213.53</v>
      </c>
      <c r="I108" s="2">
        <v>143.72999999999999</v>
      </c>
      <c r="J108" s="2">
        <v>244.87</v>
      </c>
      <c r="K108" s="2">
        <v>45.04</v>
      </c>
      <c r="L108" s="2">
        <v>229.5</v>
      </c>
      <c r="M108" s="64" t="s">
        <v>77</v>
      </c>
      <c r="N108" s="1"/>
      <c r="O108" s="12">
        <f t="shared" si="11"/>
        <v>1.6626167029031746E-2</v>
      </c>
      <c r="P108" s="12">
        <f t="shared" si="12"/>
        <v>5.1413881748070267E-3</v>
      </c>
      <c r="Q108" s="12">
        <f t="shared" si="13"/>
        <v>2.4940991345397512E-2</v>
      </c>
      <c r="R108" s="12">
        <f t="shared" si="14"/>
        <v>1.7818713953688503E-2</v>
      </c>
      <c r="S108" s="12">
        <f t="shared" si="15"/>
        <v>1.4524778355655021E-2</v>
      </c>
      <c r="T108" s="12">
        <f t="shared" si="16"/>
        <v>1.8274989195530056E-2</v>
      </c>
      <c r="U108" s="12">
        <f t="shared" si="17"/>
        <v>2.6734625186324967E-2</v>
      </c>
      <c r="V108" s="12">
        <f t="shared" si="18"/>
        <v>1.019117233623823E-2</v>
      </c>
      <c r="W108" s="12">
        <f t="shared" si="19"/>
        <v>-9.3854929406529397E-3</v>
      </c>
      <c r="X108" s="12">
        <f t="shared" si="20"/>
        <v>8.2829639579136138E-3</v>
      </c>
      <c r="Y108" s="12">
        <f t="shared" si="21"/>
        <v>2.3411371237458178E-2</v>
      </c>
    </row>
    <row r="109" spans="1:25" x14ac:dyDescent="0.35">
      <c r="A109" s="6">
        <v>44284</v>
      </c>
      <c r="B109" s="8">
        <v>3971.1</v>
      </c>
      <c r="C109" s="2">
        <v>121.39</v>
      </c>
      <c r="D109" s="2">
        <v>129.77000000000001</v>
      </c>
      <c r="E109" s="2">
        <v>235.24</v>
      </c>
      <c r="F109" s="2">
        <v>379.06</v>
      </c>
      <c r="G109" s="2">
        <v>166.04</v>
      </c>
      <c r="H109" s="2">
        <v>214.51</v>
      </c>
      <c r="I109" s="2">
        <v>142.37</v>
      </c>
      <c r="J109" s="2">
        <v>250.52</v>
      </c>
      <c r="K109" s="2">
        <v>45.56</v>
      </c>
      <c r="L109" s="2">
        <v>230.22</v>
      </c>
      <c r="M109" s="64" t="s">
        <v>77</v>
      </c>
      <c r="N109" s="1"/>
      <c r="O109" s="12">
        <f t="shared" si="11"/>
        <v>-8.5545351616556076E-4</v>
      </c>
      <c r="P109" s="12">
        <f t="shared" si="12"/>
        <v>1.4850259879548577E-3</v>
      </c>
      <c r="Q109" s="12">
        <f t="shared" si="13"/>
        <v>-3.8381822368925844E-3</v>
      </c>
      <c r="R109" s="12">
        <f t="shared" si="14"/>
        <v>-5.2435723951285151E-3</v>
      </c>
      <c r="S109" s="12">
        <f t="shared" si="15"/>
        <v>6.8529536761581245E-3</v>
      </c>
      <c r="T109" s="12">
        <f t="shared" si="16"/>
        <v>6.7301279330624908E-3</v>
      </c>
      <c r="U109" s="12">
        <f t="shared" si="17"/>
        <v>4.5895190371376682E-3</v>
      </c>
      <c r="V109" s="12">
        <f t="shared" si="18"/>
        <v>-9.4621860432755334E-3</v>
      </c>
      <c r="W109" s="12">
        <f t="shared" si="19"/>
        <v>2.3073467554212357E-2</v>
      </c>
      <c r="X109" s="12">
        <f t="shared" si="20"/>
        <v>1.1545293072824148E-2</v>
      </c>
      <c r="Y109" s="12">
        <f t="shared" si="21"/>
        <v>3.1372549019608176E-3</v>
      </c>
    </row>
    <row r="110" spans="1:25" x14ac:dyDescent="0.35">
      <c r="A110" s="6">
        <v>44285</v>
      </c>
      <c r="B110" s="8">
        <v>3958.6</v>
      </c>
      <c r="C110" s="2">
        <v>119.9</v>
      </c>
      <c r="D110" s="2">
        <v>128.68</v>
      </c>
      <c r="E110" s="2">
        <v>231.85</v>
      </c>
      <c r="F110" s="2">
        <v>373.56</v>
      </c>
      <c r="G110" s="2">
        <v>165.01</v>
      </c>
      <c r="H110" s="2">
        <v>211.9</v>
      </c>
      <c r="I110" s="2">
        <v>143.49</v>
      </c>
      <c r="J110" s="2">
        <v>252.01</v>
      </c>
      <c r="K110" s="2">
        <v>45.25</v>
      </c>
      <c r="L110" s="2">
        <v>233.08</v>
      </c>
      <c r="M110" s="64">
        <v>4.63</v>
      </c>
      <c r="N110" s="1"/>
      <c r="O110" s="12">
        <f t="shared" si="11"/>
        <v>-3.1477424391226361E-3</v>
      </c>
      <c r="P110" s="12">
        <f t="shared" si="12"/>
        <v>-1.2274487190048533E-2</v>
      </c>
      <c r="Q110" s="12">
        <f t="shared" si="13"/>
        <v>-8.3994759959928889E-3</v>
      </c>
      <c r="R110" s="12">
        <f t="shared" si="14"/>
        <v>-1.4410814487332169E-2</v>
      </c>
      <c r="S110" s="12">
        <f t="shared" si="15"/>
        <v>-1.450957632037142E-2</v>
      </c>
      <c r="T110" s="12">
        <f t="shared" si="16"/>
        <v>-6.2033245001205106E-3</v>
      </c>
      <c r="U110" s="12">
        <f t="shared" si="17"/>
        <v>-1.2167264929373811E-2</v>
      </c>
      <c r="V110" s="12">
        <f t="shared" si="18"/>
        <v>7.8668258762379928E-3</v>
      </c>
      <c r="W110" s="12">
        <f t="shared" si="19"/>
        <v>5.947628931821658E-3</v>
      </c>
      <c r="X110" s="12">
        <f t="shared" si="20"/>
        <v>-6.8042142230027025E-3</v>
      </c>
      <c r="Y110" s="12">
        <f t="shared" si="21"/>
        <v>1.2422899834940493E-2</v>
      </c>
    </row>
    <row r="111" spans="1:25" x14ac:dyDescent="0.35">
      <c r="A111" s="6">
        <v>44286</v>
      </c>
      <c r="B111" s="8">
        <v>3972.9</v>
      </c>
      <c r="C111" s="2">
        <v>122.15</v>
      </c>
      <c r="D111" s="2">
        <v>127.29</v>
      </c>
      <c r="E111" s="2">
        <v>235.77</v>
      </c>
      <c r="F111" s="2">
        <v>372.07</v>
      </c>
      <c r="G111" s="2">
        <v>164.35</v>
      </c>
      <c r="H111" s="2">
        <v>211.73</v>
      </c>
      <c r="I111" s="2">
        <v>141.44</v>
      </c>
      <c r="J111" s="2">
        <v>254.72</v>
      </c>
      <c r="K111" s="2">
        <v>45.28</v>
      </c>
      <c r="L111" s="2">
        <v>231.87</v>
      </c>
      <c r="M111" s="64" t="s">
        <v>77</v>
      </c>
      <c r="N111" s="1"/>
      <c r="O111" s="12">
        <f t="shared" si="11"/>
        <v>3.6123882180569833E-3</v>
      </c>
      <c r="P111" s="12">
        <f t="shared" si="12"/>
        <v>1.8765638031693177E-2</v>
      </c>
      <c r="Q111" s="12">
        <f t="shared" si="13"/>
        <v>-1.0801989431147074E-2</v>
      </c>
      <c r="R111" s="12">
        <f t="shared" si="14"/>
        <v>1.6907483286607849E-2</v>
      </c>
      <c r="S111" s="12">
        <f t="shared" si="15"/>
        <v>-3.9886497483671013E-3</v>
      </c>
      <c r="T111" s="12">
        <f t="shared" si="16"/>
        <v>-3.9997575904490157E-3</v>
      </c>
      <c r="U111" s="12">
        <f t="shared" si="17"/>
        <v>-8.0226521944315454E-4</v>
      </c>
      <c r="V111" s="12">
        <f t="shared" si="18"/>
        <v>-1.4286709875252712E-2</v>
      </c>
      <c r="W111" s="12">
        <f t="shared" si="19"/>
        <v>1.0753541526129951E-2</v>
      </c>
      <c r="X111" s="12">
        <f t="shared" si="20"/>
        <v>6.6298342541437627E-4</v>
      </c>
      <c r="Y111" s="12">
        <f t="shared" si="21"/>
        <v>-5.1913506092329254E-3</v>
      </c>
    </row>
    <row r="112" spans="1:25" x14ac:dyDescent="0.35">
      <c r="A112" s="6">
        <v>44287</v>
      </c>
      <c r="B112" s="8">
        <v>4019.9</v>
      </c>
      <c r="C112" s="2">
        <v>123</v>
      </c>
      <c r="D112" s="2">
        <v>127.26</v>
      </c>
      <c r="E112" s="2">
        <v>242.35</v>
      </c>
      <c r="F112" s="2">
        <v>367.07</v>
      </c>
      <c r="G112" s="2">
        <v>162.83000000000001</v>
      </c>
      <c r="H112" s="2">
        <v>216.86</v>
      </c>
      <c r="I112" s="2">
        <v>144.57</v>
      </c>
      <c r="J112" s="2">
        <v>252.96</v>
      </c>
      <c r="K112" s="2">
        <v>45.21</v>
      </c>
      <c r="L112" s="2">
        <v>232.74</v>
      </c>
      <c r="M112" s="64" t="s">
        <v>77</v>
      </c>
      <c r="N112" s="1"/>
      <c r="O112" s="12">
        <f t="shared" si="11"/>
        <v>1.1830149261244927E-2</v>
      </c>
      <c r="P112" s="12">
        <f t="shared" si="12"/>
        <v>6.9586573884568015E-3</v>
      </c>
      <c r="Q112" s="12">
        <f t="shared" si="13"/>
        <v>-2.3568230025927672E-4</v>
      </c>
      <c r="R112" s="12">
        <f t="shared" si="14"/>
        <v>2.7908554947618347E-2</v>
      </c>
      <c r="S112" s="12">
        <f t="shared" si="15"/>
        <v>-1.3438331496761324E-2</v>
      </c>
      <c r="T112" s="12">
        <f t="shared" si="16"/>
        <v>-9.248554913294682E-3</v>
      </c>
      <c r="U112" s="12">
        <f t="shared" si="17"/>
        <v>2.4228970859113241E-2</v>
      </c>
      <c r="V112" s="12">
        <f t="shared" si="18"/>
        <v>2.2129524886877805E-2</v>
      </c>
      <c r="W112" s="12">
        <f t="shared" si="19"/>
        <v>-6.9095477386934556E-3</v>
      </c>
      <c r="X112" s="12">
        <f t="shared" si="20"/>
        <v>-1.5459363957597283E-3</v>
      </c>
      <c r="Y112" s="12">
        <f t="shared" si="21"/>
        <v>3.7521024712123818E-3</v>
      </c>
    </row>
    <row r="113" spans="1:25" x14ac:dyDescent="0.35">
      <c r="A113" s="6">
        <v>44291</v>
      </c>
      <c r="B113" s="8">
        <v>4077.9</v>
      </c>
      <c r="C113" s="2">
        <v>125.9</v>
      </c>
      <c r="D113" s="2">
        <v>129.84</v>
      </c>
      <c r="E113" s="2">
        <v>249.07</v>
      </c>
      <c r="F113" s="2">
        <v>370.18</v>
      </c>
      <c r="G113" s="2">
        <v>163.43</v>
      </c>
      <c r="H113" s="2">
        <v>219.04</v>
      </c>
      <c r="I113" s="2">
        <v>146.06</v>
      </c>
      <c r="J113" s="2">
        <v>259.36</v>
      </c>
      <c r="K113" s="2">
        <v>46.48</v>
      </c>
      <c r="L113" s="2">
        <v>233.71</v>
      </c>
      <c r="M113" s="64" t="s">
        <v>77</v>
      </c>
      <c r="N113" s="1"/>
      <c r="O113" s="12">
        <f t="shared" si="11"/>
        <v>1.4428219607452997E-2</v>
      </c>
      <c r="P113" s="12">
        <f t="shared" si="12"/>
        <v>2.3577235772357819E-2</v>
      </c>
      <c r="Q113" s="12">
        <f t="shared" si="13"/>
        <v>2.0273455917020344E-2</v>
      </c>
      <c r="R113" s="12">
        <f t="shared" si="14"/>
        <v>2.7728491850629311E-2</v>
      </c>
      <c r="S113" s="12">
        <f t="shared" si="15"/>
        <v>8.4724984335413644E-3</v>
      </c>
      <c r="T113" s="12">
        <f t="shared" si="16"/>
        <v>3.6848246637597448E-3</v>
      </c>
      <c r="U113" s="12">
        <f t="shared" si="17"/>
        <v>1.005256847735847E-2</v>
      </c>
      <c r="V113" s="12">
        <f t="shared" si="18"/>
        <v>1.0306425952825604E-2</v>
      </c>
      <c r="W113" s="12">
        <f t="shared" si="19"/>
        <v>2.5300442757748343E-2</v>
      </c>
      <c r="X113" s="12">
        <f t="shared" si="20"/>
        <v>2.8091130280911258E-2</v>
      </c>
      <c r="Y113" s="12">
        <f t="shared" si="21"/>
        <v>4.1677408266735938E-3</v>
      </c>
    </row>
    <row r="114" spans="1:25" x14ac:dyDescent="0.35">
      <c r="A114" s="6">
        <v>44292</v>
      </c>
      <c r="B114" s="8">
        <v>4073.9</v>
      </c>
      <c r="C114" s="2">
        <v>126.21</v>
      </c>
      <c r="D114" s="2">
        <v>128.19999999999999</v>
      </c>
      <c r="E114" s="2">
        <v>247.86</v>
      </c>
      <c r="F114" s="2">
        <v>364.37</v>
      </c>
      <c r="G114" s="2">
        <v>163.38999999999999</v>
      </c>
      <c r="H114" s="2">
        <v>218.65</v>
      </c>
      <c r="I114" s="2">
        <v>146.15</v>
      </c>
      <c r="J114" s="2">
        <v>255.17</v>
      </c>
      <c r="K114" s="2">
        <v>46.7</v>
      </c>
      <c r="L114" s="2">
        <v>230.64</v>
      </c>
      <c r="M114" s="64" t="s">
        <v>77</v>
      </c>
      <c r="N114" s="1"/>
      <c r="O114" s="12">
        <f t="shared" si="11"/>
        <v>-9.8089703033421571E-4</v>
      </c>
      <c r="P114" s="12">
        <f t="shared" si="12"/>
        <v>2.4622716441620174E-3</v>
      </c>
      <c r="Q114" s="12">
        <f t="shared" si="13"/>
        <v>-1.2630930375847282E-2</v>
      </c>
      <c r="R114" s="12">
        <f t="shared" si="14"/>
        <v>-4.8580720279438605E-3</v>
      </c>
      <c r="S114" s="12">
        <f t="shared" si="15"/>
        <v>-1.5695067264574036E-2</v>
      </c>
      <c r="T114" s="12">
        <f t="shared" si="16"/>
        <v>-2.4475310530513994E-4</v>
      </c>
      <c r="U114" s="12">
        <f t="shared" si="17"/>
        <v>-1.7804967129291249E-3</v>
      </c>
      <c r="V114" s="12">
        <f t="shared" si="18"/>
        <v>6.1618512939887182E-4</v>
      </c>
      <c r="W114" s="12">
        <f t="shared" si="19"/>
        <v>-1.6155151141270974E-2</v>
      </c>
      <c r="X114" s="12">
        <f t="shared" si="20"/>
        <v>4.7332185886403977E-3</v>
      </c>
      <c r="Y114" s="12">
        <f t="shared" si="21"/>
        <v>-1.31359377005692E-2</v>
      </c>
    </row>
    <row r="115" spans="1:25" x14ac:dyDescent="0.35">
      <c r="A115" s="6">
        <v>44293</v>
      </c>
      <c r="B115" s="8">
        <v>4079.9</v>
      </c>
      <c r="C115" s="2">
        <v>127.9</v>
      </c>
      <c r="D115" s="2">
        <v>128.88</v>
      </c>
      <c r="E115" s="2">
        <v>249.9</v>
      </c>
      <c r="F115" s="2">
        <v>365.64</v>
      </c>
      <c r="G115" s="2">
        <v>163.61000000000001</v>
      </c>
      <c r="H115" s="2">
        <v>219.27</v>
      </c>
      <c r="I115" s="2">
        <v>147.13</v>
      </c>
      <c r="J115" s="2">
        <v>252.58</v>
      </c>
      <c r="K115" s="2">
        <v>46.6</v>
      </c>
      <c r="L115" s="2">
        <v>230.41</v>
      </c>
      <c r="M115" s="64">
        <v>4.53</v>
      </c>
      <c r="N115" s="1"/>
      <c r="O115" s="12">
        <f t="shared" si="11"/>
        <v>1.4727902010358562E-3</v>
      </c>
      <c r="P115" s="12">
        <f t="shared" si="12"/>
        <v>1.3390381110847116E-2</v>
      </c>
      <c r="Q115" s="12">
        <f t="shared" si="13"/>
        <v>5.3042121684867549E-3</v>
      </c>
      <c r="R115" s="12">
        <f t="shared" si="14"/>
        <v>8.2304526748970819E-3</v>
      </c>
      <c r="S115" s="12">
        <f t="shared" si="15"/>
        <v>3.4854680681724037E-3</v>
      </c>
      <c r="T115" s="12">
        <f t="shared" si="16"/>
        <v>1.3464716322910686E-3</v>
      </c>
      <c r="U115" s="12">
        <f t="shared" si="17"/>
        <v>2.8355819803338456E-3</v>
      </c>
      <c r="V115" s="12">
        <f t="shared" si="18"/>
        <v>6.7054396168320096E-3</v>
      </c>
      <c r="W115" s="12">
        <f t="shared" si="19"/>
        <v>-1.0150096014421628E-2</v>
      </c>
      <c r="X115" s="12">
        <f t="shared" si="20"/>
        <v>-2.1413276231263545E-3</v>
      </c>
      <c r="Y115" s="12">
        <f t="shared" si="21"/>
        <v>-9.9722511272970493E-4</v>
      </c>
    </row>
    <row r="116" spans="1:25" x14ac:dyDescent="0.35">
      <c r="A116" s="6">
        <v>44294</v>
      </c>
      <c r="B116" s="8">
        <v>4097.2</v>
      </c>
      <c r="C116" s="2">
        <v>130.36000000000001</v>
      </c>
      <c r="D116" s="2">
        <v>129.06</v>
      </c>
      <c r="E116" s="2">
        <v>253.25</v>
      </c>
      <c r="F116" s="2">
        <v>364.89</v>
      </c>
      <c r="G116" s="2">
        <v>162.97</v>
      </c>
      <c r="H116" s="2">
        <v>220.7</v>
      </c>
      <c r="I116" s="2">
        <v>147.04</v>
      </c>
      <c r="J116" s="2">
        <v>254.95</v>
      </c>
      <c r="K116" s="2">
        <v>46.57</v>
      </c>
      <c r="L116" s="2">
        <v>230.48</v>
      </c>
      <c r="M116" s="64" t="s">
        <v>77</v>
      </c>
      <c r="N116" s="1"/>
      <c r="O116" s="12">
        <f t="shared" si="11"/>
        <v>4.2403000073529817E-3</v>
      </c>
      <c r="P116" s="12">
        <f t="shared" si="12"/>
        <v>1.9233776387802992E-2</v>
      </c>
      <c r="Q116" s="12">
        <f t="shared" si="13"/>
        <v>1.3966480446927498E-3</v>
      </c>
      <c r="R116" s="12">
        <f t="shared" si="14"/>
        <v>1.3405362144857991E-2</v>
      </c>
      <c r="S116" s="12">
        <f t="shared" si="15"/>
        <v>-2.0511978995733093E-3</v>
      </c>
      <c r="T116" s="12">
        <f t="shared" si="16"/>
        <v>-3.9117413361042797E-3</v>
      </c>
      <c r="U116" s="12">
        <f t="shared" si="17"/>
        <v>6.521639987230321E-3</v>
      </c>
      <c r="V116" s="12">
        <f t="shared" si="18"/>
        <v>-6.1170393529530465E-4</v>
      </c>
      <c r="W116" s="12">
        <f t="shared" si="19"/>
        <v>9.3831657296696847E-3</v>
      </c>
      <c r="X116" s="12">
        <f t="shared" si="20"/>
        <v>-6.4377682403438108E-4</v>
      </c>
      <c r="Y116" s="12">
        <f t="shared" si="21"/>
        <v>3.0380625840886744E-4</v>
      </c>
    </row>
    <row r="117" spans="1:25" x14ac:dyDescent="0.35">
      <c r="A117" s="6">
        <v>44295</v>
      </c>
      <c r="B117" s="8">
        <v>4128.8</v>
      </c>
      <c r="C117" s="2">
        <v>133</v>
      </c>
      <c r="D117" s="2">
        <v>129.63999999999999</v>
      </c>
      <c r="E117" s="2">
        <v>255.85</v>
      </c>
      <c r="F117" s="2">
        <v>376.3</v>
      </c>
      <c r="G117" s="2">
        <v>161.25</v>
      </c>
      <c r="H117" s="2">
        <v>222.52</v>
      </c>
      <c r="I117" s="2">
        <v>147.78</v>
      </c>
      <c r="J117" s="2">
        <v>252.36</v>
      </c>
      <c r="K117" s="2">
        <v>46.59</v>
      </c>
      <c r="L117" s="2">
        <v>230.75</v>
      </c>
      <c r="M117" s="64" t="s">
        <v>77</v>
      </c>
      <c r="N117" s="1"/>
      <c r="O117" s="12">
        <f t="shared" si="11"/>
        <v>7.7125842038465731E-3</v>
      </c>
      <c r="P117" s="12">
        <f t="shared" si="12"/>
        <v>2.0251610923596175E-2</v>
      </c>
      <c r="Q117" s="12">
        <f t="shared" si="13"/>
        <v>4.4940337827366061E-3</v>
      </c>
      <c r="R117" s="12">
        <f t="shared" si="14"/>
        <v>1.0266535044422431E-2</v>
      </c>
      <c r="S117" s="12">
        <f t="shared" si="15"/>
        <v>3.1269697717120293E-2</v>
      </c>
      <c r="T117" s="12">
        <f t="shared" si="16"/>
        <v>-1.0554089709762571E-2</v>
      </c>
      <c r="U117" s="12">
        <f t="shared" si="17"/>
        <v>8.2464884458541832E-3</v>
      </c>
      <c r="V117" s="12">
        <f t="shared" si="18"/>
        <v>5.032644178454948E-3</v>
      </c>
      <c r="W117" s="12">
        <f t="shared" si="19"/>
        <v>-1.0158854677387641E-2</v>
      </c>
      <c r="X117" s="12">
        <f t="shared" si="20"/>
        <v>4.2946102641194805E-4</v>
      </c>
      <c r="Y117" s="12">
        <f t="shared" si="21"/>
        <v>1.1714682401944287E-3</v>
      </c>
    </row>
    <row r="118" spans="1:25" x14ac:dyDescent="0.35">
      <c r="A118" s="6">
        <v>44298</v>
      </c>
      <c r="B118" s="8">
        <v>4128</v>
      </c>
      <c r="C118" s="2">
        <v>131.24</v>
      </c>
      <c r="D118" s="2">
        <v>128.56</v>
      </c>
      <c r="E118" s="2">
        <v>255.91</v>
      </c>
      <c r="F118" s="2">
        <v>376.28</v>
      </c>
      <c r="G118" s="2">
        <v>161.63999999999999</v>
      </c>
      <c r="H118" s="2">
        <v>221.47</v>
      </c>
      <c r="I118" s="2">
        <v>147.57</v>
      </c>
      <c r="J118" s="2">
        <v>249.52</v>
      </c>
      <c r="K118" s="2">
        <v>46.6</v>
      </c>
      <c r="L118" s="2">
        <v>230.93</v>
      </c>
      <c r="M118" s="64" t="s">
        <v>77</v>
      </c>
      <c r="N118" s="1"/>
      <c r="O118" s="12">
        <f t="shared" si="11"/>
        <v>-1.9376089905065452E-4</v>
      </c>
      <c r="P118" s="12">
        <f t="shared" si="12"/>
        <v>-1.3233082706766819E-2</v>
      </c>
      <c r="Q118" s="12">
        <f t="shared" si="13"/>
        <v>-8.3307621104595775E-3</v>
      </c>
      <c r="R118" s="12">
        <f t="shared" si="14"/>
        <v>2.3451240961502862E-4</v>
      </c>
      <c r="S118" s="12">
        <f t="shared" si="15"/>
        <v>-5.3149083178438694E-5</v>
      </c>
      <c r="T118" s="12">
        <f t="shared" si="16"/>
        <v>2.4186046511627257E-3</v>
      </c>
      <c r="U118" s="12">
        <f t="shared" si="17"/>
        <v>-4.7186769728564393E-3</v>
      </c>
      <c r="V118" s="12">
        <f t="shared" si="18"/>
        <v>-1.4210312626878885E-3</v>
      </c>
      <c r="W118" s="12">
        <f t="shared" si="19"/>
        <v>-1.1253764463464933E-2</v>
      </c>
      <c r="X118" s="12">
        <f t="shared" si="20"/>
        <v>2.1463833440638069E-4</v>
      </c>
      <c r="Y118" s="12">
        <f t="shared" si="21"/>
        <v>7.8006500541705215E-4</v>
      </c>
    </row>
    <row r="119" spans="1:25" x14ac:dyDescent="0.35">
      <c r="A119" s="6">
        <v>44299</v>
      </c>
      <c r="B119" s="8">
        <v>4141.6000000000004</v>
      </c>
      <c r="C119" s="2">
        <v>134.43</v>
      </c>
      <c r="D119" s="2">
        <v>125.3</v>
      </c>
      <c r="E119" s="2">
        <v>258.49</v>
      </c>
      <c r="F119" s="2">
        <v>374.5</v>
      </c>
      <c r="G119" s="2">
        <v>159.47999999999999</v>
      </c>
      <c r="H119" s="2">
        <v>221.02</v>
      </c>
      <c r="I119" s="2">
        <v>145.99</v>
      </c>
      <c r="J119" s="2">
        <v>253.27</v>
      </c>
      <c r="K119" s="2">
        <v>46.46</v>
      </c>
      <c r="L119" s="2">
        <v>229.35</v>
      </c>
      <c r="M119" s="64" t="s">
        <v>77</v>
      </c>
      <c r="N119" s="1"/>
      <c r="O119" s="12">
        <f t="shared" si="11"/>
        <v>3.294573643410903E-3</v>
      </c>
      <c r="P119" s="12">
        <f t="shared" si="12"/>
        <v>2.430661383724475E-2</v>
      </c>
      <c r="Q119" s="12">
        <f t="shared" si="13"/>
        <v>-2.5357809583074098E-2</v>
      </c>
      <c r="R119" s="12">
        <f t="shared" si="14"/>
        <v>1.0081669336876375E-2</v>
      </c>
      <c r="S119" s="12">
        <f t="shared" si="15"/>
        <v>-4.7305198256616388E-3</v>
      </c>
      <c r="T119" s="12">
        <f t="shared" si="16"/>
        <v>-1.3363028953229383E-2</v>
      </c>
      <c r="U119" s="12">
        <f t="shared" si="17"/>
        <v>-2.031877906714219E-3</v>
      </c>
      <c r="V119" s="12">
        <f t="shared" si="18"/>
        <v>-1.0706783221521854E-2</v>
      </c>
      <c r="W119" s="12">
        <f t="shared" si="19"/>
        <v>1.5028855402372532E-2</v>
      </c>
      <c r="X119" s="12">
        <f t="shared" si="20"/>
        <v>-3.0042918454935563E-3</v>
      </c>
      <c r="Y119" s="12">
        <f t="shared" si="21"/>
        <v>-6.8419001429005366E-3</v>
      </c>
    </row>
    <row r="120" spans="1:25" x14ac:dyDescent="0.35">
      <c r="A120" s="6">
        <v>44300</v>
      </c>
      <c r="B120" s="8">
        <v>4124.7</v>
      </c>
      <c r="C120" s="2">
        <v>132.03</v>
      </c>
      <c r="D120" s="2">
        <v>126.68</v>
      </c>
      <c r="E120" s="2">
        <v>255.59</v>
      </c>
      <c r="F120" s="2">
        <v>375.63</v>
      </c>
      <c r="G120" s="2">
        <v>159.91999999999999</v>
      </c>
      <c r="H120" s="2">
        <v>221.98</v>
      </c>
      <c r="I120" s="2">
        <v>147.41999999999999</v>
      </c>
      <c r="J120" s="2">
        <v>252.43</v>
      </c>
      <c r="K120" s="2">
        <v>46.44</v>
      </c>
      <c r="L120" s="2">
        <v>232.58</v>
      </c>
      <c r="M120" s="64">
        <v>4.4800000000000004</v>
      </c>
      <c r="N120" s="1"/>
      <c r="O120" s="12">
        <f t="shared" si="11"/>
        <v>-4.0805485802589692E-3</v>
      </c>
      <c r="P120" s="12">
        <f t="shared" si="12"/>
        <v>-1.7853157777281914E-2</v>
      </c>
      <c r="Q120" s="12">
        <f t="shared" si="13"/>
        <v>1.101356743814863E-2</v>
      </c>
      <c r="R120" s="12">
        <f t="shared" si="14"/>
        <v>-1.1219002669348943E-2</v>
      </c>
      <c r="S120" s="12">
        <f t="shared" si="15"/>
        <v>3.0173564753004367E-3</v>
      </c>
      <c r="T120" s="12">
        <f t="shared" si="16"/>
        <v>2.7589666415850367E-3</v>
      </c>
      <c r="U120" s="12">
        <f t="shared" si="17"/>
        <v>4.3434983259431625E-3</v>
      </c>
      <c r="V120" s="12">
        <f t="shared" si="18"/>
        <v>9.7951914514691207E-3</v>
      </c>
      <c r="W120" s="12">
        <f t="shared" si="19"/>
        <v>-3.3166186283413168E-3</v>
      </c>
      <c r="X120" s="12">
        <f t="shared" si="20"/>
        <v>-4.3047783039185106E-4</v>
      </c>
      <c r="Y120" s="12">
        <f t="shared" si="21"/>
        <v>1.4083278831480417E-2</v>
      </c>
    </row>
    <row r="121" spans="1:25" x14ac:dyDescent="0.35">
      <c r="A121" s="6">
        <v>44301</v>
      </c>
      <c r="B121" s="8">
        <v>4170.3999999999996</v>
      </c>
      <c r="C121" s="2">
        <v>134.5</v>
      </c>
      <c r="D121" s="2">
        <v>126.64</v>
      </c>
      <c r="E121" s="2">
        <v>259.5</v>
      </c>
      <c r="F121" s="2">
        <v>390.01</v>
      </c>
      <c r="G121" s="2">
        <v>160.38999999999999</v>
      </c>
      <c r="H121" s="2">
        <v>226.28</v>
      </c>
      <c r="I121" s="2">
        <v>148.53</v>
      </c>
      <c r="J121" s="2">
        <v>251.11</v>
      </c>
      <c r="K121" s="2">
        <v>46.72</v>
      </c>
      <c r="L121" s="2">
        <v>232.52</v>
      </c>
      <c r="M121" s="64" t="s">
        <v>77</v>
      </c>
      <c r="N121" s="1"/>
      <c r="O121" s="12">
        <f t="shared" si="11"/>
        <v>1.1079593667418175E-2</v>
      </c>
      <c r="P121" s="12">
        <f t="shared" si="12"/>
        <v>1.8707869423615797E-2</v>
      </c>
      <c r="Q121" s="12">
        <f t="shared" si="13"/>
        <v>-3.15756236185738E-4</v>
      </c>
      <c r="R121" s="12">
        <f t="shared" si="14"/>
        <v>1.5297938103994602E-2</v>
      </c>
      <c r="S121" s="12">
        <f t="shared" si="15"/>
        <v>3.8282352314777723E-2</v>
      </c>
      <c r="T121" s="12">
        <f t="shared" si="16"/>
        <v>2.9389694847423709E-3</v>
      </c>
      <c r="U121" s="12">
        <f t="shared" si="17"/>
        <v>1.9371114514821208E-2</v>
      </c>
      <c r="V121" s="12">
        <f t="shared" si="18"/>
        <v>7.5295075295076508E-3</v>
      </c>
      <c r="W121" s="12">
        <f t="shared" si="19"/>
        <v>-5.2291724438457976E-3</v>
      </c>
      <c r="X121" s="12">
        <f t="shared" si="20"/>
        <v>6.0292850990526503E-3</v>
      </c>
      <c r="Y121" s="12">
        <f t="shared" si="21"/>
        <v>-2.5797575027952657E-4</v>
      </c>
    </row>
    <row r="122" spans="1:25" x14ac:dyDescent="0.35">
      <c r="A122" s="6">
        <v>44302</v>
      </c>
      <c r="B122" s="8">
        <v>4185.5</v>
      </c>
      <c r="C122" s="2">
        <v>134.16</v>
      </c>
      <c r="D122" s="2">
        <v>127.6</v>
      </c>
      <c r="E122" s="2">
        <v>260.74</v>
      </c>
      <c r="F122" s="2">
        <v>391.01</v>
      </c>
      <c r="G122" s="2">
        <v>162.24</v>
      </c>
      <c r="H122" s="2">
        <v>226.41</v>
      </c>
      <c r="I122" s="2">
        <v>149.99</v>
      </c>
      <c r="J122" s="2">
        <v>248.18</v>
      </c>
      <c r="K122" s="2">
        <v>46.87</v>
      </c>
      <c r="L122" s="2">
        <v>233.36</v>
      </c>
      <c r="M122" s="64" t="s">
        <v>77</v>
      </c>
      <c r="N122" s="1"/>
      <c r="O122" s="12">
        <f t="shared" si="11"/>
        <v>3.6207558028007458E-3</v>
      </c>
      <c r="P122" s="12">
        <f t="shared" si="12"/>
        <v>-2.5278810408921881E-3</v>
      </c>
      <c r="Q122" s="12">
        <f t="shared" si="13"/>
        <v>7.580543272267759E-3</v>
      </c>
      <c r="R122" s="12">
        <f t="shared" si="14"/>
        <v>4.7784200385356801E-3</v>
      </c>
      <c r="S122" s="12">
        <f t="shared" si="15"/>
        <v>2.564036819568738E-3</v>
      </c>
      <c r="T122" s="12">
        <f t="shared" si="16"/>
        <v>1.1534384936716879E-2</v>
      </c>
      <c r="U122" s="12">
        <f t="shared" si="17"/>
        <v>5.7450945730952441E-4</v>
      </c>
      <c r="V122" s="12">
        <f t="shared" si="18"/>
        <v>9.8296640409345493E-3</v>
      </c>
      <c r="W122" s="12">
        <f t="shared" si="19"/>
        <v>-1.1668193222093892E-2</v>
      </c>
      <c r="X122" s="12">
        <f t="shared" si="20"/>
        <v>3.2106164383560731E-3</v>
      </c>
      <c r="Y122" s="12">
        <f t="shared" si="21"/>
        <v>3.6125924651642105E-3</v>
      </c>
    </row>
    <row r="123" spans="1:25" x14ac:dyDescent="0.35">
      <c r="A123" s="6">
        <v>44305</v>
      </c>
      <c r="B123" s="8">
        <v>4163.3</v>
      </c>
      <c r="C123" s="2">
        <v>134.84</v>
      </c>
      <c r="D123" s="2">
        <v>127.15</v>
      </c>
      <c r="E123" s="2">
        <v>258.74</v>
      </c>
      <c r="F123" s="2">
        <v>389.84</v>
      </c>
      <c r="G123" s="2">
        <v>162.69</v>
      </c>
      <c r="H123" s="2">
        <v>225.79</v>
      </c>
      <c r="I123" s="2">
        <v>148.54</v>
      </c>
      <c r="J123" s="2">
        <v>244.15</v>
      </c>
      <c r="K123" s="2">
        <v>46.57</v>
      </c>
      <c r="L123" s="2">
        <v>232.39</v>
      </c>
      <c r="M123" s="64" t="s">
        <v>77</v>
      </c>
      <c r="N123" s="1"/>
      <c r="O123" s="12">
        <f t="shared" si="11"/>
        <v>-5.3040258033687504E-3</v>
      </c>
      <c r="P123" s="12">
        <f t="shared" si="12"/>
        <v>5.0685748360166372E-3</v>
      </c>
      <c r="Q123" s="12">
        <f t="shared" si="13"/>
        <v>-3.5266457680249719E-3</v>
      </c>
      <c r="R123" s="12">
        <f t="shared" si="14"/>
        <v>-7.6704763365804673E-3</v>
      </c>
      <c r="S123" s="12">
        <f t="shared" si="15"/>
        <v>-2.9922508375744838E-3</v>
      </c>
      <c r="T123" s="12">
        <f t="shared" si="16"/>
        <v>2.7736686390531506E-3</v>
      </c>
      <c r="U123" s="12">
        <f t="shared" si="17"/>
        <v>-2.7383949472196134E-3</v>
      </c>
      <c r="V123" s="12">
        <f t="shared" si="18"/>
        <v>-9.6673111540770407E-3</v>
      </c>
      <c r="W123" s="12">
        <f t="shared" si="19"/>
        <v>-1.6238214199371437E-2</v>
      </c>
      <c r="X123" s="12">
        <f t="shared" si="20"/>
        <v>-6.4006827394921251E-3</v>
      </c>
      <c r="Y123" s="12">
        <f t="shared" si="21"/>
        <v>-4.1566678093932774E-3</v>
      </c>
    </row>
    <row r="124" spans="1:25" x14ac:dyDescent="0.35">
      <c r="A124" s="6">
        <v>44306</v>
      </c>
      <c r="B124" s="8">
        <v>4134.8999999999996</v>
      </c>
      <c r="C124" s="2">
        <v>133.11000000000001</v>
      </c>
      <c r="D124" s="2">
        <v>131.97</v>
      </c>
      <c r="E124" s="2">
        <v>258.26</v>
      </c>
      <c r="F124" s="2">
        <v>396.53</v>
      </c>
      <c r="G124" s="2">
        <v>166.48</v>
      </c>
      <c r="H124" s="2">
        <v>223.28</v>
      </c>
      <c r="I124" s="2">
        <v>145.1</v>
      </c>
      <c r="J124" s="2">
        <v>234.06</v>
      </c>
      <c r="K124" s="2">
        <v>46.93</v>
      </c>
      <c r="L124" s="2">
        <v>227.63</v>
      </c>
      <c r="M124" s="64" t="s">
        <v>77</v>
      </c>
      <c r="N124" s="1"/>
      <c r="O124" s="12">
        <f t="shared" si="11"/>
        <v>-6.8215117815195736E-3</v>
      </c>
      <c r="P124" s="12">
        <f t="shared" si="12"/>
        <v>-1.2830020765351446E-2</v>
      </c>
      <c r="Q124" s="12">
        <f t="shared" si="13"/>
        <v>3.7907982697601206E-2</v>
      </c>
      <c r="R124" s="12">
        <f t="shared" si="14"/>
        <v>-1.8551441601608598E-3</v>
      </c>
      <c r="S124" s="12">
        <f t="shared" si="15"/>
        <v>1.7160886517545659E-2</v>
      </c>
      <c r="T124" s="12">
        <f t="shared" si="16"/>
        <v>2.3295838711660188E-2</v>
      </c>
      <c r="U124" s="12">
        <f t="shared" si="17"/>
        <v>-1.1116524203906297E-2</v>
      </c>
      <c r="V124" s="12">
        <f t="shared" si="18"/>
        <v>-2.3158745119159829E-2</v>
      </c>
      <c r="W124" s="12">
        <f t="shared" si="19"/>
        <v>-4.1327053041163242E-2</v>
      </c>
      <c r="X124" s="12">
        <f t="shared" si="20"/>
        <v>7.7302984754132886E-3</v>
      </c>
      <c r="Y124" s="12">
        <f t="shared" si="21"/>
        <v>-2.048280907095823E-2</v>
      </c>
    </row>
    <row r="125" spans="1:25" x14ac:dyDescent="0.35">
      <c r="A125" s="6">
        <v>44307</v>
      </c>
      <c r="B125" s="8">
        <v>4173.3999999999996</v>
      </c>
      <c r="C125" s="2">
        <v>133.5</v>
      </c>
      <c r="D125" s="2">
        <v>137.11000000000001</v>
      </c>
      <c r="E125" s="2">
        <v>260.58</v>
      </c>
      <c r="F125" s="2">
        <v>398.81</v>
      </c>
      <c r="G125" s="2">
        <v>166.59</v>
      </c>
      <c r="H125" s="2">
        <v>227.45</v>
      </c>
      <c r="I125" s="2">
        <v>147.18</v>
      </c>
      <c r="J125" s="2">
        <v>235.92</v>
      </c>
      <c r="K125" s="2">
        <v>47.07</v>
      </c>
      <c r="L125" s="2">
        <v>232.46</v>
      </c>
      <c r="M125" s="64">
        <v>4.43</v>
      </c>
      <c r="N125" s="1"/>
      <c r="O125" s="12">
        <f t="shared" si="11"/>
        <v>9.3109869646181842E-3</v>
      </c>
      <c r="P125" s="12">
        <f t="shared" si="12"/>
        <v>2.9299075952218256E-3</v>
      </c>
      <c r="Q125" s="12">
        <f t="shared" si="13"/>
        <v>3.8948245813442472E-2</v>
      </c>
      <c r="R125" s="12">
        <f t="shared" si="14"/>
        <v>8.9831952296135498E-3</v>
      </c>
      <c r="S125" s="12">
        <f t="shared" si="15"/>
        <v>5.7498802108291169E-3</v>
      </c>
      <c r="T125" s="12">
        <f t="shared" si="16"/>
        <v>6.6074002883231842E-4</v>
      </c>
      <c r="U125" s="12">
        <f t="shared" si="17"/>
        <v>1.867610175564316E-2</v>
      </c>
      <c r="V125" s="12">
        <f t="shared" si="18"/>
        <v>1.4334941419710701E-2</v>
      </c>
      <c r="W125" s="12">
        <f t="shared" si="19"/>
        <v>7.9466803383747564E-3</v>
      </c>
      <c r="X125" s="12">
        <f t="shared" si="20"/>
        <v>2.983166418069505E-3</v>
      </c>
      <c r="Y125" s="12">
        <f t="shared" si="21"/>
        <v>2.1218644291174371E-2</v>
      </c>
    </row>
    <row r="126" spans="1:25" x14ac:dyDescent="0.35">
      <c r="A126" s="6">
        <v>44308</v>
      </c>
      <c r="B126" s="8">
        <v>4135</v>
      </c>
      <c r="C126" s="2">
        <v>131.94</v>
      </c>
      <c r="D126" s="2">
        <v>134.94999999999999</v>
      </c>
      <c r="E126" s="2">
        <v>257.17</v>
      </c>
      <c r="F126" s="2">
        <v>396.54</v>
      </c>
      <c r="G126" s="2">
        <v>165.18</v>
      </c>
      <c r="H126" s="2">
        <v>227.57</v>
      </c>
      <c r="I126" s="2">
        <v>147.16</v>
      </c>
      <c r="J126" s="2">
        <v>234.33</v>
      </c>
      <c r="K126" s="2">
        <v>46.56</v>
      </c>
      <c r="L126" s="2">
        <v>228.89</v>
      </c>
      <c r="M126" s="64" t="s">
        <v>77</v>
      </c>
      <c r="N126" s="1"/>
      <c r="O126" s="12">
        <f t="shared" si="11"/>
        <v>-9.2011309723486479E-3</v>
      </c>
      <c r="P126" s="12">
        <f t="shared" si="12"/>
        <v>-1.168539325842699E-2</v>
      </c>
      <c r="Q126" s="12">
        <f t="shared" si="13"/>
        <v>-1.5753774341769611E-2</v>
      </c>
      <c r="R126" s="12">
        <f t="shared" si="14"/>
        <v>-1.3086192340164171E-2</v>
      </c>
      <c r="S126" s="12">
        <f t="shared" si="15"/>
        <v>-5.6919335021688999E-3</v>
      </c>
      <c r="T126" s="12">
        <f t="shared" si="16"/>
        <v>-8.4638933909598757E-3</v>
      </c>
      <c r="U126" s="12">
        <f t="shared" si="17"/>
        <v>5.2758848098477529E-4</v>
      </c>
      <c r="V126" s="12">
        <f t="shared" si="18"/>
        <v>-1.3588802826480784E-4</v>
      </c>
      <c r="W126" s="12">
        <f t="shared" si="19"/>
        <v>-6.7395727365207048E-3</v>
      </c>
      <c r="X126" s="12">
        <f t="shared" si="20"/>
        <v>-1.0834926704907488E-2</v>
      </c>
      <c r="Y126" s="12">
        <f t="shared" si="21"/>
        <v>-1.5357480856921679E-2</v>
      </c>
    </row>
    <row r="127" spans="1:25" x14ac:dyDescent="0.35">
      <c r="A127" s="6">
        <v>44309</v>
      </c>
      <c r="B127" s="8">
        <v>4180.2</v>
      </c>
      <c r="C127" s="2">
        <v>134.32</v>
      </c>
      <c r="D127" s="2">
        <v>136.04</v>
      </c>
      <c r="E127" s="2">
        <v>261.14999999999998</v>
      </c>
      <c r="F127" s="2">
        <v>400.31</v>
      </c>
      <c r="G127" s="2">
        <v>165.52</v>
      </c>
      <c r="H127" s="2">
        <v>230</v>
      </c>
      <c r="I127" s="2">
        <v>144.33000000000001</v>
      </c>
      <c r="J127" s="2">
        <v>238.38</v>
      </c>
      <c r="K127" s="2">
        <v>46.63</v>
      </c>
      <c r="L127" s="2">
        <v>230.11</v>
      </c>
      <c r="M127" s="64" t="s">
        <v>77</v>
      </c>
      <c r="N127" s="1"/>
      <c r="O127" s="12">
        <f t="shared" si="11"/>
        <v>1.0931076178960053E-2</v>
      </c>
      <c r="P127" s="12">
        <f t="shared" si="12"/>
        <v>1.8038502349552843E-2</v>
      </c>
      <c r="Q127" s="12">
        <f t="shared" si="13"/>
        <v>8.0770655798443336E-3</v>
      </c>
      <c r="R127" s="12">
        <f t="shared" si="14"/>
        <v>1.5476144184780383E-2</v>
      </c>
      <c r="S127" s="12">
        <f t="shared" si="15"/>
        <v>9.5072376052856011E-3</v>
      </c>
      <c r="T127" s="12">
        <f t="shared" si="16"/>
        <v>2.0583605763409007E-3</v>
      </c>
      <c r="U127" s="12">
        <f t="shared" si="17"/>
        <v>1.0678033132662579E-2</v>
      </c>
      <c r="V127" s="12">
        <f t="shared" si="18"/>
        <v>-1.9230769230769162E-2</v>
      </c>
      <c r="W127" s="12">
        <f t="shared" si="19"/>
        <v>1.7283318397132152E-2</v>
      </c>
      <c r="X127" s="12">
        <f t="shared" si="20"/>
        <v>1.5034364261168331E-3</v>
      </c>
      <c r="Y127" s="12">
        <f t="shared" si="21"/>
        <v>5.3300712132466899E-3</v>
      </c>
    </row>
    <row r="128" spans="1:25" x14ac:dyDescent="0.35">
      <c r="A128" s="6">
        <v>44312</v>
      </c>
      <c r="B128" s="8">
        <v>4187.6000000000004</v>
      </c>
      <c r="C128" s="2">
        <v>134.72</v>
      </c>
      <c r="D128" s="2">
        <v>135.22</v>
      </c>
      <c r="E128" s="2">
        <v>261.55</v>
      </c>
      <c r="F128" s="2">
        <v>395.86</v>
      </c>
      <c r="G128" s="2">
        <v>164.12</v>
      </c>
      <c r="H128" s="2">
        <v>230.34</v>
      </c>
      <c r="I128" s="2">
        <v>150.34</v>
      </c>
      <c r="J128" s="2">
        <v>241.44</v>
      </c>
      <c r="K128" s="2">
        <v>45.97</v>
      </c>
      <c r="L128" s="2">
        <v>230.56</v>
      </c>
      <c r="M128" s="64" t="s">
        <v>77</v>
      </c>
      <c r="N128" s="1"/>
      <c r="O128" s="12">
        <f t="shared" si="11"/>
        <v>1.7702502272620713E-3</v>
      </c>
      <c r="P128" s="12">
        <f t="shared" si="12"/>
        <v>2.9779630732580387E-3</v>
      </c>
      <c r="Q128" s="12">
        <f t="shared" si="13"/>
        <v>-6.0276389297264643E-3</v>
      </c>
      <c r="R128" s="12">
        <f t="shared" si="14"/>
        <v>1.5316867700556624E-3</v>
      </c>
      <c r="S128" s="12">
        <f t="shared" si="15"/>
        <v>-1.1116384801778567E-2</v>
      </c>
      <c r="T128" s="12">
        <f t="shared" si="16"/>
        <v>-8.4581923634606815E-3</v>
      </c>
      <c r="U128" s="12">
        <f t="shared" si="17"/>
        <v>1.4782608695651511E-3</v>
      </c>
      <c r="V128" s="12">
        <f t="shared" si="18"/>
        <v>4.1640684542368023E-2</v>
      </c>
      <c r="W128" s="12">
        <f t="shared" si="19"/>
        <v>1.2836647369745879E-2</v>
      </c>
      <c r="X128" s="12">
        <f t="shared" si="20"/>
        <v>-1.4153978125670208E-2</v>
      </c>
      <c r="Y128" s="12">
        <f t="shared" si="21"/>
        <v>1.9555864586502381E-3</v>
      </c>
    </row>
    <row r="129" spans="1:25" x14ac:dyDescent="0.35">
      <c r="A129" s="6">
        <v>44313</v>
      </c>
      <c r="B129" s="8">
        <v>4186.7</v>
      </c>
      <c r="C129" s="2">
        <v>134.38999999999999</v>
      </c>
      <c r="D129" s="2">
        <v>135.63999999999999</v>
      </c>
      <c r="E129" s="2">
        <v>261.97000000000003</v>
      </c>
      <c r="F129" s="2">
        <v>394.5</v>
      </c>
      <c r="G129" s="2">
        <v>163.18</v>
      </c>
      <c r="H129" s="2">
        <v>229.91</v>
      </c>
      <c r="I129" s="2">
        <v>150.36000000000001</v>
      </c>
      <c r="J129" s="2">
        <v>242.47</v>
      </c>
      <c r="K129" s="2">
        <v>46.13</v>
      </c>
      <c r="L129" s="2">
        <v>230.34</v>
      </c>
      <c r="M129" s="64" t="s">
        <v>77</v>
      </c>
      <c r="N129" s="1"/>
      <c r="O129" s="12">
        <f t="shared" si="11"/>
        <v>-2.1492024071079197E-4</v>
      </c>
      <c r="P129" s="12">
        <f t="shared" si="12"/>
        <v>-2.4495249406176756E-3</v>
      </c>
      <c r="Q129" s="12">
        <f t="shared" si="13"/>
        <v>3.1060494009760298E-3</v>
      </c>
      <c r="R129" s="12">
        <f t="shared" si="14"/>
        <v>1.6058115083159574E-3</v>
      </c>
      <c r="S129" s="12">
        <f t="shared" si="15"/>
        <v>-3.4355580255646112E-3</v>
      </c>
      <c r="T129" s="12">
        <f t="shared" si="16"/>
        <v>-5.7275164513770349E-3</v>
      </c>
      <c r="U129" s="12">
        <f t="shared" si="17"/>
        <v>-1.8668055917340221E-3</v>
      </c>
      <c r="V129" s="12">
        <f t="shared" si="18"/>
        <v>1.3303179459889236E-4</v>
      </c>
      <c r="W129" s="12">
        <f t="shared" si="19"/>
        <v>4.2660702451955412E-3</v>
      </c>
      <c r="X129" s="12">
        <f t="shared" si="20"/>
        <v>3.4805307809442354E-3</v>
      </c>
      <c r="Y129" s="12">
        <f t="shared" si="21"/>
        <v>-9.5419847328248597E-4</v>
      </c>
    </row>
    <row r="130" spans="1:25" x14ac:dyDescent="0.35">
      <c r="A130" s="6">
        <v>44314</v>
      </c>
      <c r="B130" s="8">
        <v>4183.2</v>
      </c>
      <c r="C130" s="2">
        <v>133.58000000000001</v>
      </c>
      <c r="D130" s="2">
        <v>136.59</v>
      </c>
      <c r="E130" s="2">
        <v>254.56</v>
      </c>
      <c r="F130" s="2">
        <v>394.59</v>
      </c>
      <c r="G130" s="2">
        <v>161.97999999999999</v>
      </c>
      <c r="H130" s="2">
        <v>233.45</v>
      </c>
      <c r="I130" s="2">
        <v>152.54</v>
      </c>
      <c r="J130" s="2">
        <v>235.46</v>
      </c>
      <c r="K130" s="2">
        <v>45.96</v>
      </c>
      <c r="L130" s="2">
        <v>232.3</v>
      </c>
      <c r="M130" s="64">
        <v>4.5</v>
      </c>
      <c r="N130" s="1"/>
      <c r="O130" s="12">
        <f t="shared" si="11"/>
        <v>-8.3598060524991968E-4</v>
      </c>
      <c r="P130" s="12">
        <f t="shared" si="12"/>
        <v>-6.0272341692088061E-3</v>
      </c>
      <c r="Q130" s="12">
        <f t="shared" si="13"/>
        <v>7.0038336773814436E-3</v>
      </c>
      <c r="R130" s="12">
        <f t="shared" si="14"/>
        <v>-2.8285681566591725E-2</v>
      </c>
      <c r="S130" s="12">
        <f t="shared" si="15"/>
        <v>2.2813688212930394E-4</v>
      </c>
      <c r="T130" s="12">
        <f t="shared" si="16"/>
        <v>-7.3538423826450261E-3</v>
      </c>
      <c r="U130" s="12">
        <f t="shared" si="17"/>
        <v>1.5397329389761127E-2</v>
      </c>
      <c r="V130" s="12">
        <f t="shared" si="18"/>
        <v>1.4498536844905319E-2</v>
      </c>
      <c r="W130" s="12">
        <f t="shared" si="19"/>
        <v>-2.8910793087804643E-2</v>
      </c>
      <c r="X130" s="12">
        <f t="shared" si="20"/>
        <v>-3.6852373726425913E-3</v>
      </c>
      <c r="Y130" s="12">
        <f t="shared" si="21"/>
        <v>8.5091603716245245E-3</v>
      </c>
    </row>
    <row r="131" spans="1:25" x14ac:dyDescent="0.35">
      <c r="A131" s="6">
        <v>44315</v>
      </c>
      <c r="B131" s="8">
        <v>4211.5</v>
      </c>
      <c r="C131" s="2">
        <v>133.47999999999999</v>
      </c>
      <c r="D131" s="2">
        <v>137.77000000000001</v>
      </c>
      <c r="E131" s="2">
        <v>252.51</v>
      </c>
      <c r="F131" s="2">
        <v>401.55</v>
      </c>
      <c r="G131" s="2">
        <v>164.2</v>
      </c>
      <c r="H131" s="2">
        <v>236.86</v>
      </c>
      <c r="I131" s="2">
        <v>154.63</v>
      </c>
      <c r="J131" s="2">
        <v>235.94</v>
      </c>
      <c r="K131" s="2">
        <v>46.54</v>
      </c>
      <c r="L131" s="2">
        <v>227.47</v>
      </c>
      <c r="M131" s="64" t="s">
        <v>77</v>
      </c>
      <c r="N131" s="1"/>
      <c r="O131" s="12">
        <f t="shared" si="11"/>
        <v>6.7651558615413609E-3</v>
      </c>
      <c r="P131" s="12">
        <f t="shared" si="12"/>
        <v>-7.4861506213519391E-4</v>
      </c>
      <c r="Q131" s="12">
        <f t="shared" si="13"/>
        <v>8.6389926056080757E-3</v>
      </c>
      <c r="R131" s="12">
        <f t="shared" si="14"/>
        <v>-8.0531112507856717E-3</v>
      </c>
      <c r="S131" s="12">
        <f t="shared" si="15"/>
        <v>1.7638561544894849E-2</v>
      </c>
      <c r="T131" s="12">
        <f t="shared" si="16"/>
        <v>1.3705395727867664E-2</v>
      </c>
      <c r="U131" s="12">
        <f t="shared" si="17"/>
        <v>1.4606982223174247E-2</v>
      </c>
      <c r="V131" s="12">
        <f t="shared" si="18"/>
        <v>1.3701324242821666E-2</v>
      </c>
      <c r="W131" s="12">
        <f t="shared" si="19"/>
        <v>2.0385628132166822E-3</v>
      </c>
      <c r="X131" s="12">
        <f t="shared" si="20"/>
        <v>1.2619669277632584E-2</v>
      </c>
      <c r="Y131" s="12">
        <f t="shared" si="21"/>
        <v>-2.0792079207920811E-2</v>
      </c>
    </row>
    <row r="132" spans="1:25" x14ac:dyDescent="0.35">
      <c r="A132" s="6">
        <v>44316</v>
      </c>
      <c r="B132" s="8">
        <v>4181.2</v>
      </c>
      <c r="C132" s="2">
        <v>131.46</v>
      </c>
      <c r="D132" s="2">
        <v>135.52000000000001</v>
      </c>
      <c r="E132" s="2">
        <v>252.18</v>
      </c>
      <c r="F132" s="2">
        <v>398.8</v>
      </c>
      <c r="G132" s="2">
        <v>162.72999999999999</v>
      </c>
      <c r="H132" s="2">
        <v>233.56</v>
      </c>
      <c r="I132" s="2">
        <v>153.35</v>
      </c>
      <c r="J132" s="2">
        <v>234.31</v>
      </c>
      <c r="K132" s="2">
        <v>46.64</v>
      </c>
      <c r="L132" s="2">
        <v>228.11</v>
      </c>
      <c r="M132" s="64" t="s">
        <v>77</v>
      </c>
      <c r="N132" s="1"/>
      <c r="O132" s="12">
        <f t="shared" si="11"/>
        <v>-7.194586251929258E-3</v>
      </c>
      <c r="P132" s="12">
        <f t="shared" si="12"/>
        <v>-1.5133353311357345E-2</v>
      </c>
      <c r="Q132" s="12">
        <f t="shared" si="13"/>
        <v>-1.6331567104594602E-2</v>
      </c>
      <c r="R132" s="12">
        <f t="shared" si="14"/>
        <v>-1.3068789354876431E-3</v>
      </c>
      <c r="S132" s="12">
        <f t="shared" si="15"/>
        <v>-6.8484622089403091E-3</v>
      </c>
      <c r="T132" s="12">
        <f t="shared" si="16"/>
        <v>-8.9524969549330535E-3</v>
      </c>
      <c r="U132" s="12">
        <f t="shared" si="17"/>
        <v>-1.393228067212704E-2</v>
      </c>
      <c r="V132" s="12">
        <f t="shared" si="18"/>
        <v>-8.2778244842527382E-3</v>
      </c>
      <c r="W132" s="12">
        <f t="shared" si="19"/>
        <v>-6.908536068491955E-3</v>
      </c>
      <c r="X132" s="12">
        <f t="shared" si="20"/>
        <v>2.1486892995272733E-3</v>
      </c>
      <c r="Y132" s="12">
        <f t="shared" si="21"/>
        <v>2.8135578318020382E-3</v>
      </c>
    </row>
    <row r="133" spans="1:25" x14ac:dyDescent="0.35">
      <c r="A133" s="6">
        <v>44319</v>
      </c>
      <c r="B133" s="8">
        <v>4192.7</v>
      </c>
      <c r="C133" s="2">
        <v>132.54</v>
      </c>
      <c r="D133" s="2">
        <v>138.26</v>
      </c>
      <c r="E133" s="2">
        <v>251.86</v>
      </c>
      <c r="F133" s="2">
        <v>405.9</v>
      </c>
      <c r="G133" s="2">
        <v>165.21</v>
      </c>
      <c r="H133" s="2">
        <v>232.61</v>
      </c>
      <c r="I133" s="2">
        <v>154.80000000000001</v>
      </c>
      <c r="J133" s="2">
        <v>235.19</v>
      </c>
      <c r="K133" s="2">
        <v>47.37</v>
      </c>
      <c r="L133" s="2">
        <v>228.17</v>
      </c>
      <c r="M133" s="64" t="s">
        <v>77</v>
      </c>
      <c r="N133" s="1"/>
      <c r="O133" s="12">
        <f t="shared" ref="O133:O196" si="22">(B133/B132)-1</f>
        <v>2.7504065818424461E-3</v>
      </c>
      <c r="P133" s="12">
        <f t="shared" ref="P133:P196" si="23">(C133/C132)-1</f>
        <v>8.2154267457781316E-3</v>
      </c>
      <c r="Q133" s="12">
        <f t="shared" ref="Q133:Q196" si="24">(D133/D132)-1</f>
        <v>2.021841794569057E-2</v>
      </c>
      <c r="R133" s="12">
        <f t="shared" ref="R133:R196" si="25">(E133/E132)-1</f>
        <v>-1.2689348877785722E-3</v>
      </c>
      <c r="S133" s="12">
        <f t="shared" ref="S133:S196" si="26">(F133/F132)-1</f>
        <v>1.7803410230692096E-2</v>
      </c>
      <c r="T133" s="12">
        <f t="shared" ref="T133:T196" si="27">(G133/G132)-1</f>
        <v>1.5239968045228425E-2</v>
      </c>
      <c r="U133" s="12">
        <f t="shared" ref="U133:U196" si="28">(H133/H132)-1</f>
        <v>-4.0674773077581383E-3</v>
      </c>
      <c r="V133" s="12">
        <f t="shared" ref="V133:V196" si="29">(I133/I132)-1</f>
        <v>9.4554939680471239E-3</v>
      </c>
      <c r="W133" s="12">
        <f t="shared" ref="W133:W196" si="30">(J133/J132)-1</f>
        <v>3.7557082497545746E-3</v>
      </c>
      <c r="X133" s="12">
        <f t="shared" ref="X133:X196" si="31">(K133/K132)-1</f>
        <v>1.5651801029159529E-2</v>
      </c>
      <c r="Y133" s="12">
        <f t="shared" ref="Y133:Y196" si="32">(L133/L132)-1</f>
        <v>2.6303099381874695E-4</v>
      </c>
    </row>
    <row r="134" spans="1:25" x14ac:dyDescent="0.35">
      <c r="A134" s="6">
        <v>44320</v>
      </c>
      <c r="B134" s="8">
        <v>4164.7</v>
      </c>
      <c r="C134" s="2">
        <v>127.85</v>
      </c>
      <c r="D134" s="2">
        <v>139.22</v>
      </c>
      <c r="E134" s="2">
        <v>247.79</v>
      </c>
      <c r="F134" s="2">
        <v>411.34</v>
      </c>
      <c r="G134" s="2">
        <v>167.77</v>
      </c>
      <c r="H134" s="2">
        <v>232.03</v>
      </c>
      <c r="I134" s="2">
        <v>154.53</v>
      </c>
      <c r="J134" s="2">
        <v>233.63</v>
      </c>
      <c r="K134" s="2">
        <v>46.91</v>
      </c>
      <c r="L134" s="2">
        <v>233.41</v>
      </c>
      <c r="M134" s="64" t="s">
        <v>77</v>
      </c>
      <c r="N134" s="1"/>
      <c r="O134" s="12">
        <f t="shared" si="22"/>
        <v>-6.6782741431535841E-3</v>
      </c>
      <c r="P134" s="12">
        <f t="shared" si="23"/>
        <v>-3.5385543986721002E-2</v>
      </c>
      <c r="Q134" s="12">
        <f t="shared" si="24"/>
        <v>6.9434398958485577E-3</v>
      </c>
      <c r="R134" s="12">
        <f t="shared" si="25"/>
        <v>-1.6159771301516801E-2</v>
      </c>
      <c r="S134" s="12">
        <f t="shared" si="26"/>
        <v>1.3402315841340329E-2</v>
      </c>
      <c r="T134" s="12">
        <f t="shared" si="27"/>
        <v>1.5495430058713122E-2</v>
      </c>
      <c r="U134" s="12">
        <f t="shared" si="28"/>
        <v>-2.4934439619965776E-3</v>
      </c>
      <c r="V134" s="12">
        <f t="shared" si="29"/>
        <v>-1.7441860465117198E-3</v>
      </c>
      <c r="W134" s="12">
        <f t="shared" si="30"/>
        <v>-6.6329350737701631E-3</v>
      </c>
      <c r="X134" s="12">
        <f t="shared" si="31"/>
        <v>-9.7107874181971976E-3</v>
      </c>
      <c r="Y134" s="12">
        <f t="shared" si="32"/>
        <v>2.2965332865845678E-2</v>
      </c>
    </row>
    <row r="135" spans="1:25" x14ac:dyDescent="0.35">
      <c r="A135" s="6">
        <v>44321</v>
      </c>
      <c r="B135" s="8">
        <v>4167.6000000000004</v>
      </c>
      <c r="C135" s="2">
        <v>128.1</v>
      </c>
      <c r="D135" s="2">
        <v>138.71</v>
      </c>
      <c r="E135" s="2">
        <v>246.47</v>
      </c>
      <c r="F135" s="2">
        <v>412.5</v>
      </c>
      <c r="G135" s="2">
        <v>167.07</v>
      </c>
      <c r="H135" s="2">
        <v>229.21</v>
      </c>
      <c r="I135" s="2">
        <v>156.38999999999999</v>
      </c>
      <c r="J135" s="2">
        <v>228.18</v>
      </c>
      <c r="K135" s="2">
        <v>46.87</v>
      </c>
      <c r="L135" s="2">
        <v>237.88</v>
      </c>
      <c r="M135" s="64">
        <v>4.42</v>
      </c>
      <c r="N135" s="1"/>
      <c r="O135" s="12">
        <f t="shared" si="22"/>
        <v>6.9632866713109642E-4</v>
      </c>
      <c r="P135" s="12">
        <f t="shared" si="23"/>
        <v>1.9554165037152238E-3</v>
      </c>
      <c r="Q135" s="12">
        <f t="shared" si="24"/>
        <v>-3.6632667720154499E-3</v>
      </c>
      <c r="R135" s="12">
        <f t="shared" si="25"/>
        <v>-5.3270914887606491E-3</v>
      </c>
      <c r="S135" s="12">
        <f t="shared" si="26"/>
        <v>2.8200515388729919E-3</v>
      </c>
      <c r="T135" s="12">
        <f t="shared" si="27"/>
        <v>-4.1723788519998362E-3</v>
      </c>
      <c r="U135" s="12">
        <f t="shared" si="28"/>
        <v>-1.2153600827479183E-2</v>
      </c>
      <c r="V135" s="12">
        <f t="shared" si="29"/>
        <v>1.203649776742366E-2</v>
      </c>
      <c r="W135" s="12">
        <f t="shared" si="30"/>
        <v>-2.3327483627958667E-2</v>
      </c>
      <c r="X135" s="12">
        <f t="shared" si="31"/>
        <v>-8.5269665316556331E-4</v>
      </c>
      <c r="Y135" s="12">
        <f t="shared" si="32"/>
        <v>1.9150850434857203E-2</v>
      </c>
    </row>
    <row r="136" spans="1:25" x14ac:dyDescent="0.35">
      <c r="A136" s="6">
        <v>44322</v>
      </c>
      <c r="B136" s="8">
        <v>4201.6000000000004</v>
      </c>
      <c r="C136" s="2">
        <v>129.74</v>
      </c>
      <c r="D136" s="2">
        <v>141.77000000000001</v>
      </c>
      <c r="E136" s="2">
        <v>249.73</v>
      </c>
      <c r="F136" s="2">
        <v>414.97</v>
      </c>
      <c r="G136" s="2">
        <v>167.74</v>
      </c>
      <c r="H136" s="2">
        <v>231.32</v>
      </c>
      <c r="I136" s="2">
        <v>156.88</v>
      </c>
      <c r="J136" s="2">
        <v>229.81</v>
      </c>
      <c r="K136" s="2">
        <v>47.02</v>
      </c>
      <c r="L136" s="2">
        <v>237.07</v>
      </c>
      <c r="M136" s="64" t="s">
        <v>77</v>
      </c>
      <c r="N136" s="1"/>
      <c r="O136" s="12">
        <f t="shared" si="22"/>
        <v>8.1581725693444795E-3</v>
      </c>
      <c r="P136" s="12">
        <f t="shared" si="23"/>
        <v>1.2802498048399835E-2</v>
      </c>
      <c r="Q136" s="12">
        <f t="shared" si="24"/>
        <v>2.2060413812991175E-2</v>
      </c>
      <c r="R136" s="12">
        <f t="shared" si="25"/>
        <v>1.3226761877713322E-2</v>
      </c>
      <c r="S136" s="12">
        <f t="shared" si="26"/>
        <v>5.9878787878788753E-3</v>
      </c>
      <c r="T136" s="12">
        <f t="shared" si="27"/>
        <v>4.0102950858922348E-3</v>
      </c>
      <c r="U136" s="12">
        <f t="shared" si="28"/>
        <v>9.2055320448496403E-3</v>
      </c>
      <c r="V136" s="12">
        <f t="shared" si="29"/>
        <v>3.1331926593771708E-3</v>
      </c>
      <c r="W136" s="12">
        <f t="shared" si="30"/>
        <v>7.1434832150056859E-3</v>
      </c>
      <c r="X136" s="12">
        <f t="shared" si="31"/>
        <v>3.200341369746118E-3</v>
      </c>
      <c r="Y136" s="12">
        <f t="shared" si="32"/>
        <v>-3.405078190684363E-3</v>
      </c>
    </row>
    <row r="137" spans="1:25" x14ac:dyDescent="0.35">
      <c r="A137" s="6">
        <v>44323</v>
      </c>
      <c r="B137" s="8">
        <v>4232.6000000000004</v>
      </c>
      <c r="C137" s="2">
        <v>130.21</v>
      </c>
      <c r="D137" s="2">
        <v>138.94</v>
      </c>
      <c r="E137" s="2">
        <v>252.46</v>
      </c>
      <c r="F137" s="2">
        <v>417.65</v>
      </c>
      <c r="G137" s="2">
        <v>168.5</v>
      </c>
      <c r="H137" s="2">
        <v>232.12</v>
      </c>
      <c r="I137" s="2">
        <v>158.97999999999999</v>
      </c>
      <c r="J137" s="2">
        <v>235.47</v>
      </c>
      <c r="K137" s="2">
        <v>46.73</v>
      </c>
      <c r="L137" s="2">
        <v>240.99</v>
      </c>
      <c r="M137" s="64" t="s">
        <v>77</v>
      </c>
      <c r="N137" s="1"/>
      <c r="O137" s="12">
        <f t="shared" si="22"/>
        <v>7.3781416603198036E-3</v>
      </c>
      <c r="P137" s="12">
        <f t="shared" si="23"/>
        <v>3.6226298751349528E-3</v>
      </c>
      <c r="Q137" s="12">
        <f t="shared" si="24"/>
        <v>-1.996191013613613E-2</v>
      </c>
      <c r="R137" s="12">
        <f t="shared" si="25"/>
        <v>1.0931806350858997E-2</v>
      </c>
      <c r="S137" s="12">
        <f t="shared" si="26"/>
        <v>6.4582981902305825E-3</v>
      </c>
      <c r="T137" s="12">
        <f t="shared" si="27"/>
        <v>4.5308215094788107E-3</v>
      </c>
      <c r="U137" s="12">
        <f t="shared" si="28"/>
        <v>3.4584125886218953E-3</v>
      </c>
      <c r="V137" s="12">
        <f t="shared" si="29"/>
        <v>1.3386027536970824E-2</v>
      </c>
      <c r="W137" s="12">
        <f t="shared" si="30"/>
        <v>2.4629041382011163E-2</v>
      </c>
      <c r="X137" s="12">
        <f t="shared" si="31"/>
        <v>-6.1675882603149379E-3</v>
      </c>
      <c r="Y137" s="12">
        <f t="shared" si="32"/>
        <v>1.6535200573670306E-2</v>
      </c>
    </row>
    <row r="138" spans="1:25" x14ac:dyDescent="0.35">
      <c r="A138" s="6">
        <v>44326</v>
      </c>
      <c r="B138" s="8">
        <v>4188.3999999999996</v>
      </c>
      <c r="C138" s="2">
        <v>126.85</v>
      </c>
      <c r="D138" s="2">
        <v>139.62</v>
      </c>
      <c r="E138" s="2">
        <v>247.18</v>
      </c>
      <c r="F138" s="2">
        <v>420.89</v>
      </c>
      <c r="G138" s="2">
        <v>170.27</v>
      </c>
      <c r="H138" s="2">
        <v>225.97</v>
      </c>
      <c r="I138" s="2">
        <v>158.68</v>
      </c>
      <c r="J138" s="2">
        <v>232.93</v>
      </c>
      <c r="K138" s="2">
        <v>46.94</v>
      </c>
      <c r="L138" s="2">
        <v>242.61</v>
      </c>
      <c r="M138" s="64" t="s">
        <v>77</v>
      </c>
      <c r="N138" s="1"/>
      <c r="O138" s="12">
        <f t="shared" si="22"/>
        <v>-1.0442753862874077E-2</v>
      </c>
      <c r="P138" s="12">
        <f t="shared" si="23"/>
        <v>-2.5804469702787936E-2</v>
      </c>
      <c r="Q138" s="12">
        <f t="shared" si="24"/>
        <v>4.8941989347921488E-3</v>
      </c>
      <c r="R138" s="12">
        <f t="shared" si="25"/>
        <v>-2.0914204230373157E-2</v>
      </c>
      <c r="S138" s="12">
        <f t="shared" si="26"/>
        <v>7.757691847240622E-3</v>
      </c>
      <c r="T138" s="12">
        <f t="shared" si="27"/>
        <v>1.0504451038575668E-2</v>
      </c>
      <c r="U138" s="12">
        <f t="shared" si="28"/>
        <v>-2.6494916422540093E-2</v>
      </c>
      <c r="V138" s="12">
        <f t="shared" si="29"/>
        <v>-1.8870298150709397E-3</v>
      </c>
      <c r="W138" s="12">
        <f t="shared" si="30"/>
        <v>-1.0786936764768273E-2</v>
      </c>
      <c r="X138" s="12">
        <f t="shared" si="31"/>
        <v>4.4939011341751378E-3</v>
      </c>
      <c r="Y138" s="12">
        <f t="shared" si="32"/>
        <v>6.7222706336362847E-3</v>
      </c>
    </row>
    <row r="139" spans="1:25" x14ac:dyDescent="0.35">
      <c r="A139" s="6">
        <v>44327</v>
      </c>
      <c r="B139" s="8">
        <v>4152.1000000000004</v>
      </c>
      <c r="C139" s="2">
        <v>125.91</v>
      </c>
      <c r="D139" s="2">
        <v>137.75</v>
      </c>
      <c r="E139" s="2">
        <v>246.23</v>
      </c>
      <c r="F139" s="2">
        <v>411.7</v>
      </c>
      <c r="G139" s="2">
        <v>168.88</v>
      </c>
      <c r="H139" s="2">
        <v>225.48</v>
      </c>
      <c r="I139" s="2">
        <v>154.43</v>
      </c>
      <c r="J139" s="2">
        <v>228.88</v>
      </c>
      <c r="K139" s="2">
        <v>46.52</v>
      </c>
      <c r="L139" s="2">
        <v>239.3</v>
      </c>
      <c r="M139" s="64" t="s">
        <v>77</v>
      </c>
      <c r="N139" s="1"/>
      <c r="O139" s="12">
        <f t="shared" si="22"/>
        <v>-8.6667940024828249E-3</v>
      </c>
      <c r="P139" s="12">
        <f t="shared" si="23"/>
        <v>-7.41032715806067E-3</v>
      </c>
      <c r="Q139" s="12">
        <f t="shared" si="24"/>
        <v>-1.3393496633720137E-2</v>
      </c>
      <c r="R139" s="12">
        <f t="shared" si="25"/>
        <v>-3.8433530220892687E-3</v>
      </c>
      <c r="S139" s="12">
        <f t="shared" si="26"/>
        <v>-2.1834683646558495E-2</v>
      </c>
      <c r="T139" s="12">
        <f t="shared" si="27"/>
        <v>-8.1635050214365901E-3</v>
      </c>
      <c r="U139" s="12">
        <f t="shared" si="28"/>
        <v>-2.1684294375360347E-3</v>
      </c>
      <c r="V139" s="12">
        <f t="shared" si="29"/>
        <v>-2.6783463574489574E-2</v>
      </c>
      <c r="W139" s="12">
        <f t="shared" si="30"/>
        <v>-1.7387197870604942E-2</v>
      </c>
      <c r="X139" s="12">
        <f t="shared" si="31"/>
        <v>-8.9475926714953635E-3</v>
      </c>
      <c r="Y139" s="12">
        <f t="shared" si="32"/>
        <v>-1.3643295824574464E-2</v>
      </c>
    </row>
    <row r="140" spans="1:25" x14ac:dyDescent="0.35">
      <c r="A140" s="6">
        <v>44328</v>
      </c>
      <c r="B140" s="8">
        <v>4063</v>
      </c>
      <c r="C140" s="2">
        <v>122.77</v>
      </c>
      <c r="D140" s="2">
        <v>134.96</v>
      </c>
      <c r="E140" s="2">
        <v>239</v>
      </c>
      <c r="F140" s="2">
        <v>405.37</v>
      </c>
      <c r="G140" s="2">
        <v>168.2</v>
      </c>
      <c r="H140" s="2">
        <v>220.63</v>
      </c>
      <c r="I140" s="2">
        <v>152.30000000000001</v>
      </c>
      <c r="J140" s="2">
        <v>220.78</v>
      </c>
      <c r="K140" s="2">
        <v>45.31</v>
      </c>
      <c r="L140" s="2">
        <v>237.32</v>
      </c>
      <c r="M140" s="64">
        <v>4.41</v>
      </c>
      <c r="N140" s="1"/>
      <c r="O140" s="12">
        <f t="shared" si="22"/>
        <v>-2.145902073649486E-2</v>
      </c>
      <c r="P140" s="12">
        <f t="shared" si="23"/>
        <v>-2.4938448097847621E-2</v>
      </c>
      <c r="Q140" s="12">
        <f t="shared" si="24"/>
        <v>-2.0254083484573471E-2</v>
      </c>
      <c r="R140" s="12">
        <f t="shared" si="25"/>
        <v>-2.9362790886569456E-2</v>
      </c>
      <c r="S140" s="12">
        <f t="shared" si="26"/>
        <v>-1.5375273257226096E-2</v>
      </c>
      <c r="T140" s="12">
        <f t="shared" si="27"/>
        <v>-4.0265277119848619E-3</v>
      </c>
      <c r="U140" s="12">
        <f t="shared" si="28"/>
        <v>-2.1509668263260617E-2</v>
      </c>
      <c r="V140" s="12">
        <f t="shared" si="29"/>
        <v>-1.3792656867189002E-2</v>
      </c>
      <c r="W140" s="12">
        <f t="shared" si="30"/>
        <v>-3.5389723872771728E-2</v>
      </c>
      <c r="X140" s="12">
        <f t="shared" si="31"/>
        <v>-2.6010318142734357E-2</v>
      </c>
      <c r="Y140" s="12">
        <f t="shared" si="32"/>
        <v>-8.2741328875888254E-3</v>
      </c>
    </row>
    <row r="141" spans="1:25" x14ac:dyDescent="0.35">
      <c r="A141" s="6">
        <v>44329</v>
      </c>
      <c r="B141" s="8">
        <v>4112.5</v>
      </c>
      <c r="C141" s="2">
        <v>124.97</v>
      </c>
      <c r="D141" s="2">
        <v>137.71</v>
      </c>
      <c r="E141" s="2">
        <v>243.03</v>
      </c>
      <c r="F141" s="2">
        <v>408.56</v>
      </c>
      <c r="G141" s="2">
        <v>169.96</v>
      </c>
      <c r="H141" s="2">
        <v>223.74</v>
      </c>
      <c r="I141" s="2">
        <v>154.08000000000001</v>
      </c>
      <c r="J141" s="2">
        <v>222.64</v>
      </c>
      <c r="K141" s="2">
        <v>46.08</v>
      </c>
      <c r="L141" s="2">
        <v>240.07</v>
      </c>
      <c r="M141" s="64" t="s">
        <v>77</v>
      </c>
      <c r="N141" s="1"/>
      <c r="O141" s="12">
        <f t="shared" si="22"/>
        <v>1.2183115924193855E-2</v>
      </c>
      <c r="P141" s="12">
        <f t="shared" si="23"/>
        <v>1.7919687220004921E-2</v>
      </c>
      <c r="Q141" s="12">
        <f t="shared" si="24"/>
        <v>2.0376407824540532E-2</v>
      </c>
      <c r="R141" s="12">
        <f t="shared" si="25"/>
        <v>1.686192468619252E-2</v>
      </c>
      <c r="S141" s="12">
        <f t="shared" si="26"/>
        <v>7.8693539235759058E-3</v>
      </c>
      <c r="T141" s="12">
        <f t="shared" si="27"/>
        <v>1.0463733650416307E-2</v>
      </c>
      <c r="U141" s="12">
        <f t="shared" si="28"/>
        <v>1.4095997824411954E-2</v>
      </c>
      <c r="V141" s="12">
        <f t="shared" si="29"/>
        <v>1.1687458962573949E-2</v>
      </c>
      <c r="W141" s="12">
        <f t="shared" si="30"/>
        <v>8.4246761482018595E-3</v>
      </c>
      <c r="X141" s="12">
        <f t="shared" si="31"/>
        <v>1.6994041050540698E-2</v>
      </c>
      <c r="Y141" s="12">
        <f t="shared" si="32"/>
        <v>1.1587729647732914E-2</v>
      </c>
    </row>
    <row r="142" spans="1:25" x14ac:dyDescent="0.35">
      <c r="A142" s="6">
        <v>44330</v>
      </c>
      <c r="B142" s="8">
        <v>4173.8999999999996</v>
      </c>
      <c r="C142" s="2">
        <v>127.45</v>
      </c>
      <c r="D142" s="2">
        <v>138.19</v>
      </c>
      <c r="E142" s="2">
        <v>248.15</v>
      </c>
      <c r="F142" s="2">
        <v>409.8</v>
      </c>
      <c r="G142" s="2">
        <v>170.22</v>
      </c>
      <c r="H142" s="2">
        <v>226.94</v>
      </c>
      <c r="I142" s="2">
        <v>157.15</v>
      </c>
      <c r="J142" s="2">
        <v>228.47</v>
      </c>
      <c r="K142" s="2">
        <v>46.51</v>
      </c>
      <c r="L142" s="2">
        <v>242.23</v>
      </c>
      <c r="M142" s="64" t="s">
        <v>77</v>
      </c>
      <c r="N142" s="1"/>
      <c r="O142" s="12">
        <f t="shared" si="22"/>
        <v>1.4930091185410221E-2</v>
      </c>
      <c r="P142" s="12">
        <f t="shared" si="23"/>
        <v>1.9844762743058464E-2</v>
      </c>
      <c r="Q142" s="12">
        <f t="shared" si="24"/>
        <v>3.4855856510056515E-3</v>
      </c>
      <c r="R142" s="12">
        <f t="shared" si="25"/>
        <v>2.1067357939348996E-2</v>
      </c>
      <c r="S142" s="12">
        <f t="shared" si="26"/>
        <v>3.0350499314666379E-3</v>
      </c>
      <c r="T142" s="12">
        <f t="shared" si="27"/>
        <v>1.5297717109907794E-3</v>
      </c>
      <c r="U142" s="12">
        <f t="shared" si="28"/>
        <v>1.4302315187270986E-2</v>
      </c>
      <c r="V142" s="12">
        <f t="shared" si="29"/>
        <v>1.9924714434060187E-2</v>
      </c>
      <c r="W142" s="12">
        <f t="shared" si="30"/>
        <v>2.6185770750988269E-2</v>
      </c>
      <c r="X142" s="12">
        <f t="shared" si="31"/>
        <v>9.3315972222223209E-3</v>
      </c>
      <c r="Y142" s="12">
        <f t="shared" si="32"/>
        <v>8.9973757654018272E-3</v>
      </c>
    </row>
    <row r="143" spans="1:25" x14ac:dyDescent="0.35">
      <c r="A143" s="6">
        <v>44333</v>
      </c>
      <c r="B143" s="8">
        <v>4163.3</v>
      </c>
      <c r="C143" s="2">
        <v>126.27</v>
      </c>
      <c r="D143" s="2">
        <v>138.6</v>
      </c>
      <c r="E143" s="2">
        <v>245.18</v>
      </c>
      <c r="F143" s="2">
        <v>408.63</v>
      </c>
      <c r="G143" s="2">
        <v>170.39</v>
      </c>
      <c r="H143" s="2">
        <v>226.44</v>
      </c>
      <c r="I143" s="2">
        <v>156.86000000000001</v>
      </c>
      <c r="J143" s="2">
        <v>227.98</v>
      </c>
      <c r="K143" s="2">
        <v>46.3</v>
      </c>
      <c r="L143" s="2">
        <v>244.79</v>
      </c>
      <c r="M143" s="64" t="s">
        <v>77</v>
      </c>
      <c r="N143" s="1"/>
      <c r="O143" s="12">
        <f t="shared" si="22"/>
        <v>-2.5395912695559408E-3</v>
      </c>
      <c r="P143" s="12">
        <f t="shared" si="23"/>
        <v>-9.2585327579443044E-3</v>
      </c>
      <c r="Q143" s="12">
        <f t="shared" si="24"/>
        <v>2.9669295896952441E-3</v>
      </c>
      <c r="R143" s="12">
        <f t="shared" si="25"/>
        <v>-1.196856739875074E-2</v>
      </c>
      <c r="S143" s="12">
        <f t="shared" si="26"/>
        <v>-2.8550512445095766E-3</v>
      </c>
      <c r="T143" s="12">
        <f t="shared" si="27"/>
        <v>9.9870755492892371E-4</v>
      </c>
      <c r="U143" s="12">
        <f t="shared" si="28"/>
        <v>-2.2032255221644537E-3</v>
      </c>
      <c r="V143" s="12">
        <f t="shared" si="29"/>
        <v>-1.8453706649697033E-3</v>
      </c>
      <c r="W143" s="12">
        <f t="shared" si="30"/>
        <v>-2.144701711384478E-3</v>
      </c>
      <c r="X143" s="12">
        <f t="shared" si="31"/>
        <v>-4.5151580305310413E-3</v>
      </c>
      <c r="Y143" s="12">
        <f t="shared" si="32"/>
        <v>1.0568467984972907E-2</v>
      </c>
    </row>
    <row r="144" spans="1:25" x14ac:dyDescent="0.35">
      <c r="A144" s="6">
        <v>44334</v>
      </c>
      <c r="B144" s="8">
        <v>4127.8</v>
      </c>
      <c r="C144" s="2">
        <v>124.85</v>
      </c>
      <c r="D144" s="2">
        <v>137.46</v>
      </c>
      <c r="E144" s="2">
        <v>243.08</v>
      </c>
      <c r="F144" s="2">
        <v>410.38</v>
      </c>
      <c r="G144" s="2">
        <v>170.45</v>
      </c>
      <c r="H144" s="2">
        <v>225.57</v>
      </c>
      <c r="I144" s="2">
        <v>154.99</v>
      </c>
      <c r="J144" s="2">
        <v>227.55</v>
      </c>
      <c r="K144" s="2">
        <v>47.3</v>
      </c>
      <c r="L144" s="2">
        <v>239.47</v>
      </c>
      <c r="M144" s="64" t="s">
        <v>77</v>
      </c>
      <c r="N144" s="1"/>
      <c r="O144" s="12">
        <f t="shared" si="22"/>
        <v>-8.5268897268993005E-3</v>
      </c>
      <c r="P144" s="12">
        <f t="shared" si="23"/>
        <v>-1.1245743248594287E-2</v>
      </c>
      <c r="Q144" s="12">
        <f t="shared" si="24"/>
        <v>-8.2251082251081353E-3</v>
      </c>
      <c r="R144" s="12">
        <f t="shared" si="25"/>
        <v>-8.5651358185822035E-3</v>
      </c>
      <c r="S144" s="12">
        <f t="shared" si="26"/>
        <v>4.2826028436482311E-3</v>
      </c>
      <c r="T144" s="12">
        <f t="shared" si="27"/>
        <v>3.5213334115846706E-4</v>
      </c>
      <c r="U144" s="12">
        <f t="shared" si="28"/>
        <v>-3.8420773714891165E-3</v>
      </c>
      <c r="V144" s="12">
        <f t="shared" si="29"/>
        <v>-1.192145862552596E-2</v>
      </c>
      <c r="W144" s="12">
        <f t="shared" si="30"/>
        <v>-1.8861303623124437E-3</v>
      </c>
      <c r="X144" s="12">
        <f t="shared" si="31"/>
        <v>2.1598272138228847E-2</v>
      </c>
      <c r="Y144" s="12">
        <f t="shared" si="32"/>
        <v>-2.1732913926222452E-2</v>
      </c>
    </row>
    <row r="145" spans="1:25" x14ac:dyDescent="0.35">
      <c r="A145" s="6">
        <v>44335</v>
      </c>
      <c r="B145" s="8">
        <v>4115.7</v>
      </c>
      <c r="C145" s="2">
        <v>124.69</v>
      </c>
      <c r="D145" s="2">
        <v>136.77000000000001</v>
      </c>
      <c r="E145" s="2">
        <v>243.12</v>
      </c>
      <c r="F145" s="2">
        <v>409.5</v>
      </c>
      <c r="G145" s="2">
        <v>170.08</v>
      </c>
      <c r="H145" s="2">
        <v>224.59</v>
      </c>
      <c r="I145" s="2">
        <v>154.72999999999999</v>
      </c>
      <c r="J145" s="2">
        <v>224.42</v>
      </c>
      <c r="K145" s="2">
        <v>47.31</v>
      </c>
      <c r="L145" s="2">
        <v>236.87</v>
      </c>
      <c r="M145" s="64">
        <v>4.45</v>
      </c>
      <c r="N145" s="1"/>
      <c r="O145" s="12">
        <f t="shared" si="22"/>
        <v>-2.9313435728476334E-3</v>
      </c>
      <c r="P145" s="12">
        <f t="shared" si="23"/>
        <v>-1.2815378454145154E-3</v>
      </c>
      <c r="Q145" s="12">
        <f t="shared" si="24"/>
        <v>-5.019642077695341E-3</v>
      </c>
      <c r="R145" s="12">
        <f t="shared" si="25"/>
        <v>1.6455487905209232E-4</v>
      </c>
      <c r="S145" s="12">
        <f t="shared" si="26"/>
        <v>-2.1443540133534444E-3</v>
      </c>
      <c r="T145" s="12">
        <f t="shared" si="27"/>
        <v>-2.170724552654546E-3</v>
      </c>
      <c r="U145" s="12">
        <f t="shared" si="28"/>
        <v>-4.3445493638337718E-3</v>
      </c>
      <c r="V145" s="12">
        <f t="shared" si="29"/>
        <v>-1.6775275824247871E-3</v>
      </c>
      <c r="W145" s="12">
        <f t="shared" si="30"/>
        <v>-1.3755218633267563E-2</v>
      </c>
      <c r="X145" s="12">
        <f t="shared" si="31"/>
        <v>2.1141649048628253E-4</v>
      </c>
      <c r="Y145" s="12">
        <f t="shared" si="32"/>
        <v>-1.0857309892679634E-2</v>
      </c>
    </row>
    <row r="146" spans="1:25" x14ac:dyDescent="0.35">
      <c r="A146" s="6">
        <v>44336</v>
      </c>
      <c r="B146" s="8">
        <v>4159.1000000000004</v>
      </c>
      <c r="C146" s="2">
        <v>127.31</v>
      </c>
      <c r="D146" s="2">
        <v>137.43</v>
      </c>
      <c r="E146" s="2">
        <v>246.48</v>
      </c>
      <c r="F146" s="2">
        <v>408.64</v>
      </c>
      <c r="G146" s="2">
        <v>171.07</v>
      </c>
      <c r="H146" s="2">
        <v>226.44</v>
      </c>
      <c r="I146" s="2">
        <v>155.53</v>
      </c>
      <c r="J146" s="2">
        <v>227.65</v>
      </c>
      <c r="K146" s="2">
        <v>47.47</v>
      </c>
      <c r="L146" s="2">
        <v>234.99</v>
      </c>
      <c r="M146" s="64" t="s">
        <v>77</v>
      </c>
      <c r="N146" s="1"/>
      <c r="O146" s="12">
        <f t="shared" si="22"/>
        <v>1.0544986272080115E-2</v>
      </c>
      <c r="P146" s="12">
        <f t="shared" si="23"/>
        <v>2.1012110032881504E-2</v>
      </c>
      <c r="Q146" s="12">
        <f t="shared" si="24"/>
        <v>4.8256196534326445E-3</v>
      </c>
      <c r="R146" s="12">
        <f t="shared" si="25"/>
        <v>1.382033563672258E-2</v>
      </c>
      <c r="S146" s="12">
        <f t="shared" si="26"/>
        <v>-2.1001221001221149E-3</v>
      </c>
      <c r="T146" s="12">
        <f t="shared" si="27"/>
        <v>5.8207902163687208E-3</v>
      </c>
      <c r="U146" s="12">
        <f t="shared" si="28"/>
        <v>8.2372322899506578E-3</v>
      </c>
      <c r="V146" s="12">
        <f t="shared" si="29"/>
        <v>5.1702966457700672E-3</v>
      </c>
      <c r="W146" s="12">
        <f t="shared" si="30"/>
        <v>1.4392656625969336E-2</v>
      </c>
      <c r="X146" s="12">
        <f t="shared" si="31"/>
        <v>3.3819488480235638E-3</v>
      </c>
      <c r="Y146" s="12">
        <f t="shared" si="32"/>
        <v>-7.9368429940473995E-3</v>
      </c>
    </row>
    <row r="147" spans="1:25" x14ac:dyDescent="0.35">
      <c r="A147" s="6">
        <v>44337</v>
      </c>
      <c r="B147" s="8">
        <v>4155.8999999999996</v>
      </c>
      <c r="C147" s="2">
        <v>125.43</v>
      </c>
      <c r="D147" s="2">
        <v>138.25</v>
      </c>
      <c r="E147" s="2">
        <v>245.17</v>
      </c>
      <c r="F147" s="2">
        <v>411.63</v>
      </c>
      <c r="G147" s="2">
        <v>170.96</v>
      </c>
      <c r="H147" s="2">
        <v>226.77</v>
      </c>
      <c r="I147" s="2">
        <v>156.87</v>
      </c>
      <c r="J147" s="2">
        <v>234.82</v>
      </c>
      <c r="K147" s="2">
        <v>47.25</v>
      </c>
      <c r="L147" s="2">
        <v>237.24</v>
      </c>
      <c r="M147" s="64" t="s">
        <v>77</v>
      </c>
      <c r="N147" s="1"/>
      <c r="O147" s="12">
        <f t="shared" si="22"/>
        <v>-7.693972253614012E-4</v>
      </c>
      <c r="P147" s="12">
        <f t="shared" si="23"/>
        <v>-1.4767103919566371E-2</v>
      </c>
      <c r="Q147" s="12">
        <f t="shared" si="24"/>
        <v>5.9666739430983551E-3</v>
      </c>
      <c r="R147" s="12">
        <f t="shared" si="25"/>
        <v>-5.3148328464783789E-3</v>
      </c>
      <c r="S147" s="12">
        <f t="shared" si="26"/>
        <v>7.3169537979640431E-3</v>
      </c>
      <c r="T147" s="12">
        <f t="shared" si="27"/>
        <v>-6.4301163266489159E-4</v>
      </c>
      <c r="U147" s="12">
        <f t="shared" si="28"/>
        <v>1.4573396926338411E-3</v>
      </c>
      <c r="V147" s="12">
        <f t="shared" si="29"/>
        <v>8.6157011509033765E-3</v>
      </c>
      <c r="W147" s="12">
        <f t="shared" si="30"/>
        <v>3.1495717109597976E-2</v>
      </c>
      <c r="X147" s="12">
        <f t="shared" si="31"/>
        <v>-4.6345060037918939E-3</v>
      </c>
      <c r="Y147" s="12">
        <f t="shared" si="32"/>
        <v>9.5748755266180652E-3</v>
      </c>
    </row>
    <row r="148" spans="1:25" x14ac:dyDescent="0.35">
      <c r="A148" s="6">
        <v>44340</v>
      </c>
      <c r="B148" s="8">
        <v>4197.1000000000004</v>
      </c>
      <c r="C148" s="2">
        <v>127.1</v>
      </c>
      <c r="D148" s="2">
        <v>138.22999999999999</v>
      </c>
      <c r="E148" s="2">
        <v>250.78</v>
      </c>
      <c r="F148" s="2">
        <v>410.95</v>
      </c>
      <c r="G148" s="2">
        <v>170.55</v>
      </c>
      <c r="H148" s="2">
        <v>229.32</v>
      </c>
      <c r="I148" s="2">
        <v>158.63999999999999</v>
      </c>
      <c r="J148" s="2">
        <v>237.44</v>
      </c>
      <c r="K148" s="2">
        <v>47.25</v>
      </c>
      <c r="L148" s="2">
        <v>239.05</v>
      </c>
      <c r="M148" s="64" t="s">
        <v>77</v>
      </c>
      <c r="N148" s="1"/>
      <c r="O148" s="12">
        <f t="shared" si="22"/>
        <v>9.913616785774515E-3</v>
      </c>
      <c r="P148" s="12">
        <f t="shared" si="23"/>
        <v>1.3314199154907058E-2</v>
      </c>
      <c r="Q148" s="12">
        <f t="shared" si="24"/>
        <v>-1.4466546112124057E-4</v>
      </c>
      <c r="R148" s="12">
        <f t="shared" si="25"/>
        <v>2.2882081820777556E-2</v>
      </c>
      <c r="S148" s="12">
        <f t="shared" si="26"/>
        <v>-1.651969001287612E-3</v>
      </c>
      <c r="T148" s="12">
        <f t="shared" si="27"/>
        <v>-2.398221806270473E-3</v>
      </c>
      <c r="U148" s="12">
        <f t="shared" si="28"/>
        <v>1.1244873660537058E-2</v>
      </c>
      <c r="V148" s="12">
        <f t="shared" si="29"/>
        <v>1.1283228150697822E-2</v>
      </c>
      <c r="W148" s="12">
        <f t="shared" si="30"/>
        <v>1.1157482326888735E-2</v>
      </c>
      <c r="X148" s="12">
        <f t="shared" si="31"/>
        <v>0</v>
      </c>
      <c r="Y148" s="12">
        <f t="shared" si="32"/>
        <v>7.6294048221210442E-3</v>
      </c>
    </row>
    <row r="149" spans="1:25" x14ac:dyDescent="0.35">
      <c r="A149" s="6">
        <v>44341</v>
      </c>
      <c r="B149" s="8">
        <v>4188.1000000000004</v>
      </c>
      <c r="C149" s="2">
        <v>126.9</v>
      </c>
      <c r="D149" s="2">
        <v>137.34</v>
      </c>
      <c r="E149" s="2">
        <v>251.72</v>
      </c>
      <c r="F149" s="2">
        <v>413.05</v>
      </c>
      <c r="G149" s="2">
        <v>170.08</v>
      </c>
      <c r="H149" s="2">
        <v>229.02</v>
      </c>
      <c r="I149" s="2">
        <v>158.01</v>
      </c>
      <c r="J149" s="2">
        <v>240.74</v>
      </c>
      <c r="K149" s="2">
        <v>47.45</v>
      </c>
      <c r="L149" s="2">
        <v>237.17</v>
      </c>
      <c r="M149" s="64">
        <v>4.25</v>
      </c>
      <c r="N149" s="1"/>
      <c r="O149" s="12">
        <f t="shared" si="22"/>
        <v>-2.1443377570227184E-3</v>
      </c>
      <c r="P149" s="12">
        <f t="shared" si="23"/>
        <v>-1.5735641227379027E-3</v>
      </c>
      <c r="Q149" s="12">
        <f t="shared" si="24"/>
        <v>-6.4385444548938908E-3</v>
      </c>
      <c r="R149" s="12">
        <f t="shared" si="25"/>
        <v>3.7483052875029177E-3</v>
      </c>
      <c r="S149" s="12">
        <f t="shared" si="26"/>
        <v>5.1101107190656414E-3</v>
      </c>
      <c r="T149" s="12">
        <f t="shared" si="27"/>
        <v>-2.7557900908824484E-3</v>
      </c>
      <c r="U149" s="12">
        <f t="shared" si="28"/>
        <v>-1.3082155939297957E-3</v>
      </c>
      <c r="V149" s="12">
        <f t="shared" si="29"/>
        <v>-3.9712556732223181E-3</v>
      </c>
      <c r="W149" s="12">
        <f t="shared" si="30"/>
        <v>1.389824797843664E-2</v>
      </c>
      <c r="X149" s="12">
        <f t="shared" si="31"/>
        <v>4.2328042328043658E-3</v>
      </c>
      <c r="Y149" s="12">
        <f t="shared" si="32"/>
        <v>-7.8644635013596087E-3</v>
      </c>
    </row>
    <row r="150" spans="1:25" x14ac:dyDescent="0.35">
      <c r="A150" s="6">
        <v>44342</v>
      </c>
      <c r="B150" s="8">
        <v>4196</v>
      </c>
      <c r="C150" s="2">
        <v>126.85</v>
      </c>
      <c r="D150" s="2">
        <v>136.94999999999999</v>
      </c>
      <c r="E150" s="2">
        <v>251.49</v>
      </c>
      <c r="F150" s="2">
        <v>413.21</v>
      </c>
      <c r="G150" s="2">
        <v>169.07</v>
      </c>
      <c r="H150" s="2">
        <v>227.07</v>
      </c>
      <c r="I150" s="2">
        <v>158.58000000000001</v>
      </c>
      <c r="J150" s="2">
        <v>241.37</v>
      </c>
      <c r="K150" s="2">
        <v>47.39</v>
      </c>
      <c r="L150" s="2">
        <v>237.71</v>
      </c>
      <c r="M150" s="64" t="s">
        <v>77</v>
      </c>
      <c r="N150" s="1"/>
      <c r="O150" s="12">
        <f t="shared" si="22"/>
        <v>1.8862968888038179E-3</v>
      </c>
      <c r="P150" s="12">
        <f t="shared" si="23"/>
        <v>-3.9401103230896073E-4</v>
      </c>
      <c r="Q150" s="12">
        <f t="shared" si="24"/>
        <v>-2.8396679772827449E-3</v>
      </c>
      <c r="R150" s="12">
        <f t="shared" si="25"/>
        <v>-9.1371365008741101E-4</v>
      </c>
      <c r="S150" s="12">
        <f t="shared" si="26"/>
        <v>3.8736230480562739E-4</v>
      </c>
      <c r="T150" s="12">
        <f t="shared" si="27"/>
        <v>-5.9383819379116298E-3</v>
      </c>
      <c r="U150" s="12">
        <f t="shared" si="28"/>
        <v>-8.5145402148284477E-3</v>
      </c>
      <c r="V150" s="12">
        <f t="shared" si="29"/>
        <v>3.6073666223657153E-3</v>
      </c>
      <c r="W150" s="12">
        <f t="shared" si="30"/>
        <v>2.6169311290187292E-3</v>
      </c>
      <c r="X150" s="12">
        <f t="shared" si="31"/>
        <v>-1.2644889357218414E-3</v>
      </c>
      <c r="Y150" s="12">
        <f t="shared" si="32"/>
        <v>2.276847830670059E-3</v>
      </c>
    </row>
    <row r="151" spans="1:25" x14ac:dyDescent="0.35">
      <c r="A151" s="6">
        <v>44343</v>
      </c>
      <c r="B151" s="8">
        <v>4200.8999999999996</v>
      </c>
      <c r="C151" s="2">
        <v>125.28</v>
      </c>
      <c r="D151" s="2">
        <v>137.37</v>
      </c>
      <c r="E151" s="2">
        <v>249.31</v>
      </c>
      <c r="F151" s="2">
        <v>412.7</v>
      </c>
      <c r="G151" s="2">
        <v>168.81</v>
      </c>
      <c r="H151" s="2">
        <v>226.86</v>
      </c>
      <c r="I151" s="2">
        <v>159.74</v>
      </c>
      <c r="J151" s="2">
        <v>250.7</v>
      </c>
      <c r="K151" s="2">
        <v>47.23</v>
      </c>
      <c r="L151" s="2">
        <v>241.28</v>
      </c>
      <c r="M151" s="64" t="s">
        <v>77</v>
      </c>
      <c r="N151" s="1"/>
      <c r="O151" s="12">
        <f t="shared" si="22"/>
        <v>1.1677788369874875E-3</v>
      </c>
      <c r="P151" s="12">
        <f t="shared" si="23"/>
        <v>-1.2376823019314087E-2</v>
      </c>
      <c r="Q151" s="12">
        <f t="shared" si="24"/>
        <v>3.0668127053670169E-3</v>
      </c>
      <c r="R151" s="12">
        <f t="shared" si="25"/>
        <v>-8.6683367131894506E-3</v>
      </c>
      <c r="S151" s="12">
        <f t="shared" si="26"/>
        <v>-1.2342392488080556E-3</v>
      </c>
      <c r="T151" s="12">
        <f t="shared" si="27"/>
        <v>-1.5378245697047488E-3</v>
      </c>
      <c r="U151" s="12">
        <f t="shared" si="28"/>
        <v>-9.2482494384982239E-4</v>
      </c>
      <c r="V151" s="12">
        <f t="shared" si="29"/>
        <v>7.3149199142388266E-3</v>
      </c>
      <c r="W151" s="12">
        <f t="shared" si="30"/>
        <v>3.8654348096283542E-2</v>
      </c>
      <c r="X151" s="12">
        <f t="shared" si="31"/>
        <v>-3.3762397130197019E-3</v>
      </c>
      <c r="Y151" s="12">
        <f t="shared" si="32"/>
        <v>1.5018299608766883E-2</v>
      </c>
    </row>
    <row r="152" spans="1:25" x14ac:dyDescent="0.35">
      <c r="A152" s="6">
        <v>44344</v>
      </c>
      <c r="B152" s="8">
        <v>4204.1000000000004</v>
      </c>
      <c r="C152" s="2">
        <v>124.61</v>
      </c>
      <c r="D152" s="2">
        <v>137.30000000000001</v>
      </c>
      <c r="E152" s="2">
        <v>249.68</v>
      </c>
      <c r="F152" s="2">
        <v>411.92</v>
      </c>
      <c r="G152" s="2">
        <v>169.25</v>
      </c>
      <c r="H152" s="2">
        <v>227.3</v>
      </c>
      <c r="I152" s="2">
        <v>160.13</v>
      </c>
      <c r="J152" s="2">
        <v>247.02</v>
      </c>
      <c r="K152" s="2">
        <v>47.34</v>
      </c>
      <c r="L152" s="2">
        <v>241.08</v>
      </c>
      <c r="M152" s="64" t="s">
        <v>77</v>
      </c>
      <c r="N152" s="1"/>
      <c r="O152" s="12">
        <f t="shared" si="22"/>
        <v>7.6174153157682056E-4</v>
      </c>
      <c r="P152" s="12">
        <f t="shared" si="23"/>
        <v>-5.3480204342273296E-3</v>
      </c>
      <c r="Q152" s="12">
        <f t="shared" si="24"/>
        <v>-5.095726869038808E-4</v>
      </c>
      <c r="R152" s="12">
        <f t="shared" si="25"/>
        <v>1.4840961052504653E-3</v>
      </c>
      <c r="S152" s="12">
        <f t="shared" si="26"/>
        <v>-1.889992730797152E-3</v>
      </c>
      <c r="T152" s="12">
        <f t="shared" si="27"/>
        <v>2.6064806587287048E-3</v>
      </c>
      <c r="U152" s="12">
        <f t="shared" si="28"/>
        <v>1.9395221722648959E-3</v>
      </c>
      <c r="V152" s="12">
        <f t="shared" si="29"/>
        <v>2.4414673844996848E-3</v>
      </c>
      <c r="W152" s="12">
        <f t="shared" si="30"/>
        <v>-1.4678899082568697E-2</v>
      </c>
      <c r="X152" s="12">
        <f t="shared" si="31"/>
        <v>2.3290281600678586E-3</v>
      </c>
      <c r="Y152" s="12">
        <f t="shared" si="32"/>
        <v>-8.2891246684346775E-4</v>
      </c>
    </row>
    <row r="153" spans="1:25" x14ac:dyDescent="0.35">
      <c r="A153" s="6">
        <v>44348</v>
      </c>
      <c r="B153" s="8">
        <v>4202</v>
      </c>
      <c r="C153" s="2">
        <v>124.28</v>
      </c>
      <c r="D153" s="2">
        <v>137.72999999999999</v>
      </c>
      <c r="E153" s="2">
        <v>247.4</v>
      </c>
      <c r="F153" s="2">
        <v>406.72</v>
      </c>
      <c r="G153" s="2">
        <v>165.53</v>
      </c>
      <c r="H153" s="2">
        <v>226.63</v>
      </c>
      <c r="I153" s="2">
        <v>163.76</v>
      </c>
      <c r="J153" s="2">
        <v>254.73</v>
      </c>
      <c r="K153" s="2">
        <v>47.22</v>
      </c>
      <c r="L153" s="2">
        <v>242.76</v>
      </c>
      <c r="M153" s="64" t="s">
        <v>77</v>
      </c>
      <c r="N153" s="1"/>
      <c r="O153" s="12">
        <f t="shared" si="22"/>
        <v>-4.9951238077128313E-4</v>
      </c>
      <c r="P153" s="12">
        <f t="shared" si="23"/>
        <v>-2.6482625792472181E-3</v>
      </c>
      <c r="Q153" s="12">
        <f t="shared" si="24"/>
        <v>3.1318281136196724E-3</v>
      </c>
      <c r="R153" s="12">
        <f t="shared" si="25"/>
        <v>-9.1316885613585974E-3</v>
      </c>
      <c r="S153" s="12">
        <f t="shared" si="26"/>
        <v>-1.2623810448630812E-2</v>
      </c>
      <c r="T153" s="12">
        <f t="shared" si="27"/>
        <v>-2.1979320531757773E-2</v>
      </c>
      <c r="U153" s="12">
        <f t="shared" si="28"/>
        <v>-2.947646282446148E-3</v>
      </c>
      <c r="V153" s="12">
        <f t="shared" si="29"/>
        <v>2.266908137138568E-2</v>
      </c>
      <c r="W153" s="12">
        <f t="shared" si="30"/>
        <v>3.1212047607481086E-2</v>
      </c>
      <c r="X153" s="12">
        <f t="shared" si="31"/>
        <v>-2.5348542458809575E-3</v>
      </c>
      <c r="Y153" s="12">
        <f t="shared" si="32"/>
        <v>6.9686411149825211E-3</v>
      </c>
    </row>
    <row r="154" spans="1:25" x14ac:dyDescent="0.35">
      <c r="A154" s="6">
        <v>44349</v>
      </c>
      <c r="B154" s="8">
        <v>4208.1000000000004</v>
      </c>
      <c r="C154" s="2">
        <v>125.06</v>
      </c>
      <c r="D154" s="2">
        <v>139.19</v>
      </c>
      <c r="E154" s="2">
        <v>247.3</v>
      </c>
      <c r="F154" s="2">
        <v>405.85</v>
      </c>
      <c r="G154" s="2">
        <v>166.2</v>
      </c>
      <c r="H154" s="2">
        <v>229.66</v>
      </c>
      <c r="I154" s="2">
        <v>164.12</v>
      </c>
      <c r="J154" s="2">
        <v>255.62</v>
      </c>
      <c r="K154" s="2">
        <v>47.12</v>
      </c>
      <c r="L154" s="2">
        <v>243.46</v>
      </c>
      <c r="M154" s="64">
        <v>4.18</v>
      </c>
      <c r="N154" s="1"/>
      <c r="O154" s="12">
        <f t="shared" si="22"/>
        <v>1.4516896715850436E-3</v>
      </c>
      <c r="P154" s="12">
        <f t="shared" si="23"/>
        <v>6.2761506276149959E-3</v>
      </c>
      <c r="Q154" s="12">
        <f t="shared" si="24"/>
        <v>1.0600450156102559E-2</v>
      </c>
      <c r="R154" s="12">
        <f t="shared" si="25"/>
        <v>-4.0420371867422311E-4</v>
      </c>
      <c r="S154" s="12">
        <f t="shared" si="26"/>
        <v>-2.1390637293470238E-3</v>
      </c>
      <c r="T154" s="12">
        <f t="shared" si="27"/>
        <v>4.0476046638071583E-3</v>
      </c>
      <c r="U154" s="12">
        <f t="shared" si="28"/>
        <v>1.3369809822177059E-2</v>
      </c>
      <c r="V154" s="12">
        <f t="shared" si="29"/>
        <v>2.1983390327309227E-3</v>
      </c>
      <c r="W154" s="12">
        <f t="shared" si="30"/>
        <v>3.4938954971932557E-3</v>
      </c>
      <c r="X154" s="12">
        <f t="shared" si="31"/>
        <v>-2.1177467174926523E-3</v>
      </c>
      <c r="Y154" s="12">
        <f t="shared" si="32"/>
        <v>2.8835063437140374E-3</v>
      </c>
    </row>
    <row r="155" spans="1:25" x14ac:dyDescent="0.35">
      <c r="A155" s="6">
        <v>44350</v>
      </c>
      <c r="B155" s="8">
        <v>4192.8999999999996</v>
      </c>
      <c r="C155" s="2">
        <v>123.54</v>
      </c>
      <c r="D155" s="2">
        <v>139.02000000000001</v>
      </c>
      <c r="E155" s="2">
        <v>245.71</v>
      </c>
      <c r="F155" s="2">
        <v>407.96</v>
      </c>
      <c r="G155" s="2">
        <v>166.04</v>
      </c>
      <c r="H155" s="2">
        <v>228.11</v>
      </c>
      <c r="I155" s="2">
        <v>164.52</v>
      </c>
      <c r="J155" s="2">
        <v>250.32</v>
      </c>
      <c r="K155" s="2">
        <v>47.2</v>
      </c>
      <c r="L155" s="2">
        <v>243.84</v>
      </c>
      <c r="M155" s="64" t="s">
        <v>77</v>
      </c>
      <c r="N155" s="1"/>
      <c r="O155" s="12">
        <f t="shared" si="22"/>
        <v>-3.6120814619425845E-3</v>
      </c>
      <c r="P155" s="12">
        <f t="shared" si="23"/>
        <v>-1.2154166000319822E-2</v>
      </c>
      <c r="Q155" s="12">
        <f t="shared" si="24"/>
        <v>-1.2213521086283929E-3</v>
      </c>
      <c r="R155" s="12">
        <f t="shared" si="25"/>
        <v>-6.4294379296401249E-3</v>
      </c>
      <c r="S155" s="12">
        <f t="shared" si="26"/>
        <v>5.1989651349020338E-3</v>
      </c>
      <c r="T155" s="12">
        <f t="shared" si="27"/>
        <v>-9.6269554753303233E-4</v>
      </c>
      <c r="U155" s="12">
        <f t="shared" si="28"/>
        <v>-6.7491073761211107E-3</v>
      </c>
      <c r="V155" s="12">
        <f t="shared" si="29"/>
        <v>2.4372410431392488E-3</v>
      </c>
      <c r="W155" s="12">
        <f t="shared" si="30"/>
        <v>-2.0733901885611528E-2</v>
      </c>
      <c r="X155" s="12">
        <f t="shared" si="31"/>
        <v>1.6977928692700761E-3</v>
      </c>
      <c r="Y155" s="12">
        <f t="shared" si="32"/>
        <v>1.5608313480652836E-3</v>
      </c>
    </row>
    <row r="156" spans="1:25" x14ac:dyDescent="0.35">
      <c r="A156" s="6">
        <v>44351</v>
      </c>
      <c r="B156" s="8">
        <v>4229.8999999999996</v>
      </c>
      <c r="C156" s="2">
        <v>125.89</v>
      </c>
      <c r="D156" s="2">
        <v>140.81</v>
      </c>
      <c r="E156" s="2">
        <v>250.79</v>
      </c>
      <c r="F156" s="2">
        <v>405.64</v>
      </c>
      <c r="G156" s="2">
        <v>165.97</v>
      </c>
      <c r="H156" s="2">
        <v>230.14</v>
      </c>
      <c r="I156" s="2">
        <v>165</v>
      </c>
      <c r="J156" s="2">
        <v>249.92</v>
      </c>
      <c r="K156" s="2">
        <v>47.28</v>
      </c>
      <c r="L156" s="2">
        <v>244.02</v>
      </c>
      <c r="M156" s="64" t="s">
        <v>77</v>
      </c>
      <c r="N156" s="1"/>
      <c r="O156" s="12">
        <f t="shared" si="22"/>
        <v>8.8244413174651815E-3</v>
      </c>
      <c r="P156" s="12">
        <f t="shared" si="23"/>
        <v>1.9022179051319421E-2</v>
      </c>
      <c r="Q156" s="12">
        <f t="shared" si="24"/>
        <v>1.2875845202129144E-2</v>
      </c>
      <c r="R156" s="12">
        <f t="shared" si="25"/>
        <v>2.0674779211265149E-2</v>
      </c>
      <c r="S156" s="12">
        <f t="shared" si="26"/>
        <v>-5.6868320423570928E-3</v>
      </c>
      <c r="T156" s="12">
        <f t="shared" si="27"/>
        <v>-4.2158516020229797E-4</v>
      </c>
      <c r="U156" s="12">
        <f t="shared" si="28"/>
        <v>8.8992152908682343E-3</v>
      </c>
      <c r="V156" s="12">
        <f t="shared" si="29"/>
        <v>2.9175784099197966E-3</v>
      </c>
      <c r="W156" s="12">
        <f t="shared" si="30"/>
        <v>-1.5979546180888704E-3</v>
      </c>
      <c r="X156" s="12">
        <f t="shared" si="31"/>
        <v>1.6949152542371504E-3</v>
      </c>
      <c r="Y156" s="12">
        <f t="shared" si="32"/>
        <v>7.3818897637800696E-4</v>
      </c>
    </row>
    <row r="157" spans="1:25" x14ac:dyDescent="0.35">
      <c r="A157" s="6">
        <v>44354</v>
      </c>
      <c r="B157" s="8">
        <v>4226.5</v>
      </c>
      <c r="C157" s="2">
        <v>125.9</v>
      </c>
      <c r="D157" s="2">
        <v>141.38</v>
      </c>
      <c r="E157" s="2">
        <v>253.81</v>
      </c>
      <c r="F157" s="2">
        <v>400.25</v>
      </c>
      <c r="G157" s="2">
        <v>164.84</v>
      </c>
      <c r="H157" s="2">
        <v>231.32</v>
      </c>
      <c r="I157" s="2">
        <v>165.92</v>
      </c>
      <c r="J157" s="2">
        <v>252.66</v>
      </c>
      <c r="K157" s="2">
        <v>46.97</v>
      </c>
      <c r="L157" s="2">
        <v>239.76</v>
      </c>
      <c r="M157" s="64" t="s">
        <v>77</v>
      </c>
      <c r="N157" s="1"/>
      <c r="O157" s="12">
        <f t="shared" si="22"/>
        <v>-8.0380150830983155E-4</v>
      </c>
      <c r="P157" s="12">
        <f t="shared" si="23"/>
        <v>7.9434426880631293E-5</v>
      </c>
      <c r="Q157" s="12">
        <f t="shared" si="24"/>
        <v>4.0480079539804148E-3</v>
      </c>
      <c r="R157" s="12">
        <f t="shared" si="25"/>
        <v>1.2041947446070456E-2</v>
      </c>
      <c r="S157" s="12">
        <f t="shared" si="26"/>
        <v>-1.3287644216546712E-2</v>
      </c>
      <c r="T157" s="12">
        <f t="shared" si="27"/>
        <v>-6.8084593601253074E-3</v>
      </c>
      <c r="U157" s="12">
        <f t="shared" si="28"/>
        <v>5.1273138089857895E-3</v>
      </c>
      <c r="V157" s="12">
        <f t="shared" si="29"/>
        <v>5.5757575757575673E-3</v>
      </c>
      <c r="W157" s="12">
        <f t="shared" si="30"/>
        <v>1.0963508322663351E-2</v>
      </c>
      <c r="X157" s="12">
        <f t="shared" si="31"/>
        <v>-6.556683587140455E-3</v>
      </c>
      <c r="Y157" s="12">
        <f t="shared" si="32"/>
        <v>-1.7457585443816148E-2</v>
      </c>
    </row>
    <row r="158" spans="1:25" x14ac:dyDescent="0.35">
      <c r="A158" s="6">
        <v>44355</v>
      </c>
      <c r="B158" s="8">
        <v>4227.3</v>
      </c>
      <c r="C158" s="2">
        <v>126.74</v>
      </c>
      <c r="D158" s="2">
        <v>142.38999999999999</v>
      </c>
      <c r="E158" s="2">
        <v>252.57</v>
      </c>
      <c r="F158" s="2">
        <v>401.74</v>
      </c>
      <c r="G158" s="2">
        <v>163.38999999999999</v>
      </c>
      <c r="H158" s="2">
        <v>232.05</v>
      </c>
      <c r="I158" s="2">
        <v>166.51</v>
      </c>
      <c r="J158" s="2">
        <v>252.76</v>
      </c>
      <c r="K158" s="2">
        <v>46.61</v>
      </c>
      <c r="L158" s="2">
        <v>240.16</v>
      </c>
      <c r="M158" s="64" t="s">
        <v>77</v>
      </c>
      <c r="N158" s="1"/>
      <c r="O158" s="12">
        <f t="shared" si="22"/>
        <v>1.8928191174727438E-4</v>
      </c>
      <c r="P158" s="12">
        <f t="shared" si="23"/>
        <v>6.6719618745034737E-3</v>
      </c>
      <c r="Q158" s="12">
        <f t="shared" si="24"/>
        <v>7.1438675908896965E-3</v>
      </c>
      <c r="R158" s="12">
        <f t="shared" si="25"/>
        <v>-4.885544304794931E-3</v>
      </c>
      <c r="S158" s="12">
        <f t="shared" si="26"/>
        <v>3.7226733291693126E-3</v>
      </c>
      <c r="T158" s="12">
        <f t="shared" si="27"/>
        <v>-8.7964086386800311E-3</v>
      </c>
      <c r="U158" s="12">
        <f t="shared" si="28"/>
        <v>3.1558014871175821E-3</v>
      </c>
      <c r="V158" s="12">
        <f t="shared" si="29"/>
        <v>3.555930568948984E-3</v>
      </c>
      <c r="W158" s="12">
        <f t="shared" si="30"/>
        <v>3.9578880709245645E-4</v>
      </c>
      <c r="X158" s="12">
        <f t="shared" si="31"/>
        <v>-7.6644666808600714E-3</v>
      </c>
      <c r="Y158" s="12">
        <f t="shared" si="32"/>
        <v>1.6683350016684084E-3</v>
      </c>
    </row>
    <row r="159" spans="1:25" x14ac:dyDescent="0.35">
      <c r="A159" s="6">
        <v>44356</v>
      </c>
      <c r="B159" s="8">
        <v>4219.6000000000004</v>
      </c>
      <c r="C159" s="2">
        <v>127.13</v>
      </c>
      <c r="D159" s="2">
        <v>143.91</v>
      </c>
      <c r="E159" s="2">
        <v>253.59</v>
      </c>
      <c r="F159" s="2">
        <v>401.1</v>
      </c>
      <c r="G159" s="2">
        <v>165.59</v>
      </c>
      <c r="H159" s="2">
        <v>232.31</v>
      </c>
      <c r="I159" s="2">
        <v>164.09</v>
      </c>
      <c r="J159" s="2">
        <v>248.06</v>
      </c>
      <c r="K159" s="2">
        <v>46.36</v>
      </c>
      <c r="L159" s="2">
        <v>234.65</v>
      </c>
      <c r="M159" s="64">
        <v>4.26</v>
      </c>
      <c r="N159" s="1"/>
      <c r="O159" s="12">
        <f t="shared" si="22"/>
        <v>-1.8214936247722413E-3</v>
      </c>
      <c r="P159" s="12">
        <f t="shared" si="23"/>
        <v>3.0771658513493172E-3</v>
      </c>
      <c r="Q159" s="12">
        <f t="shared" si="24"/>
        <v>1.0674906945712603E-2</v>
      </c>
      <c r="R159" s="12">
        <f t="shared" si="25"/>
        <v>4.0384843805678639E-3</v>
      </c>
      <c r="S159" s="12">
        <f t="shared" si="26"/>
        <v>-1.5930701448697571E-3</v>
      </c>
      <c r="T159" s="12">
        <f t="shared" si="27"/>
        <v>1.3464716322908465E-2</v>
      </c>
      <c r="U159" s="12">
        <f t="shared" si="28"/>
        <v>1.1204481792717047E-3</v>
      </c>
      <c r="V159" s="12">
        <f t="shared" si="29"/>
        <v>-1.4533661641943363E-2</v>
      </c>
      <c r="W159" s="12">
        <f t="shared" si="30"/>
        <v>-1.8594714353536879E-2</v>
      </c>
      <c r="X159" s="12">
        <f t="shared" si="31"/>
        <v>-5.3636558678394897E-3</v>
      </c>
      <c r="Y159" s="12">
        <f t="shared" si="32"/>
        <v>-2.2943037974683556E-2</v>
      </c>
    </row>
    <row r="160" spans="1:25" x14ac:dyDescent="0.35">
      <c r="A160" s="6">
        <v>44357</v>
      </c>
      <c r="B160" s="8">
        <v>4239.2</v>
      </c>
      <c r="C160" s="2">
        <v>126.11</v>
      </c>
      <c r="D160" s="2">
        <v>143.79</v>
      </c>
      <c r="E160" s="2">
        <v>257.24</v>
      </c>
      <c r="F160" s="2">
        <v>401.49</v>
      </c>
      <c r="G160" s="2">
        <v>167.08</v>
      </c>
      <c r="H160" s="2">
        <v>233.95</v>
      </c>
      <c r="I160" s="2">
        <v>162.22999999999999</v>
      </c>
      <c r="J160" s="2">
        <v>248.34</v>
      </c>
      <c r="K160" s="2">
        <v>46.63</v>
      </c>
      <c r="L160" s="2">
        <v>225.73</v>
      </c>
      <c r="M160" s="64" t="s">
        <v>77</v>
      </c>
      <c r="N160" s="1"/>
      <c r="O160" s="12">
        <f t="shared" si="22"/>
        <v>4.644990046449804E-3</v>
      </c>
      <c r="P160" s="12">
        <f t="shared" si="23"/>
        <v>-8.0232832533626564E-3</v>
      </c>
      <c r="Q160" s="12">
        <f t="shared" si="24"/>
        <v>-8.3385449239115061E-4</v>
      </c>
      <c r="R160" s="12">
        <f t="shared" si="25"/>
        <v>1.43933120391182E-2</v>
      </c>
      <c r="S160" s="12">
        <f t="shared" si="26"/>
        <v>9.7232610321618118E-4</v>
      </c>
      <c r="T160" s="12">
        <f t="shared" si="27"/>
        <v>8.9981279062745223E-3</v>
      </c>
      <c r="U160" s="12">
        <f t="shared" si="28"/>
        <v>7.0595325211999516E-3</v>
      </c>
      <c r="V160" s="12">
        <f t="shared" si="29"/>
        <v>-1.1335242854531136E-2</v>
      </c>
      <c r="W160" s="12">
        <f t="shared" si="30"/>
        <v>1.1287591711681699E-3</v>
      </c>
      <c r="X160" s="12">
        <f t="shared" si="31"/>
        <v>5.8239861949958005E-3</v>
      </c>
      <c r="Y160" s="12">
        <f t="shared" si="32"/>
        <v>-3.8014063498828077E-2</v>
      </c>
    </row>
    <row r="161" spans="1:25" x14ac:dyDescent="0.35">
      <c r="A161" s="6">
        <v>44358</v>
      </c>
      <c r="B161" s="8">
        <v>4247.3999999999996</v>
      </c>
      <c r="C161" s="2">
        <v>127.35</v>
      </c>
      <c r="D161" s="2">
        <v>144.5</v>
      </c>
      <c r="E161" s="2">
        <v>257.89</v>
      </c>
      <c r="F161" s="2">
        <v>397.89</v>
      </c>
      <c r="G161" s="2">
        <v>164.96</v>
      </c>
      <c r="H161" s="2">
        <v>234.96</v>
      </c>
      <c r="I161" s="2">
        <v>164.51</v>
      </c>
      <c r="J161" s="2">
        <v>247.28</v>
      </c>
      <c r="K161" s="2">
        <v>46.92</v>
      </c>
      <c r="L161" s="2">
        <v>220.7</v>
      </c>
      <c r="M161" s="64" t="s">
        <v>77</v>
      </c>
      <c r="N161" s="1"/>
      <c r="O161" s="12">
        <f t="shared" si="22"/>
        <v>1.934327231553068E-3</v>
      </c>
      <c r="P161" s="12">
        <f t="shared" si="23"/>
        <v>9.8326857505353082E-3</v>
      </c>
      <c r="Q161" s="12">
        <f t="shared" si="24"/>
        <v>4.9377564503789717E-3</v>
      </c>
      <c r="R161" s="12">
        <f t="shared" si="25"/>
        <v>2.5268232001243174E-3</v>
      </c>
      <c r="S161" s="12">
        <f t="shared" si="26"/>
        <v>-8.9665994171710395E-3</v>
      </c>
      <c r="T161" s="12">
        <f t="shared" si="27"/>
        <v>-1.2688532439549927E-2</v>
      </c>
      <c r="U161" s="12">
        <f t="shared" si="28"/>
        <v>4.3171617867066026E-3</v>
      </c>
      <c r="V161" s="12">
        <f t="shared" si="29"/>
        <v>1.4054120692843508E-2</v>
      </c>
      <c r="W161" s="12">
        <f t="shared" si="30"/>
        <v>-4.2683417894822107E-3</v>
      </c>
      <c r="X161" s="12">
        <f t="shared" si="31"/>
        <v>6.2191722067337363E-3</v>
      </c>
      <c r="Y161" s="12">
        <f t="shared" si="32"/>
        <v>-2.2283258760465996E-2</v>
      </c>
    </row>
    <row r="162" spans="1:25" x14ac:dyDescent="0.35">
      <c r="A162" s="6">
        <v>44361</v>
      </c>
      <c r="B162" s="8">
        <v>4255.1000000000004</v>
      </c>
      <c r="C162" s="2">
        <v>130.47999999999999</v>
      </c>
      <c r="D162" s="2">
        <v>143.30000000000001</v>
      </c>
      <c r="E162" s="2">
        <v>259.89</v>
      </c>
      <c r="F162" s="2">
        <v>399.16</v>
      </c>
      <c r="G162" s="2">
        <v>165.37</v>
      </c>
      <c r="H162" s="2">
        <v>234.08</v>
      </c>
      <c r="I162" s="2">
        <v>163.81</v>
      </c>
      <c r="J162" s="2">
        <v>245.14</v>
      </c>
      <c r="K162" s="2">
        <v>46.85</v>
      </c>
      <c r="L162" s="2">
        <v>219.01</v>
      </c>
      <c r="M162" s="64" t="s">
        <v>77</v>
      </c>
      <c r="N162" s="1"/>
      <c r="O162" s="12">
        <f t="shared" si="22"/>
        <v>1.8128737580638266E-3</v>
      </c>
      <c r="P162" s="12">
        <f t="shared" si="23"/>
        <v>2.4577934825284586E-2</v>
      </c>
      <c r="Q162" s="12">
        <f t="shared" si="24"/>
        <v>-8.304498269896099E-3</v>
      </c>
      <c r="R162" s="12">
        <f t="shared" si="25"/>
        <v>7.7552444840822687E-3</v>
      </c>
      <c r="S162" s="12">
        <f t="shared" si="26"/>
        <v>3.1918369398578061E-3</v>
      </c>
      <c r="T162" s="12">
        <f t="shared" si="27"/>
        <v>2.4854510184286749E-3</v>
      </c>
      <c r="U162" s="12">
        <f t="shared" si="28"/>
        <v>-3.7453183520599342E-3</v>
      </c>
      <c r="V162" s="12">
        <f t="shared" si="29"/>
        <v>-4.2550604826453453E-3</v>
      </c>
      <c r="W162" s="12">
        <f t="shared" si="30"/>
        <v>-8.6541572306697567E-3</v>
      </c>
      <c r="X162" s="12">
        <f t="shared" si="31"/>
        <v>-1.4919011082693556E-3</v>
      </c>
      <c r="Y162" s="12">
        <f t="shared" si="32"/>
        <v>-7.6574535568645352E-3</v>
      </c>
    </row>
    <row r="163" spans="1:25" x14ac:dyDescent="0.35">
      <c r="A163" s="6">
        <v>44362</v>
      </c>
      <c r="B163" s="8">
        <v>4246.6000000000004</v>
      </c>
      <c r="C163" s="2">
        <v>129.63999999999999</v>
      </c>
      <c r="D163" s="2">
        <v>142.66</v>
      </c>
      <c r="E163" s="2">
        <v>258.36</v>
      </c>
      <c r="F163" s="2">
        <v>400.28</v>
      </c>
      <c r="G163" s="2">
        <v>164.49</v>
      </c>
      <c r="H163" s="2">
        <v>232.98</v>
      </c>
      <c r="I163" s="2">
        <v>166.27</v>
      </c>
      <c r="J163" s="2">
        <v>246.54</v>
      </c>
      <c r="K163" s="2">
        <v>46.67</v>
      </c>
      <c r="L163" s="2">
        <v>219.46</v>
      </c>
      <c r="M163" s="64" t="s">
        <v>77</v>
      </c>
      <c r="N163" s="1"/>
      <c r="O163" s="12">
        <f t="shared" si="22"/>
        <v>-1.9976028765481546E-3</v>
      </c>
      <c r="P163" s="12">
        <f t="shared" si="23"/>
        <v>-6.4377682403433667E-3</v>
      </c>
      <c r="Q163" s="12">
        <f t="shared" si="24"/>
        <v>-4.4661549197488881E-3</v>
      </c>
      <c r="R163" s="12">
        <f t="shared" si="25"/>
        <v>-5.8871060833428634E-3</v>
      </c>
      <c r="S163" s="12">
        <f t="shared" si="26"/>
        <v>2.8058923739853192E-3</v>
      </c>
      <c r="T163" s="12">
        <f t="shared" si="27"/>
        <v>-5.3214004958577199E-3</v>
      </c>
      <c r="U163" s="12">
        <f t="shared" si="28"/>
        <v>-4.6992481203008696E-3</v>
      </c>
      <c r="V163" s="12">
        <f t="shared" si="29"/>
        <v>1.5017398205237731E-2</v>
      </c>
      <c r="W163" s="12">
        <f t="shared" si="30"/>
        <v>5.7110222729868099E-3</v>
      </c>
      <c r="X163" s="12">
        <f t="shared" si="31"/>
        <v>-3.8420490928494644E-3</v>
      </c>
      <c r="Y163" s="12">
        <f t="shared" si="32"/>
        <v>2.0547006985982552E-3</v>
      </c>
    </row>
    <row r="164" spans="1:25" x14ac:dyDescent="0.35">
      <c r="A164" s="6">
        <v>44363</v>
      </c>
      <c r="B164" s="8">
        <v>4223.7</v>
      </c>
      <c r="C164" s="2">
        <v>130.15</v>
      </c>
      <c r="D164" s="2">
        <v>141.19999999999999</v>
      </c>
      <c r="E164" s="2">
        <v>257.38</v>
      </c>
      <c r="F164" s="2">
        <v>397.25</v>
      </c>
      <c r="G164" s="2">
        <v>164.43</v>
      </c>
      <c r="H164" s="2">
        <v>229.6</v>
      </c>
      <c r="I164" s="2">
        <v>164.68</v>
      </c>
      <c r="J164" s="2">
        <v>242.27</v>
      </c>
      <c r="K164" s="2">
        <v>45.72</v>
      </c>
      <c r="L164" s="2">
        <v>217.16</v>
      </c>
      <c r="M164" s="64">
        <v>4.22</v>
      </c>
      <c r="N164" s="1"/>
      <c r="O164" s="12">
        <f t="shared" si="22"/>
        <v>-5.3925493335846841E-3</v>
      </c>
      <c r="P164" s="12">
        <f t="shared" si="23"/>
        <v>3.9339709966061953E-3</v>
      </c>
      <c r="Q164" s="12">
        <f t="shared" si="24"/>
        <v>-1.0234123089864045E-2</v>
      </c>
      <c r="R164" s="12">
        <f t="shared" si="25"/>
        <v>-3.7931568354234724E-3</v>
      </c>
      <c r="S164" s="12">
        <f t="shared" si="26"/>
        <v>-7.5697012091535676E-3</v>
      </c>
      <c r="T164" s="12">
        <f t="shared" si="27"/>
        <v>-3.6476381542949188E-4</v>
      </c>
      <c r="U164" s="12">
        <f t="shared" si="28"/>
        <v>-1.4507683062923826E-2</v>
      </c>
      <c r="V164" s="12">
        <f t="shared" si="29"/>
        <v>-9.5627593672942268E-3</v>
      </c>
      <c r="W164" s="12">
        <f t="shared" si="30"/>
        <v>-1.7319704713231077E-2</v>
      </c>
      <c r="X164" s="12">
        <f t="shared" si="31"/>
        <v>-2.0355688879365785E-2</v>
      </c>
      <c r="Y164" s="12">
        <f t="shared" si="32"/>
        <v>-1.048026975303018E-2</v>
      </c>
    </row>
    <row r="165" spans="1:25" x14ac:dyDescent="0.35">
      <c r="A165" s="6">
        <v>44364</v>
      </c>
      <c r="B165" s="8">
        <v>4221.8999999999996</v>
      </c>
      <c r="C165" s="2">
        <v>131.79</v>
      </c>
      <c r="D165" s="2">
        <v>139.07</v>
      </c>
      <c r="E165" s="2">
        <v>260.89999999999998</v>
      </c>
      <c r="F165" s="2">
        <v>397.35</v>
      </c>
      <c r="G165" s="2">
        <v>165.22</v>
      </c>
      <c r="H165" s="2">
        <v>232.15</v>
      </c>
      <c r="I165" s="2">
        <v>162.13</v>
      </c>
      <c r="J165" s="2">
        <v>239.22</v>
      </c>
      <c r="K165" s="2">
        <v>45.91</v>
      </c>
      <c r="L165" s="2">
        <v>209.45</v>
      </c>
      <c r="M165" s="64" t="s">
        <v>77</v>
      </c>
      <c r="N165" s="1"/>
      <c r="O165" s="12">
        <f t="shared" si="22"/>
        <v>-4.2616663115280229E-4</v>
      </c>
      <c r="P165" s="12">
        <f t="shared" si="23"/>
        <v>1.2600845178639908E-2</v>
      </c>
      <c r="Q165" s="12">
        <f t="shared" si="24"/>
        <v>-1.5084985835694065E-2</v>
      </c>
      <c r="R165" s="12">
        <f t="shared" si="25"/>
        <v>1.3676276322946546E-2</v>
      </c>
      <c r="S165" s="12">
        <f t="shared" si="26"/>
        <v>2.5173064820638302E-4</v>
      </c>
      <c r="T165" s="12">
        <f t="shared" si="27"/>
        <v>4.8044760688439325E-3</v>
      </c>
      <c r="U165" s="12">
        <f t="shared" si="28"/>
        <v>1.1106271777003629E-2</v>
      </c>
      <c r="V165" s="12">
        <f t="shared" si="29"/>
        <v>-1.5484576147680396E-2</v>
      </c>
      <c r="W165" s="12">
        <f t="shared" si="30"/>
        <v>-1.2589259916621964E-2</v>
      </c>
      <c r="X165" s="12">
        <f t="shared" si="31"/>
        <v>4.1557305336832329E-3</v>
      </c>
      <c r="Y165" s="12">
        <f t="shared" si="32"/>
        <v>-3.5503776017682842E-2</v>
      </c>
    </row>
    <row r="166" spans="1:25" x14ac:dyDescent="0.35">
      <c r="A166" s="6">
        <v>44365</v>
      </c>
      <c r="B166" s="8">
        <v>4166.3999999999996</v>
      </c>
      <c r="C166" s="2">
        <v>130.46</v>
      </c>
      <c r="D166" s="2">
        <v>136.69999999999999</v>
      </c>
      <c r="E166" s="2">
        <v>259.43</v>
      </c>
      <c r="F166" s="2">
        <v>389.37</v>
      </c>
      <c r="G166" s="2">
        <v>161.97999999999999</v>
      </c>
      <c r="H166" s="2">
        <v>230.41</v>
      </c>
      <c r="I166" s="2">
        <v>158.16999999999999</v>
      </c>
      <c r="J166" s="2">
        <v>237.35</v>
      </c>
      <c r="K166" s="2">
        <v>45.06</v>
      </c>
      <c r="L166" s="2">
        <v>208.86</v>
      </c>
      <c r="M166" s="64" t="s">
        <v>77</v>
      </c>
      <c r="N166" s="1"/>
      <c r="O166" s="12">
        <f t="shared" si="22"/>
        <v>-1.3145740069636869E-2</v>
      </c>
      <c r="P166" s="12">
        <f t="shared" si="23"/>
        <v>-1.0091812732377137E-2</v>
      </c>
      <c r="Q166" s="12">
        <f t="shared" si="24"/>
        <v>-1.7041777522111223E-2</v>
      </c>
      <c r="R166" s="12">
        <f t="shared" si="25"/>
        <v>-5.6343426600229396E-3</v>
      </c>
      <c r="S166" s="12">
        <f t="shared" si="26"/>
        <v>-2.0083050207625575E-2</v>
      </c>
      <c r="T166" s="12">
        <f t="shared" si="27"/>
        <v>-1.9610216680789327E-2</v>
      </c>
      <c r="U166" s="12">
        <f t="shared" si="28"/>
        <v>-7.495153995261683E-3</v>
      </c>
      <c r="V166" s="12">
        <f t="shared" si="29"/>
        <v>-2.44248442607784E-2</v>
      </c>
      <c r="W166" s="12">
        <f t="shared" si="30"/>
        <v>-7.8170721511579E-3</v>
      </c>
      <c r="X166" s="12">
        <f t="shared" si="31"/>
        <v>-1.8514484861685832E-2</v>
      </c>
      <c r="Y166" s="12">
        <f t="shared" si="32"/>
        <v>-2.8169014084505895E-3</v>
      </c>
    </row>
    <row r="167" spans="1:25" x14ac:dyDescent="0.35">
      <c r="A167" s="6">
        <v>44368</v>
      </c>
      <c r="B167" s="8">
        <v>4224.8</v>
      </c>
      <c r="C167" s="2">
        <v>132.30000000000001</v>
      </c>
      <c r="D167" s="2">
        <v>140.07</v>
      </c>
      <c r="E167" s="2">
        <v>262.63</v>
      </c>
      <c r="F167" s="2">
        <v>398.07</v>
      </c>
      <c r="G167" s="2">
        <v>163.84</v>
      </c>
      <c r="H167" s="2">
        <v>234.32</v>
      </c>
      <c r="I167" s="2">
        <v>164.9</v>
      </c>
      <c r="J167" s="2">
        <v>245.28</v>
      </c>
      <c r="K167" s="2">
        <v>45.47</v>
      </c>
      <c r="L167" s="2">
        <v>213.21</v>
      </c>
      <c r="M167" s="64" t="s">
        <v>77</v>
      </c>
      <c r="N167" s="1"/>
      <c r="O167" s="12">
        <f t="shared" si="22"/>
        <v>1.4016897081413404E-2</v>
      </c>
      <c r="P167" s="12">
        <f t="shared" si="23"/>
        <v>1.4103939904951845E-2</v>
      </c>
      <c r="Q167" s="12">
        <f t="shared" si="24"/>
        <v>2.4652523774689072E-2</v>
      </c>
      <c r="R167" s="12">
        <f t="shared" si="25"/>
        <v>1.2334733839571399E-2</v>
      </c>
      <c r="S167" s="12">
        <f t="shared" si="26"/>
        <v>2.2343786116033604E-2</v>
      </c>
      <c r="T167" s="12">
        <f t="shared" si="27"/>
        <v>1.1482899123348655E-2</v>
      </c>
      <c r="U167" s="12">
        <f t="shared" si="28"/>
        <v>1.6969749576841275E-2</v>
      </c>
      <c r="V167" s="12">
        <f t="shared" si="29"/>
        <v>4.254915597142328E-2</v>
      </c>
      <c r="W167" s="12">
        <f t="shared" si="30"/>
        <v>3.3410575100063289E-2</v>
      </c>
      <c r="X167" s="12">
        <f t="shared" si="31"/>
        <v>9.0989791389257668E-3</v>
      </c>
      <c r="Y167" s="12">
        <f t="shared" si="32"/>
        <v>2.0827348463085205E-2</v>
      </c>
    </row>
    <row r="168" spans="1:25" x14ac:dyDescent="0.35">
      <c r="A168" s="6">
        <v>44369</v>
      </c>
      <c r="B168" s="8">
        <v>4246.3999999999996</v>
      </c>
      <c r="C168" s="2">
        <v>133.97999999999999</v>
      </c>
      <c r="D168" s="2">
        <v>139.80000000000001</v>
      </c>
      <c r="E168" s="2">
        <v>265.51</v>
      </c>
      <c r="F168" s="2">
        <v>398.69</v>
      </c>
      <c r="G168" s="2">
        <v>163.62</v>
      </c>
      <c r="H168" s="2">
        <v>235.93</v>
      </c>
      <c r="I168" s="2">
        <v>164.5</v>
      </c>
      <c r="J168" s="2">
        <v>243.78</v>
      </c>
      <c r="K168" s="2">
        <v>45.68</v>
      </c>
      <c r="L168" s="2">
        <v>213.13</v>
      </c>
      <c r="M168" s="64" t="s">
        <v>77</v>
      </c>
      <c r="N168" s="1"/>
      <c r="O168" s="12">
        <f t="shared" si="22"/>
        <v>5.1126680552924242E-3</v>
      </c>
      <c r="P168" s="12">
        <f t="shared" si="23"/>
        <v>1.2698412698412431E-2</v>
      </c>
      <c r="Q168" s="12">
        <f t="shared" si="24"/>
        <v>-1.9276076247589646E-3</v>
      </c>
      <c r="R168" s="12">
        <f t="shared" si="25"/>
        <v>1.0965997791569926E-2</v>
      </c>
      <c r="S168" s="12">
        <f t="shared" si="26"/>
        <v>1.5575150099229607E-3</v>
      </c>
      <c r="T168" s="12">
        <f t="shared" si="27"/>
        <v>-1.3427734375E-3</v>
      </c>
      <c r="U168" s="12">
        <f t="shared" si="28"/>
        <v>6.8709457152611453E-3</v>
      </c>
      <c r="V168" s="12">
        <f t="shared" si="29"/>
        <v>-2.4257125530624535E-3</v>
      </c>
      <c r="W168" s="12">
        <f t="shared" si="30"/>
        <v>-6.1154598825832185E-3</v>
      </c>
      <c r="X168" s="12">
        <f t="shared" si="31"/>
        <v>4.6184297338904834E-3</v>
      </c>
      <c r="Y168" s="12">
        <f t="shared" si="32"/>
        <v>-3.7521692228326131E-4</v>
      </c>
    </row>
    <row r="169" spans="1:25" x14ac:dyDescent="0.35">
      <c r="A169" s="6">
        <v>44370</v>
      </c>
      <c r="B169" s="8">
        <v>4241.8</v>
      </c>
      <c r="C169" s="2">
        <v>133.69999999999999</v>
      </c>
      <c r="D169" s="2">
        <v>138.13</v>
      </c>
      <c r="E169" s="2">
        <v>265.27</v>
      </c>
      <c r="F169" s="2">
        <v>395.56</v>
      </c>
      <c r="G169" s="2">
        <v>162.63</v>
      </c>
      <c r="H169" s="2">
        <v>234.68</v>
      </c>
      <c r="I169" s="2">
        <v>166.02</v>
      </c>
      <c r="J169" s="2">
        <v>243.57</v>
      </c>
      <c r="K169" s="2">
        <v>45.32</v>
      </c>
      <c r="L169" s="2">
        <v>213.79</v>
      </c>
      <c r="M169" s="64">
        <v>4.1399999999999997</v>
      </c>
      <c r="N169" s="1"/>
      <c r="O169" s="12">
        <f t="shared" si="22"/>
        <v>-1.0832705350413141E-3</v>
      </c>
      <c r="P169" s="12">
        <f t="shared" si="23"/>
        <v>-2.089864158829724E-3</v>
      </c>
      <c r="Q169" s="12">
        <f t="shared" si="24"/>
        <v>-1.1945636623748368E-2</v>
      </c>
      <c r="R169" s="12">
        <f t="shared" si="25"/>
        <v>-9.0392075628042967E-4</v>
      </c>
      <c r="S169" s="12">
        <f t="shared" si="26"/>
        <v>-7.8507110787829903E-3</v>
      </c>
      <c r="T169" s="12">
        <f t="shared" si="27"/>
        <v>-6.0506050605061423E-3</v>
      </c>
      <c r="U169" s="12">
        <f t="shared" si="28"/>
        <v>-5.2981816640529367E-3</v>
      </c>
      <c r="V169" s="12">
        <f t="shared" si="29"/>
        <v>9.2401215805471004E-3</v>
      </c>
      <c r="W169" s="12">
        <f t="shared" si="30"/>
        <v>-8.6143243908443079E-4</v>
      </c>
      <c r="X169" s="12">
        <f t="shared" si="31"/>
        <v>-7.8809106830122211E-3</v>
      </c>
      <c r="Y169" s="12">
        <f t="shared" si="32"/>
        <v>3.0967015436587086E-3</v>
      </c>
    </row>
    <row r="170" spans="1:25" x14ac:dyDescent="0.35">
      <c r="A170" s="6">
        <v>44371</v>
      </c>
      <c r="B170" s="8">
        <v>4266.5</v>
      </c>
      <c r="C170" s="2">
        <v>133.41</v>
      </c>
      <c r="D170" s="2">
        <v>138.91999999999999</v>
      </c>
      <c r="E170" s="2">
        <v>266.69</v>
      </c>
      <c r="F170" s="2">
        <v>398.87</v>
      </c>
      <c r="G170" s="2">
        <v>163.37</v>
      </c>
      <c r="H170" s="2">
        <v>236.24</v>
      </c>
      <c r="I170" s="2">
        <v>168.21</v>
      </c>
      <c r="J170" s="2">
        <v>250.57</v>
      </c>
      <c r="K170" s="2">
        <v>45.64</v>
      </c>
      <c r="L170" s="2">
        <v>219.34</v>
      </c>
      <c r="M170" s="64" t="s">
        <v>77</v>
      </c>
      <c r="N170" s="1"/>
      <c r="O170" s="12">
        <f t="shared" si="22"/>
        <v>5.8229996699514786E-3</v>
      </c>
      <c r="P170" s="12">
        <f t="shared" si="23"/>
        <v>-2.1690351533283359E-3</v>
      </c>
      <c r="Q170" s="12">
        <f t="shared" si="24"/>
        <v>5.7192499819009868E-3</v>
      </c>
      <c r="R170" s="12">
        <f t="shared" si="25"/>
        <v>5.3530365288196879E-3</v>
      </c>
      <c r="S170" s="12">
        <f t="shared" si="26"/>
        <v>8.3678835069269653E-3</v>
      </c>
      <c r="T170" s="12">
        <f t="shared" si="27"/>
        <v>4.5502059890549784E-3</v>
      </c>
      <c r="U170" s="12">
        <f t="shared" si="28"/>
        <v>6.6473495824102002E-3</v>
      </c>
      <c r="V170" s="12">
        <f t="shared" si="29"/>
        <v>1.3191181785326966E-2</v>
      </c>
      <c r="W170" s="12">
        <f t="shared" si="30"/>
        <v>2.8739171490741899E-2</v>
      </c>
      <c r="X170" s="12">
        <f t="shared" si="31"/>
        <v>7.0609002647836761E-3</v>
      </c>
      <c r="Y170" s="12">
        <f t="shared" si="32"/>
        <v>2.5960054258852283E-2</v>
      </c>
    </row>
    <row r="171" spans="1:25" x14ac:dyDescent="0.35">
      <c r="A171" s="6">
        <v>44372</v>
      </c>
      <c r="B171" s="8">
        <v>4280.7</v>
      </c>
      <c r="C171" s="2">
        <v>133.11000000000001</v>
      </c>
      <c r="D171" s="2">
        <v>140.26</v>
      </c>
      <c r="E171" s="2">
        <v>265.02</v>
      </c>
      <c r="F171" s="2">
        <v>404.95</v>
      </c>
      <c r="G171" s="2">
        <v>164.21</v>
      </c>
      <c r="H171" s="2">
        <v>237.32</v>
      </c>
      <c r="I171" s="2">
        <v>169.45</v>
      </c>
      <c r="J171" s="2">
        <v>248.38</v>
      </c>
      <c r="K171" s="2">
        <v>46.18</v>
      </c>
      <c r="L171" s="2">
        <v>216.31</v>
      </c>
      <c r="M171" s="64" t="s">
        <v>77</v>
      </c>
      <c r="N171" s="1"/>
      <c r="O171" s="12">
        <f t="shared" si="22"/>
        <v>3.3282550099613673E-3</v>
      </c>
      <c r="P171" s="12">
        <f t="shared" si="23"/>
        <v>-2.2487069934786774E-3</v>
      </c>
      <c r="Q171" s="12">
        <f t="shared" si="24"/>
        <v>9.6458393319895919E-3</v>
      </c>
      <c r="R171" s="12">
        <f t="shared" si="25"/>
        <v>-6.2619520791931116E-3</v>
      </c>
      <c r="S171" s="12">
        <f t="shared" si="26"/>
        <v>1.5243061649158784E-2</v>
      </c>
      <c r="T171" s="12">
        <f t="shared" si="27"/>
        <v>5.141702883026289E-3</v>
      </c>
      <c r="U171" s="12">
        <f t="shared" si="28"/>
        <v>4.5716220792413331E-3</v>
      </c>
      <c r="V171" s="12">
        <f t="shared" si="29"/>
        <v>7.3717377088162728E-3</v>
      </c>
      <c r="W171" s="12">
        <f t="shared" si="30"/>
        <v>-8.7400726343935808E-3</v>
      </c>
      <c r="X171" s="12">
        <f t="shared" si="31"/>
        <v>1.1831726555652899E-2</v>
      </c>
      <c r="Y171" s="12">
        <f t="shared" si="32"/>
        <v>-1.3814169782073504E-2</v>
      </c>
    </row>
    <row r="172" spans="1:25" x14ac:dyDescent="0.35">
      <c r="A172" s="6">
        <v>44375</v>
      </c>
      <c r="B172" s="8">
        <v>4290.6000000000004</v>
      </c>
      <c r="C172" s="2">
        <v>134.78</v>
      </c>
      <c r="D172" s="2">
        <v>138.78</v>
      </c>
      <c r="E172" s="2">
        <v>268.72000000000003</v>
      </c>
      <c r="F172" s="2">
        <v>401.46</v>
      </c>
      <c r="G172" s="2">
        <v>164.02</v>
      </c>
      <c r="H172" s="2">
        <v>234.09</v>
      </c>
      <c r="I172" s="2">
        <v>164.78</v>
      </c>
      <c r="J172" s="2">
        <v>239.96</v>
      </c>
      <c r="K172" s="2">
        <v>46.03</v>
      </c>
      <c r="L172" s="2">
        <v>216.27</v>
      </c>
      <c r="M172" s="64" t="s">
        <v>77</v>
      </c>
      <c r="N172" s="1"/>
      <c r="O172" s="12">
        <f t="shared" si="22"/>
        <v>2.3127058658631849E-3</v>
      </c>
      <c r="P172" s="12">
        <f t="shared" si="23"/>
        <v>1.2546014574412068E-2</v>
      </c>
      <c r="Q172" s="12">
        <f t="shared" si="24"/>
        <v>-1.0551832311421538E-2</v>
      </c>
      <c r="R172" s="12">
        <f t="shared" si="25"/>
        <v>1.3961210474681351E-2</v>
      </c>
      <c r="S172" s="12">
        <f t="shared" si="26"/>
        <v>-8.6183479441906963E-3</v>
      </c>
      <c r="T172" s="12">
        <f t="shared" si="27"/>
        <v>-1.1570549905608463E-3</v>
      </c>
      <c r="U172" s="12">
        <f t="shared" si="28"/>
        <v>-1.3610315186246336E-2</v>
      </c>
      <c r="V172" s="12">
        <f t="shared" si="29"/>
        <v>-2.7559752139274085E-2</v>
      </c>
      <c r="W172" s="12">
        <f t="shared" si="30"/>
        <v>-3.3899669860697257E-2</v>
      </c>
      <c r="X172" s="12">
        <f t="shared" si="31"/>
        <v>-3.2481593763533656E-3</v>
      </c>
      <c r="Y172" s="12">
        <f t="shared" si="32"/>
        <v>-1.849197910406275E-4</v>
      </c>
    </row>
    <row r="173" spans="1:25" x14ac:dyDescent="0.35">
      <c r="A173" s="6">
        <v>44376</v>
      </c>
      <c r="B173" s="8">
        <v>4291.8</v>
      </c>
      <c r="C173" s="2">
        <v>136.33000000000001</v>
      </c>
      <c r="D173" s="2">
        <v>139.02000000000001</v>
      </c>
      <c r="E173" s="2">
        <v>271.39999999999998</v>
      </c>
      <c r="F173" s="2">
        <v>398.1</v>
      </c>
      <c r="G173" s="2">
        <v>164.03</v>
      </c>
      <c r="H173" s="2">
        <v>235.95</v>
      </c>
      <c r="I173" s="2">
        <v>164.25</v>
      </c>
      <c r="J173" s="2">
        <v>235.76</v>
      </c>
      <c r="K173" s="2">
        <v>45.77</v>
      </c>
      <c r="L173" s="2">
        <v>215.1</v>
      </c>
      <c r="M173" s="64" t="s">
        <v>77</v>
      </c>
      <c r="N173" s="1"/>
      <c r="O173" s="12">
        <f t="shared" si="22"/>
        <v>2.796811634735441E-4</v>
      </c>
      <c r="P173" s="12">
        <f t="shared" si="23"/>
        <v>1.1500222584953423E-2</v>
      </c>
      <c r="Q173" s="12">
        <f t="shared" si="24"/>
        <v>1.7293558149589217E-3</v>
      </c>
      <c r="R173" s="12">
        <f t="shared" si="25"/>
        <v>9.973206311401972E-3</v>
      </c>
      <c r="S173" s="12">
        <f t="shared" si="26"/>
        <v>-8.3694515020175109E-3</v>
      </c>
      <c r="T173" s="12">
        <f t="shared" si="27"/>
        <v>6.0968174612874293E-5</v>
      </c>
      <c r="U173" s="12">
        <f t="shared" si="28"/>
        <v>7.9456619249005378E-3</v>
      </c>
      <c r="V173" s="12">
        <f t="shared" si="29"/>
        <v>-3.2164097584658213E-3</v>
      </c>
      <c r="W173" s="12">
        <f t="shared" si="30"/>
        <v>-1.7502917152858899E-2</v>
      </c>
      <c r="X173" s="12">
        <f t="shared" si="31"/>
        <v>-5.6484901151422351E-3</v>
      </c>
      <c r="Y173" s="12">
        <f t="shared" si="32"/>
        <v>-5.4099042863088309E-3</v>
      </c>
    </row>
    <row r="174" spans="1:25" x14ac:dyDescent="0.35">
      <c r="A174" s="6">
        <v>44377</v>
      </c>
      <c r="B174" s="8">
        <v>4297.5</v>
      </c>
      <c r="C174" s="2">
        <v>136.96</v>
      </c>
      <c r="D174" s="2">
        <v>140.02000000000001</v>
      </c>
      <c r="E174" s="2">
        <v>270.89999999999998</v>
      </c>
      <c r="F174" s="2">
        <v>400.44</v>
      </c>
      <c r="G174" s="2">
        <v>164.74</v>
      </c>
      <c r="H174" s="2">
        <v>233.82</v>
      </c>
      <c r="I174" s="2">
        <v>165.23</v>
      </c>
      <c r="J174" s="2">
        <v>239.56</v>
      </c>
      <c r="K174" s="2">
        <v>47.01</v>
      </c>
      <c r="L174" s="2">
        <v>217.63</v>
      </c>
      <c r="M174" s="64">
        <v>4.22</v>
      </c>
      <c r="N174" s="1"/>
      <c r="O174" s="12">
        <f t="shared" si="22"/>
        <v>1.3281140780092571E-3</v>
      </c>
      <c r="P174" s="12">
        <f t="shared" si="23"/>
        <v>4.6211398811706328E-3</v>
      </c>
      <c r="Q174" s="12">
        <f t="shared" si="24"/>
        <v>7.1932096101281484E-3</v>
      </c>
      <c r="R174" s="12">
        <f t="shared" si="25"/>
        <v>-1.8422991893883855E-3</v>
      </c>
      <c r="S174" s="12">
        <f t="shared" si="26"/>
        <v>5.8779201205727549E-3</v>
      </c>
      <c r="T174" s="12">
        <f t="shared" si="27"/>
        <v>4.3284764982016721E-3</v>
      </c>
      <c r="U174" s="12">
        <f t="shared" si="28"/>
        <v>-9.027336300063582E-3</v>
      </c>
      <c r="V174" s="12">
        <f t="shared" si="29"/>
        <v>5.9665144596650066E-3</v>
      </c>
      <c r="W174" s="12">
        <f t="shared" si="30"/>
        <v>1.6118086189345071E-2</v>
      </c>
      <c r="X174" s="12">
        <f t="shared" si="31"/>
        <v>2.7091981647367147E-2</v>
      </c>
      <c r="Y174" s="12">
        <f t="shared" si="32"/>
        <v>1.176197117619715E-2</v>
      </c>
    </row>
    <row r="175" spans="1:25" x14ac:dyDescent="0.35">
      <c r="A175" s="6">
        <v>44378</v>
      </c>
      <c r="B175" s="8">
        <v>4319.8999999999996</v>
      </c>
      <c r="C175" s="2">
        <v>137.27000000000001</v>
      </c>
      <c r="D175" s="2">
        <v>140.26</v>
      </c>
      <c r="E175" s="2">
        <v>271.60000000000002</v>
      </c>
      <c r="F175" s="2">
        <v>404.89</v>
      </c>
      <c r="G175" s="2">
        <v>165.96</v>
      </c>
      <c r="H175" s="2">
        <v>235.15</v>
      </c>
      <c r="I175" s="2">
        <v>166.94</v>
      </c>
      <c r="J175" s="2">
        <v>239.73</v>
      </c>
      <c r="K175" s="2">
        <v>46.44</v>
      </c>
      <c r="L175" s="2">
        <v>216.71</v>
      </c>
      <c r="M175" s="64" t="s">
        <v>77</v>
      </c>
      <c r="N175" s="1"/>
      <c r="O175" s="12">
        <f t="shared" si="22"/>
        <v>5.2123327515996021E-3</v>
      </c>
      <c r="P175" s="12">
        <f t="shared" si="23"/>
        <v>2.2634345794392274E-3</v>
      </c>
      <c r="Q175" s="12">
        <f t="shared" si="24"/>
        <v>1.7140408513067751E-3</v>
      </c>
      <c r="R175" s="12">
        <f t="shared" si="25"/>
        <v>2.5839793281654533E-3</v>
      </c>
      <c r="S175" s="12">
        <f t="shared" si="26"/>
        <v>1.1112775946458875E-2</v>
      </c>
      <c r="T175" s="12">
        <f t="shared" si="27"/>
        <v>7.4056088381693197E-3</v>
      </c>
      <c r="U175" s="12">
        <f t="shared" si="28"/>
        <v>5.6881361731246916E-3</v>
      </c>
      <c r="V175" s="12">
        <f t="shared" si="29"/>
        <v>1.0349210191853864E-2</v>
      </c>
      <c r="W175" s="12">
        <f t="shared" si="30"/>
        <v>7.0963432960424733E-4</v>
      </c>
      <c r="X175" s="12">
        <f t="shared" si="31"/>
        <v>-1.2125079770261671E-2</v>
      </c>
      <c r="Y175" s="12">
        <f t="shared" si="32"/>
        <v>-4.2273583605201281E-3</v>
      </c>
    </row>
    <row r="176" spans="1:25" x14ac:dyDescent="0.35">
      <c r="A176" s="6">
        <v>44379</v>
      </c>
      <c r="B176" s="8">
        <v>4352.3</v>
      </c>
      <c r="C176" s="2">
        <v>139.96</v>
      </c>
      <c r="D176" s="2">
        <v>133.74</v>
      </c>
      <c r="E176" s="2">
        <v>277.64999999999998</v>
      </c>
      <c r="F176" s="2">
        <v>409.36</v>
      </c>
      <c r="G176" s="2">
        <v>168.98</v>
      </c>
      <c r="H176" s="2">
        <v>238.63</v>
      </c>
      <c r="I176" s="2">
        <v>168.5</v>
      </c>
      <c r="J176" s="2">
        <v>236.68</v>
      </c>
      <c r="K176" s="2">
        <v>46.7</v>
      </c>
      <c r="L176" s="2">
        <v>217.76</v>
      </c>
      <c r="M176" s="64" t="s">
        <v>77</v>
      </c>
      <c r="N176" s="1"/>
      <c r="O176" s="12">
        <f t="shared" si="22"/>
        <v>7.5001736151301124E-3</v>
      </c>
      <c r="P176" s="12">
        <f t="shared" si="23"/>
        <v>1.9596415822831004E-2</v>
      </c>
      <c r="Q176" s="12">
        <f t="shared" si="24"/>
        <v>-4.6485099101668204E-2</v>
      </c>
      <c r="R176" s="12">
        <f t="shared" si="25"/>
        <v>2.2275405007363691E-2</v>
      </c>
      <c r="S176" s="12">
        <f t="shared" si="26"/>
        <v>1.1040035565215378E-2</v>
      </c>
      <c r="T176" s="12">
        <f t="shared" si="27"/>
        <v>1.8197155941190646E-2</v>
      </c>
      <c r="U176" s="12">
        <f t="shared" si="28"/>
        <v>1.479906442696155E-2</v>
      </c>
      <c r="V176" s="12">
        <f t="shared" si="29"/>
        <v>9.3446747334371416E-3</v>
      </c>
      <c r="W176" s="12">
        <f t="shared" si="30"/>
        <v>-1.2722646310432517E-2</v>
      </c>
      <c r="X176" s="12">
        <f t="shared" si="31"/>
        <v>5.5986218776917784E-3</v>
      </c>
      <c r="Y176" s="12">
        <f t="shared" si="32"/>
        <v>4.8451848091919381E-3</v>
      </c>
    </row>
    <row r="177" spans="1:25" x14ac:dyDescent="0.35">
      <c r="A177" s="6">
        <v>44383</v>
      </c>
      <c r="B177" s="8">
        <v>4343.5</v>
      </c>
      <c r="C177" s="2">
        <v>142.02000000000001</v>
      </c>
      <c r="D177" s="2">
        <v>132.56</v>
      </c>
      <c r="E177" s="2">
        <v>277.66000000000003</v>
      </c>
      <c r="F177" s="2">
        <v>410.26</v>
      </c>
      <c r="G177" s="2">
        <v>167.97</v>
      </c>
      <c r="H177" s="2">
        <v>239.6</v>
      </c>
      <c r="I177" s="2">
        <v>169.56</v>
      </c>
      <c r="J177" s="2">
        <v>236.14</v>
      </c>
      <c r="K177" s="2">
        <v>46.65</v>
      </c>
      <c r="L177" s="2">
        <v>213.52</v>
      </c>
      <c r="M177" s="64" t="s">
        <v>77</v>
      </c>
      <c r="N177" s="1"/>
      <c r="O177" s="12">
        <f t="shared" si="22"/>
        <v>-2.0219194448912736E-3</v>
      </c>
      <c r="P177" s="12">
        <f t="shared" si="23"/>
        <v>1.4718490997427836E-2</v>
      </c>
      <c r="Q177" s="12">
        <f t="shared" si="24"/>
        <v>-8.823089576790788E-3</v>
      </c>
      <c r="R177" s="12">
        <f t="shared" si="25"/>
        <v>3.6016567621199869E-5</v>
      </c>
      <c r="S177" s="12">
        <f t="shared" si="26"/>
        <v>2.1985538401405602E-3</v>
      </c>
      <c r="T177" s="12">
        <f t="shared" si="27"/>
        <v>-5.977038702804971E-3</v>
      </c>
      <c r="U177" s="12">
        <f t="shared" si="28"/>
        <v>4.0648703013033138E-3</v>
      </c>
      <c r="V177" s="12">
        <f t="shared" si="29"/>
        <v>6.2908011869435843E-3</v>
      </c>
      <c r="W177" s="12">
        <f t="shared" si="30"/>
        <v>-2.2815616021633067E-3</v>
      </c>
      <c r="X177" s="12">
        <f t="shared" si="31"/>
        <v>-1.0706638115632883E-3</v>
      </c>
      <c r="Y177" s="12">
        <f t="shared" si="32"/>
        <v>-1.9470977222630359E-2</v>
      </c>
    </row>
    <row r="178" spans="1:25" x14ac:dyDescent="0.35">
      <c r="A178" s="6">
        <v>44384</v>
      </c>
      <c r="B178" s="8">
        <v>4358.1000000000004</v>
      </c>
      <c r="C178" s="2">
        <v>144.57</v>
      </c>
      <c r="D178" s="2">
        <v>133.55000000000001</v>
      </c>
      <c r="E178" s="2">
        <v>279.93</v>
      </c>
      <c r="F178" s="2">
        <v>411.66</v>
      </c>
      <c r="G178" s="2">
        <v>169.41</v>
      </c>
      <c r="H178" s="2">
        <v>240</v>
      </c>
      <c r="I178" s="2">
        <v>170.98</v>
      </c>
      <c r="J178" s="2">
        <v>231.78</v>
      </c>
      <c r="K178" s="2">
        <v>46.57</v>
      </c>
      <c r="L178" s="2">
        <v>214.69</v>
      </c>
      <c r="M178" s="64">
        <v>4.25</v>
      </c>
      <c r="N178" s="1"/>
      <c r="O178" s="12">
        <f t="shared" si="22"/>
        <v>3.3613445378151141E-3</v>
      </c>
      <c r="P178" s="12">
        <f t="shared" si="23"/>
        <v>1.7955217574989302E-2</v>
      </c>
      <c r="Q178" s="12">
        <f t="shared" si="24"/>
        <v>7.4683162341582232E-3</v>
      </c>
      <c r="R178" s="12">
        <f t="shared" si="25"/>
        <v>8.1754663977526842E-3</v>
      </c>
      <c r="S178" s="12">
        <f t="shared" si="26"/>
        <v>3.4124701408864144E-3</v>
      </c>
      <c r="T178" s="12">
        <f t="shared" si="27"/>
        <v>8.5729594570458367E-3</v>
      </c>
      <c r="U178" s="12">
        <f t="shared" si="28"/>
        <v>1.6694490818029983E-3</v>
      </c>
      <c r="V178" s="12">
        <f t="shared" si="29"/>
        <v>8.3746166548712697E-3</v>
      </c>
      <c r="W178" s="12">
        <f t="shared" si="30"/>
        <v>-1.8463623274328711E-2</v>
      </c>
      <c r="X178" s="12">
        <f t="shared" si="31"/>
        <v>-1.7148981779206984E-3</v>
      </c>
      <c r="Y178" s="12">
        <f t="shared" si="32"/>
        <v>5.4795803671785492E-3</v>
      </c>
    </row>
    <row r="179" spans="1:25" x14ac:dyDescent="0.35">
      <c r="A179" s="6">
        <v>44385</v>
      </c>
      <c r="B179" s="8">
        <v>4320.8</v>
      </c>
      <c r="C179" s="2">
        <v>143.24</v>
      </c>
      <c r="D179" s="2">
        <v>134.43</v>
      </c>
      <c r="E179" s="2">
        <v>277.42</v>
      </c>
      <c r="F179" s="2">
        <v>409.95</v>
      </c>
      <c r="G179" s="2">
        <v>169.08</v>
      </c>
      <c r="H179" s="2">
        <v>236.61</v>
      </c>
      <c r="I179" s="2">
        <v>167.5</v>
      </c>
      <c r="J179" s="2">
        <v>236.77</v>
      </c>
      <c r="K179" s="2">
        <v>46.53</v>
      </c>
      <c r="L179" s="2">
        <v>212.11</v>
      </c>
      <c r="M179" s="64" t="s">
        <v>77</v>
      </c>
      <c r="N179" s="1"/>
      <c r="O179" s="12">
        <f t="shared" si="22"/>
        <v>-8.5587756132259329E-3</v>
      </c>
      <c r="P179" s="12">
        <f t="shared" si="23"/>
        <v>-9.1996956491663395E-3</v>
      </c>
      <c r="Q179" s="12">
        <f t="shared" si="24"/>
        <v>6.5892923998502884E-3</v>
      </c>
      <c r="R179" s="12">
        <f t="shared" si="25"/>
        <v>-8.9665273461222439E-3</v>
      </c>
      <c r="S179" s="12">
        <f t="shared" si="26"/>
        <v>-4.1539134236993069E-3</v>
      </c>
      <c r="T179" s="12">
        <f t="shared" si="27"/>
        <v>-1.9479369576765881E-3</v>
      </c>
      <c r="U179" s="12">
        <f t="shared" si="28"/>
        <v>-1.4124999999999943E-2</v>
      </c>
      <c r="V179" s="12">
        <f t="shared" si="29"/>
        <v>-2.0353257690957971E-2</v>
      </c>
      <c r="W179" s="12">
        <f t="shared" si="30"/>
        <v>2.1529036154974479E-2</v>
      </c>
      <c r="X179" s="12">
        <f t="shared" si="31"/>
        <v>-8.5892205282367406E-4</v>
      </c>
      <c r="Y179" s="12">
        <f t="shared" si="32"/>
        <v>-1.2017327309143289E-2</v>
      </c>
    </row>
    <row r="180" spans="1:25" x14ac:dyDescent="0.35">
      <c r="A180" s="6">
        <v>44386</v>
      </c>
      <c r="B180" s="8">
        <v>4369.6000000000004</v>
      </c>
      <c r="C180" s="2">
        <v>145.11000000000001</v>
      </c>
      <c r="D180" s="2">
        <v>135.16999999999999</v>
      </c>
      <c r="E180" s="2">
        <v>277.94</v>
      </c>
      <c r="F180" s="2">
        <v>412.11</v>
      </c>
      <c r="G180" s="2">
        <v>169.75</v>
      </c>
      <c r="H180" s="2">
        <v>238.47</v>
      </c>
      <c r="I180" s="2">
        <v>171.94</v>
      </c>
      <c r="J180" s="2">
        <v>239.59</v>
      </c>
      <c r="K180" s="2">
        <v>46.77</v>
      </c>
      <c r="L180" s="2">
        <v>217.42</v>
      </c>
      <c r="M180" s="64" t="s">
        <v>77</v>
      </c>
      <c r="N180" s="1"/>
      <c r="O180" s="12">
        <f t="shared" si="22"/>
        <v>1.1294204776893135E-2</v>
      </c>
      <c r="P180" s="12">
        <f t="shared" si="23"/>
        <v>1.3055012566322244E-2</v>
      </c>
      <c r="Q180" s="12">
        <f t="shared" si="24"/>
        <v>5.5047236479950357E-3</v>
      </c>
      <c r="R180" s="12">
        <f t="shared" si="25"/>
        <v>1.8744142455482393E-3</v>
      </c>
      <c r="S180" s="12">
        <f t="shared" si="26"/>
        <v>5.2689352360044683E-3</v>
      </c>
      <c r="T180" s="12">
        <f t="shared" si="27"/>
        <v>3.9626212443812925E-3</v>
      </c>
      <c r="U180" s="12">
        <f t="shared" si="28"/>
        <v>7.8610371497400688E-3</v>
      </c>
      <c r="V180" s="12">
        <f t="shared" si="29"/>
        <v>2.6507462686567118E-2</v>
      </c>
      <c r="W180" s="12">
        <f t="shared" si="30"/>
        <v>1.1910292689107482E-2</v>
      </c>
      <c r="X180" s="12">
        <f t="shared" si="31"/>
        <v>5.1579626047710825E-3</v>
      </c>
      <c r="Y180" s="12">
        <f t="shared" si="32"/>
        <v>2.5034180378105564E-2</v>
      </c>
    </row>
    <row r="181" spans="1:25" x14ac:dyDescent="0.35">
      <c r="A181" s="6">
        <v>44389</v>
      </c>
      <c r="B181" s="8">
        <v>4384.6000000000004</v>
      </c>
      <c r="C181" s="2">
        <v>144.5</v>
      </c>
      <c r="D181" s="2">
        <v>134.6</v>
      </c>
      <c r="E181" s="2">
        <v>277.32</v>
      </c>
      <c r="F181" s="2">
        <v>416.04</v>
      </c>
      <c r="G181" s="2">
        <v>169.48</v>
      </c>
      <c r="H181" s="2">
        <v>237.87</v>
      </c>
      <c r="I181" s="2">
        <v>173.6</v>
      </c>
      <c r="J181" s="2">
        <v>238.29</v>
      </c>
      <c r="K181" s="2">
        <v>46.68</v>
      </c>
      <c r="L181" s="2">
        <v>218.58</v>
      </c>
      <c r="M181" s="64" t="s">
        <v>77</v>
      </c>
      <c r="N181" s="1"/>
      <c r="O181" s="12">
        <f t="shared" si="22"/>
        <v>3.4328084950567828E-3</v>
      </c>
      <c r="P181" s="12">
        <f t="shared" si="23"/>
        <v>-4.2037075322169937E-3</v>
      </c>
      <c r="Q181" s="12">
        <f t="shared" si="24"/>
        <v>-4.2169120366944979E-3</v>
      </c>
      <c r="R181" s="12">
        <f t="shared" si="25"/>
        <v>-2.230697272792681E-3</v>
      </c>
      <c r="S181" s="12">
        <f t="shared" si="26"/>
        <v>9.5362888549173075E-3</v>
      </c>
      <c r="T181" s="12">
        <f t="shared" si="27"/>
        <v>-1.5905743740796119E-3</v>
      </c>
      <c r="U181" s="12">
        <f t="shared" si="28"/>
        <v>-2.5160397534280676E-3</v>
      </c>
      <c r="V181" s="12">
        <f t="shared" si="29"/>
        <v>9.6545306502267003E-3</v>
      </c>
      <c r="W181" s="12">
        <f t="shared" si="30"/>
        <v>-5.4259359739555757E-3</v>
      </c>
      <c r="X181" s="12">
        <f t="shared" si="31"/>
        <v>-1.9243104554201862E-3</v>
      </c>
      <c r="Y181" s="12">
        <f t="shared" si="32"/>
        <v>5.3352957409622537E-3</v>
      </c>
    </row>
    <row r="182" spans="1:25" x14ac:dyDescent="0.35">
      <c r="A182" s="6">
        <v>44390</v>
      </c>
      <c r="B182" s="8">
        <v>4369.2</v>
      </c>
      <c r="C182" s="2">
        <v>145.63999999999999</v>
      </c>
      <c r="D182" s="2">
        <v>133.99</v>
      </c>
      <c r="E182" s="2">
        <v>280.98</v>
      </c>
      <c r="F182" s="2">
        <v>418.54</v>
      </c>
      <c r="G182" s="2">
        <v>169.27</v>
      </c>
      <c r="H182" s="2">
        <v>242.35</v>
      </c>
      <c r="I182" s="2">
        <v>172.62</v>
      </c>
      <c r="J182" s="2">
        <v>228.2</v>
      </c>
      <c r="K182" s="2">
        <v>46.86</v>
      </c>
      <c r="L182" s="2">
        <v>215.19</v>
      </c>
      <c r="M182" s="64" t="s">
        <v>77</v>
      </c>
      <c r="N182" s="1"/>
      <c r="O182" s="12">
        <f t="shared" si="22"/>
        <v>-3.5122930255896412E-3</v>
      </c>
      <c r="P182" s="12">
        <f t="shared" si="23"/>
        <v>7.8892733564013273E-3</v>
      </c>
      <c r="Q182" s="12">
        <f t="shared" si="24"/>
        <v>-4.5319465081722354E-3</v>
      </c>
      <c r="R182" s="12">
        <f t="shared" si="25"/>
        <v>1.3197749891821875E-2</v>
      </c>
      <c r="S182" s="12">
        <f t="shared" si="26"/>
        <v>6.0090375925392348E-3</v>
      </c>
      <c r="T182" s="12">
        <f t="shared" si="27"/>
        <v>-1.2390842577294503E-3</v>
      </c>
      <c r="U182" s="12">
        <f t="shared" si="28"/>
        <v>1.8833816790683855E-2</v>
      </c>
      <c r="V182" s="12">
        <f t="shared" si="29"/>
        <v>-5.6451612903225534E-3</v>
      </c>
      <c r="W182" s="12">
        <f t="shared" si="30"/>
        <v>-4.2343363128960476E-2</v>
      </c>
      <c r="X182" s="12">
        <f t="shared" si="31"/>
        <v>3.8560411311054921E-3</v>
      </c>
      <c r="Y182" s="12">
        <f t="shared" si="32"/>
        <v>-1.5509195717815061E-2</v>
      </c>
    </row>
    <row r="183" spans="1:25" x14ac:dyDescent="0.35">
      <c r="A183" s="6">
        <v>44391</v>
      </c>
      <c r="B183" s="8">
        <v>4374.3</v>
      </c>
      <c r="C183" s="2">
        <v>149.15</v>
      </c>
      <c r="D183" s="2">
        <v>133.55000000000001</v>
      </c>
      <c r="E183" s="2">
        <v>282.51</v>
      </c>
      <c r="F183" s="2">
        <v>414.74</v>
      </c>
      <c r="G183" s="2">
        <v>170.42</v>
      </c>
      <c r="H183" s="2">
        <v>245.99</v>
      </c>
      <c r="I183" s="2">
        <v>172.52</v>
      </c>
      <c r="J183" s="2">
        <v>224.45</v>
      </c>
      <c r="K183" s="2">
        <v>47.18</v>
      </c>
      <c r="L183" s="2">
        <v>211.64</v>
      </c>
      <c r="M183" s="64">
        <v>4.1399999999999997</v>
      </c>
      <c r="N183" s="1"/>
      <c r="O183" s="12">
        <f t="shared" si="22"/>
        <v>1.1672617412799013E-3</v>
      </c>
      <c r="P183" s="12">
        <f t="shared" si="23"/>
        <v>2.4100521834661048E-2</v>
      </c>
      <c r="Q183" s="12">
        <f t="shared" si="24"/>
        <v>-3.28382715127995E-3</v>
      </c>
      <c r="R183" s="12">
        <f t="shared" si="25"/>
        <v>5.44522741832143E-3</v>
      </c>
      <c r="S183" s="12">
        <f t="shared" si="26"/>
        <v>-9.0791800066899464E-3</v>
      </c>
      <c r="T183" s="12">
        <f t="shared" si="27"/>
        <v>6.7938796006379309E-3</v>
      </c>
      <c r="U183" s="12">
        <f t="shared" si="28"/>
        <v>1.5019599752424284E-2</v>
      </c>
      <c r="V183" s="12">
        <f t="shared" si="29"/>
        <v>-5.7930714865017663E-4</v>
      </c>
      <c r="W183" s="12">
        <f t="shared" si="30"/>
        <v>-1.6432953549518015E-2</v>
      </c>
      <c r="X183" s="12">
        <f t="shared" si="31"/>
        <v>6.8288518992745129E-3</v>
      </c>
      <c r="Y183" s="12">
        <f t="shared" si="32"/>
        <v>-1.6497049119382878E-2</v>
      </c>
    </row>
    <row r="184" spans="1:25" x14ac:dyDescent="0.35">
      <c r="A184" s="6">
        <v>44392</v>
      </c>
      <c r="B184" s="8">
        <v>4360</v>
      </c>
      <c r="C184" s="2">
        <v>148.47999999999999</v>
      </c>
      <c r="D184" s="2">
        <v>134.15</v>
      </c>
      <c r="E184" s="2">
        <v>281.02999999999997</v>
      </c>
      <c r="F184" s="2">
        <v>420.05</v>
      </c>
      <c r="G184" s="2">
        <v>168.37</v>
      </c>
      <c r="H184" s="2">
        <v>248.55</v>
      </c>
      <c r="I184" s="2">
        <v>172.85</v>
      </c>
      <c r="J184" s="2">
        <v>222.76</v>
      </c>
      <c r="K184" s="2">
        <v>47.22</v>
      </c>
      <c r="L184" s="2">
        <v>211.41</v>
      </c>
      <c r="M184" s="64" t="s">
        <v>77</v>
      </c>
      <c r="N184" s="1"/>
      <c r="O184" s="12">
        <f t="shared" si="22"/>
        <v>-3.2690944836888391E-3</v>
      </c>
      <c r="P184" s="12">
        <f t="shared" si="23"/>
        <v>-4.4921220248073102E-3</v>
      </c>
      <c r="Q184" s="12">
        <f t="shared" si="24"/>
        <v>4.4926993635341361E-3</v>
      </c>
      <c r="R184" s="12">
        <f t="shared" si="25"/>
        <v>-5.2387526105270865E-3</v>
      </c>
      <c r="S184" s="12">
        <f t="shared" si="26"/>
        <v>1.2803202006076209E-2</v>
      </c>
      <c r="T184" s="12">
        <f t="shared" si="27"/>
        <v>-1.2029104565191795E-2</v>
      </c>
      <c r="U184" s="12">
        <f t="shared" si="28"/>
        <v>1.0406927110858222E-2</v>
      </c>
      <c r="V184" s="12">
        <f t="shared" si="29"/>
        <v>1.9128217018316018E-3</v>
      </c>
      <c r="W184" s="12">
        <f t="shared" si="30"/>
        <v>-7.5295165961238864E-3</v>
      </c>
      <c r="X184" s="12">
        <f t="shared" si="31"/>
        <v>8.4781687155577323E-4</v>
      </c>
      <c r="Y184" s="12">
        <f t="shared" si="32"/>
        <v>-1.0867510867510477E-3</v>
      </c>
    </row>
    <row r="185" spans="1:25" x14ac:dyDescent="0.35">
      <c r="A185" s="6">
        <v>44393</v>
      </c>
      <c r="B185" s="8">
        <v>4327.2</v>
      </c>
      <c r="C185" s="2">
        <v>146.38999999999999</v>
      </c>
      <c r="D185" s="2">
        <v>132.66999999999999</v>
      </c>
      <c r="E185" s="2">
        <v>280.75</v>
      </c>
      <c r="F185" s="2">
        <v>419.7</v>
      </c>
      <c r="G185" s="2">
        <v>168.1</v>
      </c>
      <c r="H185" s="2">
        <v>248.12</v>
      </c>
      <c r="I185" s="2">
        <v>170.01</v>
      </c>
      <c r="J185" s="2">
        <v>217.74</v>
      </c>
      <c r="K185" s="2">
        <v>47.19</v>
      </c>
      <c r="L185" s="2">
        <v>207.95</v>
      </c>
      <c r="M185" s="64" t="s">
        <v>77</v>
      </c>
      <c r="N185" s="1"/>
      <c r="O185" s="12">
        <f t="shared" si="22"/>
        <v>-7.522935779816553E-3</v>
      </c>
      <c r="P185" s="12">
        <f t="shared" si="23"/>
        <v>-1.4075969827586188E-2</v>
      </c>
      <c r="Q185" s="12">
        <f t="shared" si="24"/>
        <v>-1.1032426388371319E-2</v>
      </c>
      <c r="R185" s="12">
        <f t="shared" si="25"/>
        <v>-9.9633491086348336E-4</v>
      </c>
      <c r="S185" s="12">
        <f t="shared" si="26"/>
        <v>-8.3323413879310415E-4</v>
      </c>
      <c r="T185" s="12">
        <f t="shared" si="27"/>
        <v>-1.6036110946131554E-3</v>
      </c>
      <c r="U185" s="12">
        <f t="shared" si="28"/>
        <v>-1.7300341983504941E-3</v>
      </c>
      <c r="V185" s="12">
        <f t="shared" si="29"/>
        <v>-1.6430431009545887E-2</v>
      </c>
      <c r="W185" s="12">
        <f t="shared" si="30"/>
        <v>-2.2535464176692277E-2</v>
      </c>
      <c r="X185" s="12">
        <f t="shared" si="31"/>
        <v>-6.3532401524779569E-4</v>
      </c>
      <c r="Y185" s="12">
        <f t="shared" si="32"/>
        <v>-1.6366302445485092E-2</v>
      </c>
    </row>
    <row r="186" spans="1:25" x14ac:dyDescent="0.35">
      <c r="A186" s="6">
        <v>44396</v>
      </c>
      <c r="B186" s="8">
        <v>4258.5</v>
      </c>
      <c r="C186" s="2">
        <v>142.44999999999999</v>
      </c>
      <c r="D186" s="2">
        <v>131.74</v>
      </c>
      <c r="E186" s="2">
        <v>277.01</v>
      </c>
      <c r="F186" s="2">
        <v>409.06</v>
      </c>
      <c r="G186" s="2">
        <v>166.88</v>
      </c>
      <c r="H186" s="2">
        <v>240.41</v>
      </c>
      <c r="I186" s="2">
        <v>162.81</v>
      </c>
      <c r="J186" s="2">
        <v>206.99</v>
      </c>
      <c r="K186" s="2">
        <v>47.08</v>
      </c>
      <c r="L186" s="2">
        <v>203.08</v>
      </c>
      <c r="M186" s="64" t="s">
        <v>77</v>
      </c>
      <c r="N186" s="1"/>
      <c r="O186" s="12">
        <f t="shared" si="22"/>
        <v>-1.5876317249029381E-2</v>
      </c>
      <c r="P186" s="12">
        <f t="shared" si="23"/>
        <v>-2.691440672177059E-2</v>
      </c>
      <c r="Q186" s="12">
        <f t="shared" si="24"/>
        <v>-7.0098741237655249E-3</v>
      </c>
      <c r="R186" s="12">
        <f t="shared" si="25"/>
        <v>-1.3321460373998284E-2</v>
      </c>
      <c r="S186" s="12">
        <f t="shared" si="26"/>
        <v>-2.5351441505837458E-2</v>
      </c>
      <c r="T186" s="12">
        <f t="shared" si="27"/>
        <v>-7.2575847709696051E-3</v>
      </c>
      <c r="U186" s="12">
        <f t="shared" si="28"/>
        <v>-3.1073674028695875E-2</v>
      </c>
      <c r="V186" s="12">
        <f t="shared" si="29"/>
        <v>-4.2350449973530879E-2</v>
      </c>
      <c r="W186" s="12">
        <f t="shared" si="30"/>
        <v>-4.9370809222007872E-2</v>
      </c>
      <c r="X186" s="12">
        <f t="shared" si="31"/>
        <v>-2.3310023310023631E-3</v>
      </c>
      <c r="Y186" s="12">
        <f t="shared" si="32"/>
        <v>-2.3419091127674818E-2</v>
      </c>
    </row>
    <row r="187" spans="1:25" x14ac:dyDescent="0.35">
      <c r="A187" s="6">
        <v>44397</v>
      </c>
      <c r="B187" s="8">
        <v>4323.1000000000004</v>
      </c>
      <c r="C187" s="2">
        <v>146.15</v>
      </c>
      <c r="D187" s="2">
        <v>133.69</v>
      </c>
      <c r="E187" s="2">
        <v>279.32</v>
      </c>
      <c r="F187" s="2">
        <v>412.97</v>
      </c>
      <c r="G187" s="2">
        <v>168.45</v>
      </c>
      <c r="H187" s="2">
        <v>242.7</v>
      </c>
      <c r="I187" s="2">
        <v>168.87</v>
      </c>
      <c r="J187" s="2">
        <v>217.15</v>
      </c>
      <c r="K187" s="2">
        <v>47.29</v>
      </c>
      <c r="L187" s="2">
        <v>207.96</v>
      </c>
      <c r="M187" s="64">
        <v>4.24</v>
      </c>
      <c r="N187" s="1"/>
      <c r="O187" s="12">
        <f t="shared" si="22"/>
        <v>1.5169660678642893E-2</v>
      </c>
      <c r="P187" s="12">
        <f t="shared" si="23"/>
        <v>2.5974025974026205E-2</v>
      </c>
      <c r="Q187" s="12">
        <f t="shared" si="24"/>
        <v>1.4801882495824925E-2</v>
      </c>
      <c r="R187" s="12">
        <f t="shared" si="25"/>
        <v>8.3390491318002802E-3</v>
      </c>
      <c r="S187" s="12">
        <f t="shared" si="26"/>
        <v>9.5584999755538025E-3</v>
      </c>
      <c r="T187" s="12">
        <f t="shared" si="27"/>
        <v>9.407957813998058E-3</v>
      </c>
      <c r="U187" s="12">
        <f t="shared" si="28"/>
        <v>9.5253941183810475E-3</v>
      </c>
      <c r="V187" s="12">
        <f t="shared" si="29"/>
        <v>3.7221300902892995E-2</v>
      </c>
      <c r="W187" s="12">
        <f t="shared" si="30"/>
        <v>4.9084496835595903E-2</v>
      </c>
      <c r="X187" s="12">
        <f t="shared" si="31"/>
        <v>4.4604927782498915E-3</v>
      </c>
      <c r="Y187" s="12">
        <f t="shared" si="32"/>
        <v>2.4029938940319129E-2</v>
      </c>
    </row>
    <row r="188" spans="1:25" x14ac:dyDescent="0.35">
      <c r="A188" s="6">
        <v>44398</v>
      </c>
      <c r="B188" s="8">
        <v>4358.7</v>
      </c>
      <c r="C188" s="2">
        <v>145.4</v>
      </c>
      <c r="D188" s="2">
        <v>134.96</v>
      </c>
      <c r="E188" s="2">
        <v>281.39999999999998</v>
      </c>
      <c r="F188" s="2">
        <v>414.64</v>
      </c>
      <c r="G188" s="2">
        <v>169.49</v>
      </c>
      <c r="H188" s="2">
        <v>243.66</v>
      </c>
      <c r="I188" s="2">
        <v>172.51</v>
      </c>
      <c r="J188" s="2">
        <v>222.54</v>
      </c>
      <c r="K188" s="2">
        <v>47.06</v>
      </c>
      <c r="L188" s="2">
        <v>210.73</v>
      </c>
      <c r="M188" s="64" t="s">
        <v>77</v>
      </c>
      <c r="N188" s="1"/>
      <c r="O188" s="12">
        <f t="shared" si="22"/>
        <v>8.2348314866644845E-3</v>
      </c>
      <c r="P188" s="12">
        <f t="shared" si="23"/>
        <v>-5.1317139924734745E-3</v>
      </c>
      <c r="Q188" s="12">
        <f t="shared" si="24"/>
        <v>9.4995886004938246E-3</v>
      </c>
      <c r="R188" s="12">
        <f t="shared" si="25"/>
        <v>7.4466561649719765E-3</v>
      </c>
      <c r="S188" s="12">
        <f t="shared" si="26"/>
        <v>4.0438772792210642E-3</v>
      </c>
      <c r="T188" s="12">
        <f t="shared" si="27"/>
        <v>6.1739388542596529E-3</v>
      </c>
      <c r="U188" s="12">
        <f t="shared" si="28"/>
        <v>3.9555006180469476E-3</v>
      </c>
      <c r="V188" s="12">
        <f t="shared" si="29"/>
        <v>2.1555042340261732E-2</v>
      </c>
      <c r="W188" s="12">
        <f t="shared" si="30"/>
        <v>2.4821551922634022E-2</v>
      </c>
      <c r="X188" s="12">
        <f t="shared" si="31"/>
        <v>-4.8636075280185098E-3</v>
      </c>
      <c r="Y188" s="12">
        <f t="shared" si="32"/>
        <v>1.3319869205616452E-2</v>
      </c>
    </row>
    <row r="189" spans="1:25" x14ac:dyDescent="0.35">
      <c r="A189" s="6">
        <v>44399</v>
      </c>
      <c r="B189" s="8">
        <v>4367.5</v>
      </c>
      <c r="C189" s="2">
        <v>146.80000000000001</v>
      </c>
      <c r="D189" s="2">
        <v>134.4</v>
      </c>
      <c r="E189" s="2">
        <v>286.14</v>
      </c>
      <c r="F189" s="2">
        <v>415.77</v>
      </c>
      <c r="G189" s="2">
        <v>169.98</v>
      </c>
      <c r="H189" s="2">
        <v>244.14</v>
      </c>
      <c r="I189" s="2">
        <v>170.9</v>
      </c>
      <c r="J189" s="2">
        <v>220.87</v>
      </c>
      <c r="K189" s="2">
        <v>47.09</v>
      </c>
      <c r="L189" s="2">
        <v>209.16</v>
      </c>
      <c r="M189" s="64" t="s">
        <v>77</v>
      </c>
      <c r="N189" s="1"/>
      <c r="O189" s="12">
        <f t="shared" si="22"/>
        <v>2.0189506045380501E-3</v>
      </c>
      <c r="P189" s="12">
        <f t="shared" si="23"/>
        <v>9.6286107290233236E-3</v>
      </c>
      <c r="Q189" s="12">
        <f t="shared" si="24"/>
        <v>-4.1493775933609811E-3</v>
      </c>
      <c r="R189" s="12">
        <f t="shared" si="25"/>
        <v>1.6844349680170678E-2</v>
      </c>
      <c r="S189" s="12">
        <f t="shared" si="26"/>
        <v>2.725255643449831E-3</v>
      </c>
      <c r="T189" s="12">
        <f t="shared" si="27"/>
        <v>2.8910260192340775E-3</v>
      </c>
      <c r="U189" s="12">
        <f t="shared" si="28"/>
        <v>1.969958138389627E-3</v>
      </c>
      <c r="V189" s="12">
        <f t="shared" si="29"/>
        <v>-9.3327923018954317E-3</v>
      </c>
      <c r="W189" s="12">
        <f t="shared" si="30"/>
        <v>-7.5042688954793935E-3</v>
      </c>
      <c r="X189" s="12">
        <f t="shared" si="31"/>
        <v>6.3748406289843018E-4</v>
      </c>
      <c r="Y189" s="12">
        <f t="shared" si="32"/>
        <v>-7.4502918426422315E-3</v>
      </c>
    </row>
    <row r="190" spans="1:25" x14ac:dyDescent="0.35">
      <c r="A190" s="6">
        <v>44400</v>
      </c>
      <c r="B190" s="8">
        <v>4411.8</v>
      </c>
      <c r="C190" s="2">
        <v>148.56</v>
      </c>
      <c r="D190" s="2">
        <v>135</v>
      </c>
      <c r="E190" s="2">
        <v>289.67</v>
      </c>
      <c r="F190" s="2">
        <v>417.7</v>
      </c>
      <c r="G190" s="2">
        <v>171.79</v>
      </c>
      <c r="H190" s="2">
        <v>249.02</v>
      </c>
      <c r="I190" s="2">
        <v>173.18</v>
      </c>
      <c r="J190" s="2">
        <v>221.52</v>
      </c>
      <c r="K190" s="2">
        <v>47.48</v>
      </c>
      <c r="L190" s="2">
        <v>209.53</v>
      </c>
      <c r="M190" s="64" t="s">
        <v>77</v>
      </c>
      <c r="N190" s="1"/>
      <c r="O190" s="12">
        <f t="shared" si="22"/>
        <v>1.0143102461362297E-2</v>
      </c>
      <c r="P190" s="12">
        <f t="shared" si="23"/>
        <v>1.1989100817438647E-2</v>
      </c>
      <c r="Q190" s="12">
        <f t="shared" si="24"/>
        <v>4.4642857142855874E-3</v>
      </c>
      <c r="R190" s="12">
        <f t="shared" si="25"/>
        <v>1.2336618438526736E-2</v>
      </c>
      <c r="S190" s="12">
        <f t="shared" si="26"/>
        <v>4.641989561536386E-3</v>
      </c>
      <c r="T190" s="12">
        <f t="shared" si="27"/>
        <v>1.0648311566066715E-2</v>
      </c>
      <c r="U190" s="12">
        <f t="shared" si="28"/>
        <v>1.9988531170639812E-2</v>
      </c>
      <c r="V190" s="12">
        <f t="shared" si="29"/>
        <v>1.3341135166764273E-2</v>
      </c>
      <c r="W190" s="12">
        <f t="shared" si="30"/>
        <v>2.9429075927016601E-3</v>
      </c>
      <c r="X190" s="12">
        <f t="shared" si="31"/>
        <v>8.2820131662773022E-3</v>
      </c>
      <c r="Y190" s="12">
        <f t="shared" si="32"/>
        <v>1.7689806846432621E-3</v>
      </c>
    </row>
    <row r="191" spans="1:25" x14ac:dyDescent="0.35">
      <c r="A191" s="6">
        <v>44403</v>
      </c>
      <c r="B191" s="8">
        <v>4422.3</v>
      </c>
      <c r="C191" s="2">
        <v>148.99</v>
      </c>
      <c r="D191" s="2">
        <v>136.37</v>
      </c>
      <c r="E191" s="2">
        <v>289.05</v>
      </c>
      <c r="F191" s="2">
        <v>413.54</v>
      </c>
      <c r="G191" s="2">
        <v>171.87</v>
      </c>
      <c r="H191" s="2">
        <v>250.25</v>
      </c>
      <c r="I191" s="2">
        <v>172.61</v>
      </c>
      <c r="J191" s="2">
        <v>225.85</v>
      </c>
      <c r="K191" s="2">
        <v>47.54</v>
      </c>
      <c r="L191" s="2">
        <v>211.03</v>
      </c>
      <c r="M191" s="64" t="s">
        <v>77</v>
      </c>
      <c r="N191" s="1"/>
      <c r="O191" s="12">
        <f t="shared" si="22"/>
        <v>2.3799809601523503E-3</v>
      </c>
      <c r="P191" s="12">
        <f t="shared" si="23"/>
        <v>2.8944534194939031E-3</v>
      </c>
      <c r="Q191" s="12">
        <f t="shared" si="24"/>
        <v>1.0148148148148239E-2</v>
      </c>
      <c r="R191" s="12">
        <f t="shared" si="25"/>
        <v>-2.1403666240894514E-3</v>
      </c>
      <c r="S191" s="12">
        <f t="shared" si="26"/>
        <v>-9.9593009336843563E-3</v>
      </c>
      <c r="T191" s="12">
        <f t="shared" si="27"/>
        <v>4.6568484777931296E-4</v>
      </c>
      <c r="U191" s="12">
        <f t="shared" si="28"/>
        <v>4.9393623002167431E-3</v>
      </c>
      <c r="V191" s="12">
        <f t="shared" si="29"/>
        <v>-3.2913731377757216E-3</v>
      </c>
      <c r="W191" s="12">
        <f t="shared" si="30"/>
        <v>1.9546767786204233E-2</v>
      </c>
      <c r="X191" s="12">
        <f t="shared" si="31"/>
        <v>1.2636899747262564E-3</v>
      </c>
      <c r="Y191" s="12">
        <f t="shared" si="32"/>
        <v>7.1588793967451991E-3</v>
      </c>
    </row>
    <row r="192" spans="1:25" x14ac:dyDescent="0.35">
      <c r="A192" s="6">
        <v>44404</v>
      </c>
      <c r="B192" s="8">
        <v>4401.5</v>
      </c>
      <c r="C192" s="2">
        <v>146.77000000000001</v>
      </c>
      <c r="D192" s="2">
        <v>136.35</v>
      </c>
      <c r="E192" s="2">
        <v>286.54000000000002</v>
      </c>
      <c r="F192" s="2">
        <v>415.1</v>
      </c>
      <c r="G192" s="2">
        <v>172.66</v>
      </c>
      <c r="H192" s="2">
        <v>250.93</v>
      </c>
      <c r="I192" s="2">
        <v>172.94</v>
      </c>
      <c r="J192" s="2">
        <v>222.27</v>
      </c>
      <c r="K192" s="2">
        <v>47.55</v>
      </c>
      <c r="L192" s="2">
        <v>209.9</v>
      </c>
      <c r="M192" s="64">
        <v>4.28</v>
      </c>
      <c r="N192" s="1"/>
      <c r="O192" s="12">
        <f t="shared" si="22"/>
        <v>-4.7034348642109869E-3</v>
      </c>
      <c r="P192" s="12">
        <f t="shared" si="23"/>
        <v>-1.4900328881132907E-2</v>
      </c>
      <c r="Q192" s="12">
        <f t="shared" si="24"/>
        <v>-1.4665982254169485E-4</v>
      </c>
      <c r="R192" s="12">
        <f t="shared" si="25"/>
        <v>-8.6836187510811458E-3</v>
      </c>
      <c r="S192" s="12">
        <f t="shared" si="26"/>
        <v>3.7723073946898111E-3</v>
      </c>
      <c r="T192" s="12">
        <f t="shared" si="27"/>
        <v>4.5964973526502195E-3</v>
      </c>
      <c r="U192" s="12">
        <f t="shared" si="28"/>
        <v>2.7172827172827763E-3</v>
      </c>
      <c r="V192" s="12">
        <f t="shared" si="29"/>
        <v>1.9118243438964733E-3</v>
      </c>
      <c r="W192" s="12">
        <f t="shared" si="30"/>
        <v>-1.5851228691609376E-2</v>
      </c>
      <c r="X192" s="12">
        <f t="shared" si="31"/>
        <v>2.1034917963813626E-4</v>
      </c>
      <c r="Y192" s="12">
        <f t="shared" si="32"/>
        <v>-5.3546889067904724E-3</v>
      </c>
    </row>
    <row r="193" spans="1:25" x14ac:dyDescent="0.35">
      <c r="A193" s="6">
        <v>44405</v>
      </c>
      <c r="B193" s="8">
        <v>4400.6000000000004</v>
      </c>
      <c r="C193" s="2">
        <v>144.97999999999999</v>
      </c>
      <c r="D193" s="2">
        <v>135.41</v>
      </c>
      <c r="E193" s="2">
        <v>286.22000000000003</v>
      </c>
      <c r="F193" s="2">
        <v>409.17</v>
      </c>
      <c r="G193" s="2">
        <v>172.18</v>
      </c>
      <c r="H193" s="2">
        <v>246.94</v>
      </c>
      <c r="I193" s="2">
        <v>170.02</v>
      </c>
      <c r="J193" s="2">
        <v>231.57</v>
      </c>
      <c r="K193" s="2">
        <v>47.35</v>
      </c>
      <c r="L193" s="2">
        <v>211.44</v>
      </c>
      <c r="M193" s="64" t="s">
        <v>77</v>
      </c>
      <c r="N193" s="1"/>
      <c r="O193" s="12">
        <f t="shared" si="22"/>
        <v>-2.0447574690440895E-4</v>
      </c>
      <c r="P193" s="12">
        <f t="shared" si="23"/>
        <v>-1.2195952851400294E-2</v>
      </c>
      <c r="Q193" s="12">
        <f t="shared" si="24"/>
        <v>-6.8940227356069084E-3</v>
      </c>
      <c r="R193" s="12">
        <f t="shared" si="25"/>
        <v>-1.1167725273958373E-3</v>
      </c>
      <c r="S193" s="12">
        <f t="shared" si="26"/>
        <v>-1.4285714285714346E-2</v>
      </c>
      <c r="T193" s="12">
        <f t="shared" si="27"/>
        <v>-2.7800301169929043E-3</v>
      </c>
      <c r="U193" s="12">
        <f t="shared" si="28"/>
        <v>-1.5900848842306692E-2</v>
      </c>
      <c r="V193" s="12">
        <f t="shared" si="29"/>
        <v>-1.6884468601827129E-2</v>
      </c>
      <c r="W193" s="12">
        <f t="shared" si="30"/>
        <v>4.1841004184100417E-2</v>
      </c>
      <c r="X193" s="12">
        <f t="shared" si="31"/>
        <v>-4.2060988433226809E-3</v>
      </c>
      <c r="Y193" s="12">
        <f t="shared" si="32"/>
        <v>7.3368270605049801E-3</v>
      </c>
    </row>
    <row r="194" spans="1:25" x14ac:dyDescent="0.35">
      <c r="A194" s="6">
        <v>44406</v>
      </c>
      <c r="B194" s="8">
        <v>4419.1000000000004</v>
      </c>
      <c r="C194" s="2">
        <v>145.63999999999999</v>
      </c>
      <c r="D194" s="2">
        <v>135.57</v>
      </c>
      <c r="E194" s="2">
        <v>286.5</v>
      </c>
      <c r="F194" s="2">
        <v>412.08</v>
      </c>
      <c r="G194" s="2">
        <v>172.18</v>
      </c>
      <c r="H194" s="2">
        <v>247.92</v>
      </c>
      <c r="I194" s="2">
        <v>171.95</v>
      </c>
      <c r="J194" s="2">
        <v>231.63</v>
      </c>
      <c r="K194" s="2">
        <v>47.41</v>
      </c>
      <c r="L194" s="2">
        <v>212.56</v>
      </c>
      <c r="M194" s="64" t="s">
        <v>77</v>
      </c>
      <c r="N194" s="1"/>
      <c r="O194" s="12">
        <f t="shared" si="22"/>
        <v>4.2039721856110823E-3</v>
      </c>
      <c r="P194" s="12">
        <f t="shared" si="23"/>
        <v>4.5523520485584168E-3</v>
      </c>
      <c r="Q194" s="12">
        <f t="shared" si="24"/>
        <v>1.1815966324495442E-3</v>
      </c>
      <c r="R194" s="12">
        <f t="shared" si="25"/>
        <v>9.782684648171891E-4</v>
      </c>
      <c r="S194" s="12">
        <f t="shared" si="26"/>
        <v>7.1119583547181175E-3</v>
      </c>
      <c r="T194" s="12">
        <f t="shared" si="27"/>
        <v>0</v>
      </c>
      <c r="U194" s="12">
        <f t="shared" si="28"/>
        <v>3.9685753624361109E-3</v>
      </c>
      <c r="V194" s="12">
        <f t="shared" si="29"/>
        <v>1.1351605693447731E-2</v>
      </c>
      <c r="W194" s="12">
        <f t="shared" si="30"/>
        <v>2.5910091980829719E-4</v>
      </c>
      <c r="X194" s="12">
        <f t="shared" si="31"/>
        <v>1.2671594508975037E-3</v>
      </c>
      <c r="Y194" s="12">
        <f t="shared" si="32"/>
        <v>5.2970109723800007E-3</v>
      </c>
    </row>
    <row r="195" spans="1:25" x14ac:dyDescent="0.35">
      <c r="A195" s="6">
        <v>44407</v>
      </c>
      <c r="B195" s="8">
        <v>4395.3</v>
      </c>
      <c r="C195" s="2">
        <v>145.86000000000001</v>
      </c>
      <c r="D195" s="2">
        <v>134.63999999999999</v>
      </c>
      <c r="E195" s="2">
        <v>284.91000000000003</v>
      </c>
      <c r="F195" s="2">
        <v>412.22</v>
      </c>
      <c r="G195" s="2">
        <v>172.2</v>
      </c>
      <c r="H195" s="2">
        <v>246.39</v>
      </c>
      <c r="I195" s="2">
        <v>170.53</v>
      </c>
      <c r="J195" s="2">
        <v>226.48</v>
      </c>
      <c r="K195" s="2">
        <v>47.52</v>
      </c>
      <c r="L195" s="2">
        <v>206.75</v>
      </c>
      <c r="M195" s="64" t="s">
        <v>77</v>
      </c>
      <c r="N195" s="1"/>
      <c r="O195" s="12">
        <f t="shared" si="22"/>
        <v>-5.3857120228101296E-3</v>
      </c>
      <c r="P195" s="12">
        <f t="shared" si="23"/>
        <v>1.5105740181271532E-3</v>
      </c>
      <c r="Q195" s="12">
        <f t="shared" si="24"/>
        <v>-6.8599247621156101E-3</v>
      </c>
      <c r="R195" s="12">
        <f t="shared" si="25"/>
        <v>-5.5497382198952394E-3</v>
      </c>
      <c r="S195" s="12">
        <f t="shared" si="26"/>
        <v>3.3973985633872772E-4</v>
      </c>
      <c r="T195" s="12">
        <f t="shared" si="27"/>
        <v>1.1615750958293702E-4</v>
      </c>
      <c r="U195" s="12">
        <f t="shared" si="28"/>
        <v>-6.1713455953533725E-3</v>
      </c>
      <c r="V195" s="12">
        <f t="shared" si="29"/>
        <v>-8.258214597266611E-3</v>
      </c>
      <c r="W195" s="12">
        <f t="shared" si="30"/>
        <v>-2.2233734835729435E-2</v>
      </c>
      <c r="X195" s="12">
        <f t="shared" si="31"/>
        <v>2.3201856148493682E-3</v>
      </c>
      <c r="Y195" s="12">
        <f t="shared" si="32"/>
        <v>-2.733345878810689E-2</v>
      </c>
    </row>
    <row r="196" spans="1:25" x14ac:dyDescent="0.35">
      <c r="A196" s="6">
        <v>44410</v>
      </c>
      <c r="B196" s="8">
        <v>4387.2</v>
      </c>
      <c r="C196" s="2">
        <v>145.52000000000001</v>
      </c>
      <c r="D196" s="2">
        <v>135.08000000000001</v>
      </c>
      <c r="E196" s="2">
        <v>284.82</v>
      </c>
      <c r="F196" s="2">
        <v>415.57</v>
      </c>
      <c r="G196" s="2">
        <v>172.27</v>
      </c>
      <c r="H196" s="2">
        <v>239.78</v>
      </c>
      <c r="I196" s="2">
        <v>169.27</v>
      </c>
      <c r="J196" s="2">
        <v>225.34</v>
      </c>
      <c r="K196" s="2">
        <v>47.41</v>
      </c>
      <c r="L196" s="2">
        <v>205.16</v>
      </c>
      <c r="M196" s="64" t="s">
        <v>77</v>
      </c>
      <c r="N196" s="1"/>
      <c r="O196" s="12">
        <f t="shared" si="22"/>
        <v>-1.8428776192752627E-3</v>
      </c>
      <c r="P196" s="12">
        <f t="shared" si="23"/>
        <v>-2.3310023310023631E-3</v>
      </c>
      <c r="Q196" s="12">
        <f t="shared" si="24"/>
        <v>3.2679738562093608E-3</v>
      </c>
      <c r="R196" s="12">
        <f t="shared" si="25"/>
        <v>-3.1588922817737952E-4</v>
      </c>
      <c r="S196" s="12">
        <f t="shared" si="26"/>
        <v>8.1267284459753952E-3</v>
      </c>
      <c r="T196" s="12">
        <f t="shared" si="27"/>
        <v>4.0650406504072478E-4</v>
      </c>
      <c r="U196" s="12">
        <f t="shared" si="28"/>
        <v>-2.6827387475141018E-2</v>
      </c>
      <c r="V196" s="12">
        <f t="shared" si="29"/>
        <v>-7.3887292558493245E-3</v>
      </c>
      <c r="W196" s="12">
        <f t="shared" si="30"/>
        <v>-5.0335570469798308E-3</v>
      </c>
      <c r="X196" s="12">
        <f t="shared" si="31"/>
        <v>-2.3148148148149916E-3</v>
      </c>
      <c r="Y196" s="12">
        <f t="shared" si="32"/>
        <v>-7.6904474002418288E-3</v>
      </c>
    </row>
    <row r="197" spans="1:25" x14ac:dyDescent="0.35">
      <c r="A197" s="6">
        <v>44411</v>
      </c>
      <c r="B197" s="8">
        <v>4423.1000000000004</v>
      </c>
      <c r="C197" s="2">
        <v>147.36000000000001</v>
      </c>
      <c r="D197" s="2">
        <v>137.61000000000001</v>
      </c>
      <c r="E197" s="2">
        <v>287.12</v>
      </c>
      <c r="F197" s="2">
        <v>421.9</v>
      </c>
      <c r="G197" s="2">
        <v>174.39</v>
      </c>
      <c r="H197" s="2">
        <v>237.09</v>
      </c>
      <c r="I197" s="2">
        <v>169.04</v>
      </c>
      <c r="J197" s="2">
        <v>229.09</v>
      </c>
      <c r="K197" s="2">
        <v>47.94</v>
      </c>
      <c r="L197" s="2">
        <v>208.5</v>
      </c>
      <c r="M197" s="64">
        <v>4.3499999999999996</v>
      </c>
      <c r="N197" s="1"/>
      <c r="O197" s="12">
        <f t="shared" ref="O197:O260" si="33">(B197/B196)-1</f>
        <v>8.1828956965719346E-3</v>
      </c>
      <c r="P197" s="12">
        <f t="shared" ref="P197:P260" si="34">(C197/C196)-1</f>
        <v>1.264431006047273E-2</v>
      </c>
      <c r="Q197" s="12">
        <f t="shared" ref="Q197:Q260" si="35">(D197/D196)-1</f>
        <v>1.8729641693810972E-2</v>
      </c>
      <c r="R197" s="12">
        <f t="shared" ref="R197:R260" si="36">(E197/E196)-1</f>
        <v>8.0752756126676317E-3</v>
      </c>
      <c r="S197" s="12">
        <f t="shared" ref="S197:S260" si="37">(F197/F196)-1</f>
        <v>1.5232090863151804E-2</v>
      </c>
      <c r="T197" s="12">
        <f t="shared" ref="T197:T260" si="38">(G197/G196)-1</f>
        <v>1.230626342369523E-2</v>
      </c>
      <c r="U197" s="12">
        <f t="shared" ref="U197:U260" si="39">(H197/H196)-1</f>
        <v>-1.1218617065643532E-2</v>
      </c>
      <c r="V197" s="12">
        <f t="shared" ref="V197:V260" si="40">(I197/I196)-1</f>
        <v>-1.358775920127675E-3</v>
      </c>
      <c r="W197" s="12">
        <f t="shared" ref="W197:W260" si="41">(J197/J196)-1</f>
        <v>1.6641519481672029E-2</v>
      </c>
      <c r="X197" s="12">
        <f t="shared" ref="X197:X260" si="42">(K197/K196)-1</f>
        <v>1.1179076144273381E-2</v>
      </c>
      <c r="Y197" s="12">
        <f t="shared" ref="Y197:Y260" si="43">(L197/L196)-1</f>
        <v>1.6279976603626345E-2</v>
      </c>
    </row>
    <row r="198" spans="1:25" x14ac:dyDescent="0.35">
      <c r="A198" s="6">
        <v>44412</v>
      </c>
      <c r="B198" s="8">
        <v>4402.7</v>
      </c>
      <c r="C198" s="2">
        <v>146.94999999999999</v>
      </c>
      <c r="D198" s="2">
        <v>136.36000000000001</v>
      </c>
      <c r="E198" s="2">
        <v>286.51</v>
      </c>
      <c r="F198" s="2">
        <v>421.54</v>
      </c>
      <c r="G198" s="2">
        <v>173.36</v>
      </c>
      <c r="H198" s="2">
        <v>236.67</v>
      </c>
      <c r="I198" s="2">
        <v>168.06</v>
      </c>
      <c r="J198" s="2">
        <v>226.63</v>
      </c>
      <c r="K198" s="2">
        <v>47.61</v>
      </c>
      <c r="L198" s="2">
        <v>204.52</v>
      </c>
      <c r="M198" s="64" t="s">
        <v>77</v>
      </c>
      <c r="N198" s="1"/>
      <c r="O198" s="12">
        <f t="shared" si="33"/>
        <v>-4.6121498496530799E-3</v>
      </c>
      <c r="P198" s="12">
        <f t="shared" si="34"/>
        <v>-2.7823018458199567E-3</v>
      </c>
      <c r="Q198" s="12">
        <f t="shared" si="35"/>
        <v>-9.0836421771673947E-3</v>
      </c>
      <c r="R198" s="12">
        <f t="shared" si="36"/>
        <v>-2.1245472276401056E-3</v>
      </c>
      <c r="S198" s="12">
        <f t="shared" si="37"/>
        <v>-8.5328276842844275E-4</v>
      </c>
      <c r="T198" s="12">
        <f t="shared" si="38"/>
        <v>-5.9063019668557093E-3</v>
      </c>
      <c r="U198" s="12">
        <f t="shared" si="39"/>
        <v>-1.7714791851196621E-3</v>
      </c>
      <c r="V198" s="12">
        <f t="shared" si="40"/>
        <v>-5.7974443918598073E-3</v>
      </c>
      <c r="W198" s="12">
        <f t="shared" si="41"/>
        <v>-1.0738137849753415E-2</v>
      </c>
      <c r="X198" s="12">
        <f t="shared" si="42"/>
        <v>-6.8836045056319684E-3</v>
      </c>
      <c r="Y198" s="12">
        <f t="shared" si="43"/>
        <v>-1.9088729016786488E-2</v>
      </c>
    </row>
    <row r="199" spans="1:25" x14ac:dyDescent="0.35">
      <c r="A199" s="6">
        <v>44413</v>
      </c>
      <c r="B199" s="8">
        <v>4429.1000000000004</v>
      </c>
      <c r="C199" s="2">
        <v>147.06</v>
      </c>
      <c r="D199" s="2">
        <v>136.37</v>
      </c>
      <c r="E199" s="2">
        <v>289.52</v>
      </c>
      <c r="F199" s="2">
        <v>411.19</v>
      </c>
      <c r="G199" s="2">
        <v>173.69</v>
      </c>
      <c r="H199" s="2">
        <v>240.21</v>
      </c>
      <c r="I199" s="2">
        <v>169.63</v>
      </c>
      <c r="J199" s="2">
        <v>229.94</v>
      </c>
      <c r="K199" s="2">
        <v>48.5</v>
      </c>
      <c r="L199" s="2">
        <v>207.19</v>
      </c>
      <c r="M199" s="64" t="s">
        <v>77</v>
      </c>
      <c r="N199" s="1"/>
      <c r="O199" s="12">
        <f t="shared" si="33"/>
        <v>5.9963204397301961E-3</v>
      </c>
      <c r="P199" s="12">
        <f t="shared" si="34"/>
        <v>7.4855392990813563E-4</v>
      </c>
      <c r="Q199" s="12">
        <f t="shared" si="35"/>
        <v>7.3335288941045462E-5</v>
      </c>
      <c r="R199" s="12">
        <f t="shared" si="36"/>
        <v>1.0505741509894806E-2</v>
      </c>
      <c r="S199" s="12">
        <f t="shared" si="37"/>
        <v>-2.4552830099160317E-2</v>
      </c>
      <c r="T199" s="12">
        <f t="shared" si="38"/>
        <v>1.9035532994922111E-3</v>
      </c>
      <c r="U199" s="12">
        <f t="shared" si="39"/>
        <v>1.4957535809354994E-2</v>
      </c>
      <c r="V199" s="12">
        <f t="shared" si="40"/>
        <v>9.3419017017730699E-3</v>
      </c>
      <c r="W199" s="12">
        <f t="shared" si="41"/>
        <v>1.4605303799144043E-2</v>
      </c>
      <c r="X199" s="12">
        <f t="shared" si="42"/>
        <v>1.8693551774837225E-2</v>
      </c>
      <c r="Y199" s="12">
        <f t="shared" si="43"/>
        <v>1.3054957950322743E-2</v>
      </c>
    </row>
    <row r="200" spans="1:25" x14ac:dyDescent="0.35">
      <c r="A200" s="6">
        <v>44414</v>
      </c>
      <c r="B200" s="8">
        <v>4436.5</v>
      </c>
      <c r="C200" s="2">
        <v>146.13999999999999</v>
      </c>
      <c r="D200" s="2">
        <v>137.63</v>
      </c>
      <c r="E200" s="2">
        <v>289.45999999999998</v>
      </c>
      <c r="F200" s="2">
        <v>415.12</v>
      </c>
      <c r="G200" s="2">
        <v>173.11</v>
      </c>
      <c r="H200" s="2">
        <v>241.4</v>
      </c>
      <c r="I200" s="2">
        <v>171.36</v>
      </c>
      <c r="J200" s="2">
        <v>231.33</v>
      </c>
      <c r="K200" s="2">
        <v>48.41</v>
      </c>
      <c r="L200" s="2">
        <v>208.35</v>
      </c>
      <c r="M200" s="64" t="s">
        <v>77</v>
      </c>
      <c r="N200" s="1"/>
      <c r="O200" s="12">
        <f t="shared" si="33"/>
        <v>1.6707683276511176E-3</v>
      </c>
      <c r="P200" s="12">
        <f t="shared" si="34"/>
        <v>-6.2559499524005302E-3</v>
      </c>
      <c r="Q200" s="12">
        <f t="shared" si="35"/>
        <v>9.2395688201216686E-3</v>
      </c>
      <c r="R200" s="12">
        <f t="shared" si="36"/>
        <v>-2.0723956894175277E-4</v>
      </c>
      <c r="S200" s="12">
        <f t="shared" si="37"/>
        <v>9.5576254286340312E-3</v>
      </c>
      <c r="T200" s="12">
        <f t="shared" si="38"/>
        <v>-3.3392826299728506E-3</v>
      </c>
      <c r="U200" s="12">
        <f t="shared" si="39"/>
        <v>4.9539985845719059E-3</v>
      </c>
      <c r="V200" s="12">
        <f t="shared" si="40"/>
        <v>1.0198667688498642E-2</v>
      </c>
      <c r="W200" s="12">
        <f t="shared" si="41"/>
        <v>6.0450552317996564E-3</v>
      </c>
      <c r="X200" s="12">
        <f t="shared" si="42"/>
        <v>-1.8556701030928435E-3</v>
      </c>
      <c r="Y200" s="12">
        <f t="shared" si="43"/>
        <v>5.5987258072300872E-3</v>
      </c>
    </row>
    <row r="201" spans="1:25" x14ac:dyDescent="0.35">
      <c r="A201" s="6">
        <v>44417</v>
      </c>
      <c r="B201" s="8">
        <v>4432.3999999999996</v>
      </c>
      <c r="C201" s="2">
        <v>146.09</v>
      </c>
      <c r="D201" s="2">
        <v>134.91999999999999</v>
      </c>
      <c r="E201" s="2">
        <v>288.33</v>
      </c>
      <c r="F201" s="2">
        <v>410.87</v>
      </c>
      <c r="G201" s="2">
        <v>173.71</v>
      </c>
      <c r="H201" s="2">
        <v>240</v>
      </c>
      <c r="I201" s="2">
        <v>170.78</v>
      </c>
      <c r="J201" s="2">
        <v>232.27</v>
      </c>
      <c r="K201" s="2">
        <v>48.53</v>
      </c>
      <c r="L201" s="2">
        <v>208.89</v>
      </c>
      <c r="M201" s="64" t="s">
        <v>77</v>
      </c>
      <c r="N201" s="1"/>
      <c r="O201" s="12">
        <f t="shared" si="33"/>
        <v>-9.2415192155992365E-4</v>
      </c>
      <c r="P201" s="12">
        <f t="shared" si="34"/>
        <v>-3.4213767620083768E-4</v>
      </c>
      <c r="Q201" s="12">
        <f t="shared" si="35"/>
        <v>-1.9690474460510088E-2</v>
      </c>
      <c r="R201" s="12">
        <f t="shared" si="36"/>
        <v>-3.9038209078974262E-3</v>
      </c>
      <c r="S201" s="12">
        <f t="shared" si="37"/>
        <v>-1.0238003468876489E-2</v>
      </c>
      <c r="T201" s="12">
        <f t="shared" si="38"/>
        <v>3.4660042747385322E-3</v>
      </c>
      <c r="U201" s="12">
        <f t="shared" si="39"/>
        <v>-5.7995028997515075E-3</v>
      </c>
      <c r="V201" s="12">
        <f t="shared" si="40"/>
        <v>-3.384687208216719E-3</v>
      </c>
      <c r="W201" s="12">
        <f t="shared" si="41"/>
        <v>4.0634591276531573E-3</v>
      </c>
      <c r="X201" s="12">
        <f t="shared" si="42"/>
        <v>2.4788266887008081E-3</v>
      </c>
      <c r="Y201" s="12">
        <f t="shared" si="43"/>
        <v>2.5917926565874883E-3</v>
      </c>
    </row>
    <row r="202" spans="1:25" x14ac:dyDescent="0.35">
      <c r="A202" s="6">
        <v>44418</v>
      </c>
      <c r="B202" s="8">
        <v>4436.8</v>
      </c>
      <c r="C202" s="2">
        <v>145.6</v>
      </c>
      <c r="D202" s="2">
        <v>135.04</v>
      </c>
      <c r="E202" s="2">
        <v>286.44</v>
      </c>
      <c r="F202" s="2">
        <v>411.78</v>
      </c>
      <c r="G202" s="2">
        <v>173.77</v>
      </c>
      <c r="H202" s="2">
        <v>238.07</v>
      </c>
      <c r="I202" s="2">
        <v>169.49</v>
      </c>
      <c r="J202" s="2">
        <v>235.78</v>
      </c>
      <c r="K202" s="2">
        <v>49.56</v>
      </c>
      <c r="L202" s="2">
        <v>214.07</v>
      </c>
      <c r="M202" s="64">
        <v>4.26</v>
      </c>
      <c r="N202" s="1"/>
      <c r="O202" s="12">
        <f t="shared" si="33"/>
        <v>9.9269019041625661E-4</v>
      </c>
      <c r="P202" s="12">
        <f t="shared" si="34"/>
        <v>-3.3540967896502627E-3</v>
      </c>
      <c r="Q202" s="12">
        <f t="shared" si="35"/>
        <v>8.8941595019265129E-4</v>
      </c>
      <c r="R202" s="12">
        <f t="shared" si="36"/>
        <v>-6.5549890750181694E-3</v>
      </c>
      <c r="S202" s="12">
        <f t="shared" si="37"/>
        <v>2.2148124710978934E-3</v>
      </c>
      <c r="T202" s="12">
        <f t="shared" si="38"/>
        <v>3.4540325830412222E-4</v>
      </c>
      <c r="U202" s="12">
        <f t="shared" si="39"/>
        <v>-8.0416666666667247E-3</v>
      </c>
      <c r="V202" s="12">
        <f t="shared" si="40"/>
        <v>-7.5535777023070239E-3</v>
      </c>
      <c r="W202" s="12">
        <f t="shared" si="41"/>
        <v>1.5111723425323964E-2</v>
      </c>
      <c r="X202" s="12">
        <f t="shared" si="42"/>
        <v>2.1223985163816295E-2</v>
      </c>
      <c r="Y202" s="12">
        <f t="shared" si="43"/>
        <v>2.4797740437551008E-2</v>
      </c>
    </row>
    <row r="203" spans="1:25" x14ac:dyDescent="0.35">
      <c r="A203" s="6">
        <v>44419</v>
      </c>
      <c r="B203" s="8">
        <v>4447.7</v>
      </c>
      <c r="C203" s="2">
        <v>145.86000000000001</v>
      </c>
      <c r="D203" s="2">
        <v>135.76</v>
      </c>
      <c r="E203" s="2">
        <v>286.95</v>
      </c>
      <c r="F203" s="2">
        <v>407.74</v>
      </c>
      <c r="G203" s="2">
        <v>173.8</v>
      </c>
      <c r="H203" s="2">
        <v>235.06</v>
      </c>
      <c r="I203" s="2">
        <v>170.67</v>
      </c>
      <c r="J203" s="2">
        <v>239.49</v>
      </c>
      <c r="K203" s="2">
        <v>50</v>
      </c>
      <c r="L203" s="2">
        <v>221.66</v>
      </c>
      <c r="M203" s="64" t="s">
        <v>77</v>
      </c>
      <c r="N203" s="1"/>
      <c r="O203" s="12">
        <f t="shared" si="33"/>
        <v>2.4567255679768252E-3</v>
      </c>
      <c r="P203" s="12">
        <f t="shared" si="34"/>
        <v>1.7857142857145014E-3</v>
      </c>
      <c r="Q203" s="12">
        <f t="shared" si="35"/>
        <v>5.3317535545023276E-3</v>
      </c>
      <c r="R203" s="12">
        <f t="shared" si="36"/>
        <v>1.78047758692923E-3</v>
      </c>
      <c r="S203" s="12">
        <f t="shared" si="37"/>
        <v>-9.8110641604739479E-3</v>
      </c>
      <c r="T203" s="12">
        <f t="shared" si="38"/>
        <v>1.7264199804345459E-4</v>
      </c>
      <c r="U203" s="12">
        <f t="shared" si="39"/>
        <v>-1.2643340194060548E-2</v>
      </c>
      <c r="V203" s="12">
        <f t="shared" si="40"/>
        <v>6.9620626585638057E-3</v>
      </c>
      <c r="W203" s="12">
        <f t="shared" si="41"/>
        <v>1.5735007210111229E-2</v>
      </c>
      <c r="X203" s="12">
        <f t="shared" si="42"/>
        <v>8.8781275221951894E-3</v>
      </c>
      <c r="Y203" s="12">
        <f t="shared" si="43"/>
        <v>3.5455692063343758E-2</v>
      </c>
    </row>
    <row r="204" spans="1:25" x14ac:dyDescent="0.35">
      <c r="A204" s="6">
        <v>44420</v>
      </c>
      <c r="B204" s="8">
        <v>4460.8</v>
      </c>
      <c r="C204" s="2">
        <v>148.88999999999999</v>
      </c>
      <c r="D204" s="2">
        <v>136.66</v>
      </c>
      <c r="E204" s="2">
        <v>289.81</v>
      </c>
      <c r="F204" s="2">
        <v>405.96</v>
      </c>
      <c r="G204" s="2">
        <v>175.2</v>
      </c>
      <c r="H204" s="2">
        <v>231.79</v>
      </c>
      <c r="I204" s="2">
        <v>168.52</v>
      </c>
      <c r="J204" s="2">
        <v>238.18</v>
      </c>
      <c r="K204" s="2">
        <v>49.69</v>
      </c>
      <c r="L204" s="2">
        <v>220.24</v>
      </c>
      <c r="M204" s="64" t="s">
        <v>77</v>
      </c>
      <c r="N204" s="1"/>
      <c r="O204" s="12">
        <f t="shared" si="33"/>
        <v>2.945342536591955E-3</v>
      </c>
      <c r="P204" s="12">
        <f t="shared" si="34"/>
        <v>2.0773344302755792E-2</v>
      </c>
      <c r="Q204" s="12">
        <f t="shared" si="35"/>
        <v>6.6293459045374536E-3</v>
      </c>
      <c r="R204" s="12">
        <f t="shared" si="36"/>
        <v>9.966893186966308E-3</v>
      </c>
      <c r="S204" s="12">
        <f t="shared" si="37"/>
        <v>-4.3655270515525757E-3</v>
      </c>
      <c r="T204" s="12">
        <f t="shared" si="38"/>
        <v>8.0552359033370102E-3</v>
      </c>
      <c r="U204" s="12">
        <f t="shared" si="39"/>
        <v>-1.3911341785076248E-2</v>
      </c>
      <c r="V204" s="12">
        <f t="shared" si="40"/>
        <v>-1.2597410206831805E-2</v>
      </c>
      <c r="W204" s="12">
        <f t="shared" si="41"/>
        <v>-5.4699569919411939E-3</v>
      </c>
      <c r="X204" s="12">
        <f t="shared" si="42"/>
        <v>-6.2000000000000943E-3</v>
      </c>
      <c r="Y204" s="12">
        <f t="shared" si="43"/>
        <v>-6.4062077054948263E-3</v>
      </c>
    </row>
    <row r="205" spans="1:25" x14ac:dyDescent="0.35">
      <c r="A205" s="6">
        <v>44421</v>
      </c>
      <c r="B205" s="8">
        <v>4468</v>
      </c>
      <c r="C205" s="2">
        <v>149.1</v>
      </c>
      <c r="D205" s="2">
        <v>136.76</v>
      </c>
      <c r="E205" s="2">
        <v>292.85000000000002</v>
      </c>
      <c r="F205" s="2">
        <v>409.67</v>
      </c>
      <c r="G205" s="2">
        <v>176.25</v>
      </c>
      <c r="H205" s="2">
        <v>232.65</v>
      </c>
      <c r="I205" s="2">
        <v>166.08</v>
      </c>
      <c r="J205" s="2">
        <v>234.46</v>
      </c>
      <c r="K205" s="2">
        <v>49.84</v>
      </c>
      <c r="L205" s="2">
        <v>218.57</v>
      </c>
      <c r="M205" s="64" t="s">
        <v>77</v>
      </c>
      <c r="N205" s="1"/>
      <c r="O205" s="12">
        <f t="shared" si="33"/>
        <v>1.6140602582495056E-3</v>
      </c>
      <c r="P205" s="12">
        <f t="shared" si="34"/>
        <v>1.4104372355430161E-3</v>
      </c>
      <c r="Q205" s="12">
        <f t="shared" si="35"/>
        <v>7.3174301185430224E-4</v>
      </c>
      <c r="R205" s="12">
        <f t="shared" si="36"/>
        <v>1.0489631137641897E-2</v>
      </c>
      <c r="S205" s="12">
        <f t="shared" si="37"/>
        <v>9.1388314119618119E-3</v>
      </c>
      <c r="T205" s="12">
        <f t="shared" si="38"/>
        <v>5.9931506849315586E-3</v>
      </c>
      <c r="U205" s="12">
        <f t="shared" si="39"/>
        <v>3.7102549721732547E-3</v>
      </c>
      <c r="V205" s="12">
        <f t="shared" si="40"/>
        <v>-1.4478993591265144E-2</v>
      </c>
      <c r="W205" s="12">
        <f t="shared" si="41"/>
        <v>-1.5618439835418552E-2</v>
      </c>
      <c r="X205" s="12">
        <f t="shared" si="42"/>
        <v>3.0187160394445911E-3</v>
      </c>
      <c r="Y205" s="12">
        <f t="shared" si="43"/>
        <v>-7.5826371231384471E-3</v>
      </c>
    </row>
    <row r="206" spans="1:25" x14ac:dyDescent="0.35">
      <c r="A206" s="6">
        <v>44424</v>
      </c>
      <c r="B206" s="8">
        <v>4479.7</v>
      </c>
      <c r="C206" s="2">
        <v>151.12</v>
      </c>
      <c r="D206" s="2">
        <v>137.15</v>
      </c>
      <c r="E206" s="2">
        <v>294.60000000000002</v>
      </c>
      <c r="F206" s="2">
        <v>417.21</v>
      </c>
      <c r="G206" s="2">
        <v>177.84</v>
      </c>
      <c r="H206" s="2">
        <v>235.36</v>
      </c>
      <c r="I206" s="2">
        <v>165.75</v>
      </c>
      <c r="J206" s="2">
        <v>229.06</v>
      </c>
      <c r="K206" s="2">
        <v>50.25</v>
      </c>
      <c r="L206" s="2">
        <v>217.71</v>
      </c>
      <c r="M206" s="64" t="s">
        <v>77</v>
      </c>
      <c r="N206" s="1"/>
      <c r="O206" s="12">
        <f t="shared" si="33"/>
        <v>2.6186213070724662E-3</v>
      </c>
      <c r="P206" s="12">
        <f t="shared" si="34"/>
        <v>1.3547954393024808E-2</v>
      </c>
      <c r="Q206" s="12">
        <f t="shared" si="35"/>
        <v>2.8517110266161882E-3</v>
      </c>
      <c r="R206" s="12">
        <f t="shared" si="36"/>
        <v>5.9757555062318612E-3</v>
      </c>
      <c r="S206" s="12">
        <f t="shared" si="37"/>
        <v>1.8405057729391938E-2</v>
      </c>
      <c r="T206" s="12">
        <f t="shared" si="38"/>
        <v>9.0212765957446983E-3</v>
      </c>
      <c r="U206" s="12">
        <f t="shared" si="39"/>
        <v>1.1648398882441402E-2</v>
      </c>
      <c r="V206" s="12">
        <f t="shared" si="40"/>
        <v>-1.9869942196532042E-3</v>
      </c>
      <c r="W206" s="12">
        <f t="shared" si="41"/>
        <v>-2.3031647189286075E-2</v>
      </c>
      <c r="X206" s="12">
        <f t="shared" si="42"/>
        <v>8.2263242375602008E-3</v>
      </c>
      <c r="Y206" s="12">
        <f t="shared" si="43"/>
        <v>-3.9346662396485543E-3</v>
      </c>
    </row>
    <row r="207" spans="1:25" x14ac:dyDescent="0.35">
      <c r="A207" s="6">
        <v>44425</v>
      </c>
      <c r="B207" s="8">
        <v>4448.1000000000004</v>
      </c>
      <c r="C207" s="2">
        <v>150.19</v>
      </c>
      <c r="D207" s="2">
        <v>136.03</v>
      </c>
      <c r="E207" s="2">
        <v>293.08</v>
      </c>
      <c r="F207" s="2">
        <v>421.78</v>
      </c>
      <c r="G207" s="2">
        <v>179.47</v>
      </c>
      <c r="H207" s="2">
        <v>234.53</v>
      </c>
      <c r="I207" s="2">
        <v>164.65</v>
      </c>
      <c r="J207" s="2">
        <v>222.22</v>
      </c>
      <c r="K207" s="2">
        <v>50.23</v>
      </c>
      <c r="L207" s="2">
        <v>213.44</v>
      </c>
      <c r="M207" s="64">
        <v>4.2300000000000004</v>
      </c>
      <c r="N207" s="1"/>
      <c r="O207" s="12">
        <f t="shared" si="33"/>
        <v>-7.054043797575571E-3</v>
      </c>
      <c r="P207" s="12">
        <f t="shared" si="34"/>
        <v>-6.1540497617788015E-3</v>
      </c>
      <c r="Q207" s="12">
        <f t="shared" si="35"/>
        <v>-8.1662413415968249E-3</v>
      </c>
      <c r="R207" s="12">
        <f t="shared" si="36"/>
        <v>-5.1595383570944842E-3</v>
      </c>
      <c r="S207" s="12">
        <f t="shared" si="37"/>
        <v>1.0953716353874432E-2</v>
      </c>
      <c r="T207" s="12">
        <f t="shared" si="38"/>
        <v>9.165542060278975E-3</v>
      </c>
      <c r="U207" s="12">
        <f t="shared" si="39"/>
        <v>-3.5265125764786243E-3</v>
      </c>
      <c r="V207" s="12">
        <f t="shared" si="40"/>
        <v>-6.6365007541477894E-3</v>
      </c>
      <c r="W207" s="12">
        <f t="shared" si="41"/>
        <v>-2.9861171745394266E-2</v>
      </c>
      <c r="X207" s="12">
        <f t="shared" si="42"/>
        <v>-3.9800995024885655E-4</v>
      </c>
      <c r="Y207" s="12">
        <f t="shared" si="43"/>
        <v>-1.9613246979927501E-2</v>
      </c>
    </row>
    <row r="208" spans="1:25" x14ac:dyDescent="0.35">
      <c r="A208" s="6">
        <v>44426</v>
      </c>
      <c r="B208" s="8">
        <v>4400.3</v>
      </c>
      <c r="C208" s="2">
        <v>146.36000000000001</v>
      </c>
      <c r="D208" s="2">
        <v>133.22</v>
      </c>
      <c r="E208" s="2">
        <v>290.73</v>
      </c>
      <c r="F208" s="2">
        <v>417.32</v>
      </c>
      <c r="G208" s="2">
        <v>177.19</v>
      </c>
      <c r="H208" s="2">
        <v>231.63</v>
      </c>
      <c r="I208" s="2">
        <v>162.13</v>
      </c>
      <c r="J208" s="2">
        <v>219</v>
      </c>
      <c r="K208" s="2">
        <v>49.7</v>
      </c>
      <c r="L208" s="2">
        <v>209.81</v>
      </c>
      <c r="M208" s="64" t="s">
        <v>77</v>
      </c>
      <c r="N208" s="1"/>
      <c r="O208" s="12">
        <f t="shared" si="33"/>
        <v>-1.074616128234529E-2</v>
      </c>
      <c r="P208" s="12">
        <f t="shared" si="34"/>
        <v>-2.5501032026100212E-2</v>
      </c>
      <c r="Q208" s="12">
        <f t="shared" si="35"/>
        <v>-2.0657207968830416E-2</v>
      </c>
      <c r="R208" s="12">
        <f t="shared" si="36"/>
        <v>-8.0182885219051148E-3</v>
      </c>
      <c r="S208" s="12">
        <f t="shared" si="37"/>
        <v>-1.0574233012470957E-2</v>
      </c>
      <c r="T208" s="12">
        <f t="shared" si="38"/>
        <v>-1.2704073104140012E-2</v>
      </c>
      <c r="U208" s="12">
        <f t="shared" si="39"/>
        <v>-1.2365155843602094E-2</v>
      </c>
      <c r="V208" s="12">
        <f t="shared" si="40"/>
        <v>-1.5305192833282799E-2</v>
      </c>
      <c r="W208" s="12">
        <f t="shared" si="41"/>
        <v>-1.4490144901449065E-2</v>
      </c>
      <c r="X208" s="12">
        <f t="shared" si="42"/>
        <v>-1.0551463268962613E-2</v>
      </c>
      <c r="Y208" s="12">
        <f t="shared" si="43"/>
        <v>-1.7007121439280293E-2</v>
      </c>
    </row>
    <row r="209" spans="1:25" x14ac:dyDescent="0.35">
      <c r="A209" s="6">
        <v>44427</v>
      </c>
      <c r="B209" s="8">
        <v>4405.8</v>
      </c>
      <c r="C209" s="2">
        <v>146.69999999999999</v>
      </c>
      <c r="D209" s="2">
        <v>131.83000000000001</v>
      </c>
      <c r="E209" s="2">
        <v>296.77</v>
      </c>
      <c r="F209" s="2">
        <v>427.89</v>
      </c>
      <c r="G209" s="2">
        <v>178.57</v>
      </c>
      <c r="H209" s="2">
        <v>231.57</v>
      </c>
      <c r="I209" s="2">
        <v>159.03</v>
      </c>
      <c r="J209" s="2">
        <v>212.16</v>
      </c>
      <c r="K209" s="2">
        <v>50.04</v>
      </c>
      <c r="L209" s="2">
        <v>204.45</v>
      </c>
      <c r="M209" s="64" t="s">
        <v>77</v>
      </c>
      <c r="N209" s="1"/>
      <c r="O209" s="12">
        <f t="shared" si="33"/>
        <v>1.2499147785378639E-3</v>
      </c>
      <c r="P209" s="12">
        <f t="shared" si="34"/>
        <v>2.3230390817161606E-3</v>
      </c>
      <c r="Q209" s="12">
        <f t="shared" si="35"/>
        <v>-1.043386878847008E-2</v>
      </c>
      <c r="R209" s="12">
        <f t="shared" si="36"/>
        <v>2.0775289787775542E-2</v>
      </c>
      <c r="S209" s="12">
        <f t="shared" si="37"/>
        <v>2.5328285248729987E-2</v>
      </c>
      <c r="T209" s="12">
        <f t="shared" si="38"/>
        <v>7.7882499012358331E-3</v>
      </c>
      <c r="U209" s="12">
        <f t="shared" si="39"/>
        <v>-2.5903380391145703E-4</v>
      </c>
      <c r="V209" s="12">
        <f t="shared" si="40"/>
        <v>-1.9120458891013326E-2</v>
      </c>
      <c r="W209" s="12">
        <f t="shared" si="41"/>
        <v>-3.1232876712328772E-2</v>
      </c>
      <c r="X209" s="12">
        <f t="shared" si="42"/>
        <v>6.8410462776660186E-3</v>
      </c>
      <c r="Y209" s="12">
        <f t="shared" si="43"/>
        <v>-2.5546923406892019E-2</v>
      </c>
    </row>
    <row r="210" spans="1:25" x14ac:dyDescent="0.35">
      <c r="A210" s="6">
        <v>44428</v>
      </c>
      <c r="B210" s="8">
        <v>4441.7</v>
      </c>
      <c r="C210" s="2">
        <v>148.19</v>
      </c>
      <c r="D210" s="2">
        <v>132.87</v>
      </c>
      <c r="E210" s="2">
        <v>304.36</v>
      </c>
      <c r="F210" s="2">
        <v>429.71</v>
      </c>
      <c r="G210" s="2">
        <v>179.44</v>
      </c>
      <c r="H210" s="2">
        <v>231.36</v>
      </c>
      <c r="I210" s="2">
        <v>159.75</v>
      </c>
      <c r="J210" s="2">
        <v>212.67</v>
      </c>
      <c r="K210" s="2">
        <v>50.48</v>
      </c>
      <c r="L210" s="2">
        <v>204.94</v>
      </c>
      <c r="M210" s="64" t="s">
        <v>77</v>
      </c>
      <c r="N210" s="1"/>
      <c r="O210" s="12">
        <f t="shared" si="33"/>
        <v>8.1483499024013195E-3</v>
      </c>
      <c r="P210" s="12">
        <f t="shared" si="34"/>
        <v>1.0156782549420651E-2</v>
      </c>
      <c r="Q210" s="12">
        <f t="shared" si="35"/>
        <v>7.888947887430664E-3</v>
      </c>
      <c r="R210" s="12">
        <f t="shared" si="36"/>
        <v>2.5575361390976381E-2</v>
      </c>
      <c r="S210" s="12">
        <f t="shared" si="37"/>
        <v>4.2534296197620503E-3</v>
      </c>
      <c r="T210" s="12">
        <f t="shared" si="38"/>
        <v>4.8720389763119432E-3</v>
      </c>
      <c r="U210" s="12">
        <f t="shared" si="39"/>
        <v>-9.0685321932881813E-4</v>
      </c>
      <c r="V210" s="12">
        <f t="shared" si="40"/>
        <v>4.5274476513865736E-3</v>
      </c>
      <c r="W210" s="12">
        <f t="shared" si="41"/>
        <v>2.4038461538460343E-3</v>
      </c>
      <c r="X210" s="12">
        <f t="shared" si="42"/>
        <v>8.7929656274978729E-3</v>
      </c>
      <c r="Y210" s="12">
        <f t="shared" si="43"/>
        <v>2.3966740034238043E-3</v>
      </c>
    </row>
    <row r="211" spans="1:25" x14ac:dyDescent="0.35">
      <c r="A211" s="6">
        <v>44431</v>
      </c>
      <c r="B211" s="8">
        <v>4479.5</v>
      </c>
      <c r="C211" s="2">
        <v>149.71</v>
      </c>
      <c r="D211" s="2">
        <v>133.36000000000001</v>
      </c>
      <c r="E211" s="2">
        <v>304.64999999999998</v>
      </c>
      <c r="F211" s="2">
        <v>425.36</v>
      </c>
      <c r="G211" s="2">
        <v>177.61</v>
      </c>
      <c r="H211" s="2">
        <v>234.14</v>
      </c>
      <c r="I211" s="2">
        <v>160.44999999999999</v>
      </c>
      <c r="J211" s="2">
        <v>219.4</v>
      </c>
      <c r="K211" s="2">
        <v>50.15</v>
      </c>
      <c r="L211" s="2">
        <v>209.14</v>
      </c>
      <c r="M211" s="64" t="s">
        <v>77</v>
      </c>
      <c r="N211" s="1"/>
      <c r="O211" s="12">
        <f t="shared" si="33"/>
        <v>8.5102550825135737E-3</v>
      </c>
      <c r="P211" s="12">
        <f t="shared" si="34"/>
        <v>1.0257102368580906E-2</v>
      </c>
      <c r="Q211" s="12">
        <f t="shared" si="35"/>
        <v>3.6878151576729135E-3</v>
      </c>
      <c r="R211" s="12">
        <f t="shared" si="36"/>
        <v>9.5281903009580837E-4</v>
      </c>
      <c r="S211" s="12">
        <f t="shared" si="37"/>
        <v>-1.0123106280980121E-2</v>
      </c>
      <c r="T211" s="12">
        <f t="shared" si="38"/>
        <v>-1.01983950066874E-2</v>
      </c>
      <c r="U211" s="12">
        <f t="shared" si="39"/>
        <v>1.2015905947441174E-2</v>
      </c>
      <c r="V211" s="12">
        <f t="shared" si="40"/>
        <v>4.381846635367781E-3</v>
      </c>
      <c r="W211" s="12">
        <f t="shared" si="41"/>
        <v>3.1645272017680082E-2</v>
      </c>
      <c r="X211" s="12">
        <f t="shared" si="42"/>
        <v>-6.5372424722661693E-3</v>
      </c>
      <c r="Y211" s="12">
        <f t="shared" si="43"/>
        <v>2.0493803064311367E-2</v>
      </c>
    </row>
    <row r="212" spans="1:25" x14ac:dyDescent="0.35">
      <c r="A212" s="6">
        <v>44432</v>
      </c>
      <c r="B212" s="8">
        <v>4486.2</v>
      </c>
      <c r="C212" s="2">
        <v>149.62</v>
      </c>
      <c r="D212" s="2">
        <v>133.57</v>
      </c>
      <c r="E212" s="2">
        <v>302.62</v>
      </c>
      <c r="F212" s="2">
        <v>423.41</v>
      </c>
      <c r="G212" s="2">
        <v>175.39</v>
      </c>
      <c r="H212" s="2">
        <v>234.24</v>
      </c>
      <c r="I212" s="2">
        <v>161.19999999999999</v>
      </c>
      <c r="J212" s="2">
        <v>221.43</v>
      </c>
      <c r="K212" s="2">
        <v>49.63</v>
      </c>
      <c r="L212" s="2">
        <v>212.59</v>
      </c>
      <c r="M212" s="64">
        <v>4.2699999999999996</v>
      </c>
      <c r="N212" s="1"/>
      <c r="O212" s="12">
        <f t="shared" si="33"/>
        <v>1.4957026453845668E-3</v>
      </c>
      <c r="P212" s="12">
        <f t="shared" si="34"/>
        <v>-6.0116224701090015E-4</v>
      </c>
      <c r="Q212" s="12">
        <f t="shared" si="35"/>
        <v>1.5746850629871911E-3</v>
      </c>
      <c r="R212" s="12">
        <f t="shared" si="36"/>
        <v>-6.663384211390011E-3</v>
      </c>
      <c r="S212" s="12">
        <f t="shared" si="37"/>
        <v>-4.5843520782395952E-3</v>
      </c>
      <c r="T212" s="12">
        <f t="shared" si="38"/>
        <v>-1.2499296210799149E-2</v>
      </c>
      <c r="U212" s="12">
        <f t="shared" si="39"/>
        <v>4.2709490048697951E-4</v>
      </c>
      <c r="V212" s="12">
        <f t="shared" si="40"/>
        <v>4.674353381115548E-3</v>
      </c>
      <c r="W212" s="12">
        <f t="shared" si="41"/>
        <v>9.2525068368276564E-3</v>
      </c>
      <c r="X212" s="12">
        <f t="shared" si="42"/>
        <v>-1.0368893320039763E-2</v>
      </c>
      <c r="Y212" s="12">
        <f t="shared" si="43"/>
        <v>1.6496126996270455E-2</v>
      </c>
    </row>
    <row r="213" spans="1:25" x14ac:dyDescent="0.35">
      <c r="A213" s="6">
        <v>44433</v>
      </c>
      <c r="B213" s="8">
        <v>4496.2</v>
      </c>
      <c r="C213" s="2">
        <v>148.36000000000001</v>
      </c>
      <c r="D213" s="2">
        <v>133.59</v>
      </c>
      <c r="E213" s="2">
        <v>302.01</v>
      </c>
      <c r="F213" s="2">
        <v>419.74</v>
      </c>
      <c r="G213" s="2">
        <v>174.23</v>
      </c>
      <c r="H213" s="2">
        <v>232.59</v>
      </c>
      <c r="I213" s="2">
        <v>166.18</v>
      </c>
      <c r="J213" s="2">
        <v>221.03</v>
      </c>
      <c r="K213" s="2">
        <v>49.65</v>
      </c>
      <c r="L213" s="2">
        <v>214.76</v>
      </c>
      <c r="M213" s="64" t="s">
        <v>77</v>
      </c>
      <c r="N213" s="1"/>
      <c r="O213" s="12">
        <f t="shared" si="33"/>
        <v>2.2290580000892124E-3</v>
      </c>
      <c r="P213" s="12">
        <f t="shared" si="34"/>
        <v>-8.4213340462504505E-3</v>
      </c>
      <c r="Q213" s="12">
        <f t="shared" si="35"/>
        <v>1.4973422175645901E-4</v>
      </c>
      <c r="R213" s="12">
        <f t="shared" si="36"/>
        <v>-2.015729297468849E-3</v>
      </c>
      <c r="S213" s="12">
        <f t="shared" si="37"/>
        <v>-8.6677215937271956E-3</v>
      </c>
      <c r="T213" s="12">
        <f t="shared" si="38"/>
        <v>-6.6138320314726995E-3</v>
      </c>
      <c r="U213" s="12">
        <f t="shared" si="39"/>
        <v>-7.0440573770491621E-3</v>
      </c>
      <c r="V213" s="12">
        <f t="shared" si="40"/>
        <v>3.0893300248139077E-2</v>
      </c>
      <c r="W213" s="12">
        <f t="shared" si="41"/>
        <v>-1.8064399584518664E-3</v>
      </c>
      <c r="X213" s="12">
        <f t="shared" si="42"/>
        <v>4.0298206729794117E-4</v>
      </c>
      <c r="Y213" s="12">
        <f t="shared" si="43"/>
        <v>1.0207441554165309E-2</v>
      </c>
    </row>
    <row r="214" spans="1:25" x14ac:dyDescent="0.35">
      <c r="A214" s="6">
        <v>44434</v>
      </c>
      <c r="B214" s="8">
        <v>4470</v>
      </c>
      <c r="C214" s="2">
        <v>147.54</v>
      </c>
      <c r="D214" s="2">
        <v>132.56</v>
      </c>
      <c r="E214" s="2">
        <v>299.08999999999997</v>
      </c>
      <c r="F214" s="2">
        <v>416.85</v>
      </c>
      <c r="G214" s="2">
        <v>173.3</v>
      </c>
      <c r="H214" s="2">
        <v>230.52</v>
      </c>
      <c r="I214" s="2">
        <v>165.51</v>
      </c>
      <c r="J214" s="2">
        <v>216.5</v>
      </c>
      <c r="K214" s="2">
        <v>49.12</v>
      </c>
      <c r="L214" s="2">
        <v>211.24</v>
      </c>
      <c r="M214" s="64" t="s">
        <v>77</v>
      </c>
      <c r="N214" s="1"/>
      <c r="O214" s="12">
        <f t="shared" si="33"/>
        <v>-5.8271429206885328E-3</v>
      </c>
      <c r="P214" s="12">
        <f t="shared" si="34"/>
        <v>-5.5270962523592537E-3</v>
      </c>
      <c r="Q214" s="12">
        <f t="shared" si="35"/>
        <v>-7.7101579459540881E-3</v>
      </c>
      <c r="R214" s="12">
        <f t="shared" si="36"/>
        <v>-9.6685540213901078E-3</v>
      </c>
      <c r="S214" s="12">
        <f t="shared" si="37"/>
        <v>-6.885214656692229E-3</v>
      </c>
      <c r="T214" s="12">
        <f t="shared" si="38"/>
        <v>-5.3377719106926236E-3</v>
      </c>
      <c r="U214" s="12">
        <f t="shared" si="39"/>
        <v>-8.8997807300399412E-3</v>
      </c>
      <c r="V214" s="12">
        <f t="shared" si="40"/>
        <v>-4.0317727765074585E-3</v>
      </c>
      <c r="W214" s="12">
        <f t="shared" si="41"/>
        <v>-2.0494955435913731E-2</v>
      </c>
      <c r="X214" s="12">
        <f t="shared" si="42"/>
        <v>-1.0674723061430025E-2</v>
      </c>
      <c r="Y214" s="12">
        <f t="shared" si="43"/>
        <v>-1.6390389271745076E-2</v>
      </c>
    </row>
    <row r="215" spans="1:25" x14ac:dyDescent="0.35">
      <c r="A215" s="6">
        <v>44435</v>
      </c>
      <c r="B215" s="8">
        <v>4509.3999999999996</v>
      </c>
      <c r="C215" s="2">
        <v>148.6</v>
      </c>
      <c r="D215" s="2">
        <v>133.16</v>
      </c>
      <c r="E215" s="2">
        <v>299.72000000000003</v>
      </c>
      <c r="F215" s="2">
        <v>418.76</v>
      </c>
      <c r="G215" s="2">
        <v>172.93</v>
      </c>
      <c r="H215" s="2">
        <v>232.69</v>
      </c>
      <c r="I215" s="2">
        <v>168.65</v>
      </c>
      <c r="J215" s="2">
        <v>221.75</v>
      </c>
      <c r="K215" s="2">
        <v>48.84</v>
      </c>
      <c r="L215" s="2">
        <v>212.83</v>
      </c>
      <c r="M215" s="64" t="s">
        <v>77</v>
      </c>
      <c r="N215" s="1"/>
      <c r="O215" s="12">
        <f t="shared" si="33"/>
        <v>8.8143176733779249E-3</v>
      </c>
      <c r="P215" s="12">
        <f t="shared" si="34"/>
        <v>7.1844923410600003E-3</v>
      </c>
      <c r="Q215" s="12">
        <f t="shared" si="35"/>
        <v>4.5262522631261959E-3</v>
      </c>
      <c r="R215" s="12">
        <f t="shared" si="36"/>
        <v>2.1063893811228418E-3</v>
      </c>
      <c r="S215" s="12">
        <f t="shared" si="37"/>
        <v>4.5819839270719864E-3</v>
      </c>
      <c r="T215" s="12">
        <f t="shared" si="38"/>
        <v>-2.1350259665320337E-3</v>
      </c>
      <c r="U215" s="12">
        <f t="shared" si="39"/>
        <v>9.4134999132395869E-3</v>
      </c>
      <c r="V215" s="12">
        <f t="shared" si="40"/>
        <v>1.8971663343604783E-2</v>
      </c>
      <c r="W215" s="12">
        <f t="shared" si="41"/>
        <v>2.4249422632794504E-2</v>
      </c>
      <c r="X215" s="12">
        <f t="shared" si="42"/>
        <v>-5.7003257328989143E-3</v>
      </c>
      <c r="Y215" s="12">
        <f t="shared" si="43"/>
        <v>7.5269835258473528E-3</v>
      </c>
    </row>
    <row r="216" spans="1:25" x14ac:dyDescent="0.35">
      <c r="A216" s="6">
        <v>44438</v>
      </c>
      <c r="B216" s="8">
        <v>4528.8</v>
      </c>
      <c r="C216" s="2">
        <v>153.12</v>
      </c>
      <c r="D216" s="2">
        <v>132.74</v>
      </c>
      <c r="E216" s="2">
        <v>303.58999999999997</v>
      </c>
      <c r="F216" s="2">
        <v>418.3</v>
      </c>
      <c r="G216" s="2">
        <v>173.66</v>
      </c>
      <c r="H216" s="2">
        <v>231.23</v>
      </c>
      <c r="I216" s="2">
        <v>164.26</v>
      </c>
      <c r="J216" s="2">
        <v>217.66</v>
      </c>
      <c r="K216" s="2">
        <v>49.23</v>
      </c>
      <c r="L216" s="2">
        <v>211.45</v>
      </c>
      <c r="M216" s="64">
        <v>4.24</v>
      </c>
      <c r="N216" s="1"/>
      <c r="O216" s="12">
        <f t="shared" si="33"/>
        <v>4.3021244511465273E-3</v>
      </c>
      <c r="P216" s="12">
        <f t="shared" si="34"/>
        <v>3.0417227456258411E-2</v>
      </c>
      <c r="Q216" s="12">
        <f t="shared" si="35"/>
        <v>-3.1541003304295101E-3</v>
      </c>
      <c r="R216" s="12">
        <f t="shared" si="36"/>
        <v>1.2912051247831124E-2</v>
      </c>
      <c r="S216" s="12">
        <f t="shared" si="37"/>
        <v>-1.0984812302988756E-3</v>
      </c>
      <c r="T216" s="12">
        <f t="shared" si="38"/>
        <v>4.2213612444341742E-3</v>
      </c>
      <c r="U216" s="12">
        <f t="shared" si="39"/>
        <v>-6.2744423911642588E-3</v>
      </c>
      <c r="V216" s="12">
        <f t="shared" si="40"/>
        <v>-2.6030240142306593E-2</v>
      </c>
      <c r="W216" s="12">
        <f t="shared" si="41"/>
        <v>-1.84441939120632E-2</v>
      </c>
      <c r="X216" s="12">
        <f t="shared" si="42"/>
        <v>7.9852579852579542E-3</v>
      </c>
      <c r="Y216" s="12">
        <f t="shared" si="43"/>
        <v>-6.4840483014613204E-3</v>
      </c>
    </row>
    <row r="217" spans="1:25" x14ac:dyDescent="0.35">
      <c r="A217" s="6">
        <v>44439</v>
      </c>
      <c r="B217" s="8">
        <v>4522.7</v>
      </c>
      <c r="C217" s="2">
        <v>151.83000000000001</v>
      </c>
      <c r="D217" s="2">
        <v>134.05000000000001</v>
      </c>
      <c r="E217" s="2">
        <v>301.88</v>
      </c>
      <c r="F217" s="2">
        <v>416.27</v>
      </c>
      <c r="G217" s="2">
        <v>173.13</v>
      </c>
      <c r="H217" s="2">
        <v>229.1</v>
      </c>
      <c r="I217" s="2">
        <v>165.96</v>
      </c>
      <c r="J217" s="2">
        <v>219.5</v>
      </c>
      <c r="K217" s="2">
        <v>49.37</v>
      </c>
      <c r="L217" s="2">
        <v>210.87</v>
      </c>
      <c r="M217" s="64" t="s">
        <v>77</v>
      </c>
      <c r="N217" s="1"/>
      <c r="O217" s="12">
        <f t="shared" si="33"/>
        <v>-1.3469351704646915E-3</v>
      </c>
      <c r="P217" s="12">
        <f t="shared" si="34"/>
        <v>-8.4247648902820993E-3</v>
      </c>
      <c r="Q217" s="12">
        <f t="shared" si="35"/>
        <v>9.8689166792225169E-3</v>
      </c>
      <c r="R217" s="12">
        <f t="shared" si="36"/>
        <v>-5.6325965940906553E-3</v>
      </c>
      <c r="S217" s="12">
        <f t="shared" si="37"/>
        <v>-4.8529763327755937E-3</v>
      </c>
      <c r="T217" s="12">
        <f t="shared" si="38"/>
        <v>-3.0519405735345284E-3</v>
      </c>
      <c r="U217" s="12">
        <f t="shared" si="39"/>
        <v>-9.2116074903775269E-3</v>
      </c>
      <c r="V217" s="12">
        <f t="shared" si="40"/>
        <v>1.0349446000243567E-2</v>
      </c>
      <c r="W217" s="12">
        <f t="shared" si="41"/>
        <v>8.4535514104566722E-3</v>
      </c>
      <c r="X217" s="12">
        <f t="shared" si="42"/>
        <v>2.8437944342880606E-3</v>
      </c>
      <c r="Y217" s="12">
        <f t="shared" si="43"/>
        <v>-2.7429652400093874E-3</v>
      </c>
    </row>
    <row r="218" spans="1:25" x14ac:dyDescent="0.35">
      <c r="A218" s="6">
        <v>44440</v>
      </c>
      <c r="B218" s="8">
        <v>4524.1000000000004</v>
      </c>
      <c r="C218" s="2">
        <v>152.51</v>
      </c>
      <c r="D218" s="2">
        <v>133.05000000000001</v>
      </c>
      <c r="E218" s="2">
        <v>301.83</v>
      </c>
      <c r="F218" s="2">
        <v>417.35</v>
      </c>
      <c r="G218" s="2">
        <v>173.74</v>
      </c>
      <c r="H218" s="2">
        <v>230.12</v>
      </c>
      <c r="I218" s="2">
        <v>164.44</v>
      </c>
      <c r="J218" s="2">
        <v>218.12</v>
      </c>
      <c r="K218" s="2">
        <v>49.26</v>
      </c>
      <c r="L218" s="2">
        <v>207.96</v>
      </c>
      <c r="M218" s="64" t="s">
        <v>77</v>
      </c>
      <c r="N218" s="1"/>
      <c r="O218" s="12">
        <f t="shared" si="33"/>
        <v>3.0954960532447728E-4</v>
      </c>
      <c r="P218" s="12">
        <f t="shared" si="34"/>
        <v>4.4786932753735353E-3</v>
      </c>
      <c r="Q218" s="12">
        <f t="shared" si="35"/>
        <v>-7.4599030212607609E-3</v>
      </c>
      <c r="R218" s="12">
        <f t="shared" si="36"/>
        <v>-1.6562872664638295E-4</v>
      </c>
      <c r="S218" s="12">
        <f t="shared" si="37"/>
        <v>2.594469935378596E-3</v>
      </c>
      <c r="T218" s="12">
        <f t="shared" si="38"/>
        <v>3.5233639461675903E-3</v>
      </c>
      <c r="U218" s="12">
        <f t="shared" si="39"/>
        <v>4.4522042776080628E-3</v>
      </c>
      <c r="V218" s="12">
        <f t="shared" si="40"/>
        <v>-9.1588334538443839E-3</v>
      </c>
      <c r="W218" s="12">
        <f t="shared" si="41"/>
        <v>-6.2870159453303209E-3</v>
      </c>
      <c r="X218" s="12">
        <f t="shared" si="42"/>
        <v>-2.2280737289851471E-3</v>
      </c>
      <c r="Y218" s="12">
        <f t="shared" si="43"/>
        <v>-1.3799971546450407E-2</v>
      </c>
    </row>
    <row r="219" spans="1:25" x14ac:dyDescent="0.35">
      <c r="A219" s="6">
        <v>44441</v>
      </c>
      <c r="B219" s="8">
        <v>4536.8999999999996</v>
      </c>
      <c r="C219" s="2">
        <v>153.65</v>
      </c>
      <c r="D219" s="2">
        <v>133.72999999999999</v>
      </c>
      <c r="E219" s="2">
        <v>301.14999999999998</v>
      </c>
      <c r="F219" s="2">
        <v>423.71</v>
      </c>
      <c r="G219" s="2">
        <v>174.93</v>
      </c>
      <c r="H219" s="2">
        <v>224.18</v>
      </c>
      <c r="I219" s="2">
        <v>162.05000000000001</v>
      </c>
      <c r="J219" s="2">
        <v>220.83</v>
      </c>
      <c r="K219" s="2">
        <v>49.52</v>
      </c>
      <c r="L219" s="2">
        <v>211.78</v>
      </c>
      <c r="M219" s="64" t="s">
        <v>77</v>
      </c>
      <c r="N219" s="1"/>
      <c r="O219" s="12">
        <f t="shared" si="33"/>
        <v>2.8292920138810462E-3</v>
      </c>
      <c r="P219" s="12">
        <f t="shared" si="34"/>
        <v>7.4749196773982174E-3</v>
      </c>
      <c r="Q219" s="12">
        <f t="shared" si="35"/>
        <v>5.1108605787295591E-3</v>
      </c>
      <c r="R219" s="12">
        <f t="shared" si="36"/>
        <v>-2.2529238312958277E-3</v>
      </c>
      <c r="S219" s="12">
        <f t="shared" si="37"/>
        <v>1.5239008026835865E-2</v>
      </c>
      <c r="T219" s="12">
        <f t="shared" si="38"/>
        <v>6.8493150684931781E-3</v>
      </c>
      <c r="U219" s="12">
        <f t="shared" si="39"/>
        <v>-2.5812619502868062E-2</v>
      </c>
      <c r="V219" s="12">
        <f t="shared" si="40"/>
        <v>-1.453417659936751E-2</v>
      </c>
      <c r="W219" s="12">
        <f t="shared" si="41"/>
        <v>1.2424353566844015E-2</v>
      </c>
      <c r="X219" s="12">
        <f t="shared" si="42"/>
        <v>5.2781161185546654E-3</v>
      </c>
      <c r="Y219" s="12">
        <f t="shared" si="43"/>
        <v>1.8368917099442106E-2</v>
      </c>
    </row>
    <row r="220" spans="1:25" x14ac:dyDescent="0.35">
      <c r="A220" s="6">
        <v>44442</v>
      </c>
      <c r="B220" s="8">
        <v>4535.3999999999996</v>
      </c>
      <c r="C220" s="2">
        <v>154.30000000000001</v>
      </c>
      <c r="D220" s="2">
        <v>133.32</v>
      </c>
      <c r="E220" s="2">
        <v>301.14</v>
      </c>
      <c r="F220" s="2">
        <v>422.86</v>
      </c>
      <c r="G220" s="2">
        <v>175.04</v>
      </c>
      <c r="H220" s="2">
        <v>225.11</v>
      </c>
      <c r="I220" s="2">
        <v>159.30000000000001</v>
      </c>
      <c r="J220" s="2">
        <v>218.17</v>
      </c>
      <c r="K220" s="2">
        <v>49.75</v>
      </c>
      <c r="L220" s="2">
        <v>210.37</v>
      </c>
      <c r="M220" s="64">
        <v>4.28</v>
      </c>
      <c r="N220" s="1"/>
      <c r="O220" s="12">
        <f t="shared" si="33"/>
        <v>-3.3062223103885735E-4</v>
      </c>
      <c r="P220" s="12">
        <f t="shared" si="34"/>
        <v>4.2303937520338231E-3</v>
      </c>
      <c r="Q220" s="12">
        <f t="shared" si="35"/>
        <v>-3.0658790099453714E-3</v>
      </c>
      <c r="R220" s="12">
        <f t="shared" si="36"/>
        <v>-3.3206043499878213E-5</v>
      </c>
      <c r="S220" s="12">
        <f t="shared" si="37"/>
        <v>-2.0060890703545997E-3</v>
      </c>
      <c r="T220" s="12">
        <f t="shared" si="38"/>
        <v>6.2882295775446018E-4</v>
      </c>
      <c r="U220" s="12">
        <f t="shared" si="39"/>
        <v>4.1484521366759175E-3</v>
      </c>
      <c r="V220" s="12">
        <f t="shared" si="40"/>
        <v>-1.6970070965751316E-2</v>
      </c>
      <c r="W220" s="12">
        <f t="shared" si="41"/>
        <v>-1.2045464837205255E-2</v>
      </c>
      <c r="X220" s="12">
        <f t="shared" si="42"/>
        <v>4.6445880452341548E-3</v>
      </c>
      <c r="Y220" s="12">
        <f t="shared" si="43"/>
        <v>-6.6578524884314261E-3</v>
      </c>
    </row>
    <row r="221" spans="1:25" x14ac:dyDescent="0.35">
      <c r="A221" s="6">
        <v>44446</v>
      </c>
      <c r="B221" s="8">
        <v>4520</v>
      </c>
      <c r="C221" s="2">
        <v>156.69</v>
      </c>
      <c r="D221" s="2">
        <v>131.87</v>
      </c>
      <c r="E221" s="2">
        <v>300.18</v>
      </c>
      <c r="F221" s="2">
        <v>421.24</v>
      </c>
      <c r="G221" s="2">
        <v>172.32</v>
      </c>
      <c r="H221" s="2">
        <v>226.27</v>
      </c>
      <c r="I221" s="2">
        <v>159.72</v>
      </c>
      <c r="J221" s="2">
        <v>214.24</v>
      </c>
      <c r="K221" s="2">
        <v>49.09</v>
      </c>
      <c r="L221" s="2">
        <v>208.23</v>
      </c>
      <c r="M221" s="64" t="s">
        <v>77</v>
      </c>
      <c r="N221" s="1"/>
      <c r="O221" s="12">
        <f t="shared" si="33"/>
        <v>-3.3955108700444159E-3</v>
      </c>
      <c r="P221" s="12">
        <f t="shared" si="34"/>
        <v>1.5489306545690029E-2</v>
      </c>
      <c r="Q221" s="12">
        <f t="shared" si="35"/>
        <v>-1.0876087608760798E-2</v>
      </c>
      <c r="R221" s="12">
        <f t="shared" si="36"/>
        <v>-3.1878860330742942E-3</v>
      </c>
      <c r="S221" s="12">
        <f t="shared" si="37"/>
        <v>-3.8310551955730299E-3</v>
      </c>
      <c r="T221" s="12">
        <f t="shared" si="38"/>
        <v>-1.5539305301645379E-2</v>
      </c>
      <c r="U221" s="12">
        <f t="shared" si="39"/>
        <v>5.1530362933676077E-3</v>
      </c>
      <c r="V221" s="12">
        <f t="shared" si="40"/>
        <v>2.6365348399246535E-3</v>
      </c>
      <c r="W221" s="12">
        <f t="shared" si="41"/>
        <v>-1.801347572993528E-2</v>
      </c>
      <c r="X221" s="12">
        <f t="shared" si="42"/>
        <v>-1.3266331658291386E-2</v>
      </c>
      <c r="Y221" s="12">
        <f t="shared" si="43"/>
        <v>-1.0172553120692207E-2</v>
      </c>
    </row>
    <row r="222" spans="1:25" x14ac:dyDescent="0.35">
      <c r="A222" s="6">
        <v>44447</v>
      </c>
      <c r="B222" s="8">
        <v>4514.1000000000004</v>
      </c>
      <c r="C222" s="2">
        <v>155.11000000000001</v>
      </c>
      <c r="D222" s="2">
        <v>132.44999999999999</v>
      </c>
      <c r="E222" s="2">
        <v>300.20999999999998</v>
      </c>
      <c r="F222" s="2">
        <v>415.39</v>
      </c>
      <c r="G222" s="2">
        <v>171.9</v>
      </c>
      <c r="H222" s="2">
        <v>229.09</v>
      </c>
      <c r="I222" s="2">
        <v>158.93</v>
      </c>
      <c r="J222" s="2">
        <v>211.38</v>
      </c>
      <c r="K222" s="2">
        <v>49.15</v>
      </c>
      <c r="L222" s="2">
        <v>206.77</v>
      </c>
      <c r="M222" s="64" t="s">
        <v>77</v>
      </c>
      <c r="N222" s="1"/>
      <c r="O222" s="12">
        <f t="shared" si="33"/>
        <v>-1.3053097345131492E-3</v>
      </c>
      <c r="P222" s="12">
        <f t="shared" si="34"/>
        <v>-1.0083604569532056E-2</v>
      </c>
      <c r="Q222" s="12">
        <f t="shared" si="35"/>
        <v>4.3982710244936385E-3</v>
      </c>
      <c r="R222" s="12">
        <f t="shared" si="36"/>
        <v>9.9940035978240971E-5</v>
      </c>
      <c r="S222" s="12">
        <f t="shared" si="37"/>
        <v>-1.3887570031336116E-2</v>
      </c>
      <c r="T222" s="12">
        <f t="shared" si="38"/>
        <v>-2.4373259052924423E-3</v>
      </c>
      <c r="U222" s="12">
        <f t="shared" si="39"/>
        <v>1.2462986697308498E-2</v>
      </c>
      <c r="V222" s="12">
        <f t="shared" si="40"/>
        <v>-4.9461557726020455E-3</v>
      </c>
      <c r="W222" s="12">
        <f t="shared" si="41"/>
        <v>-1.3349514563106846E-2</v>
      </c>
      <c r="X222" s="12">
        <f t="shared" si="42"/>
        <v>1.2222448563861121E-3</v>
      </c>
      <c r="Y222" s="12">
        <f t="shared" si="43"/>
        <v>-7.0114776929356415E-3</v>
      </c>
    </row>
    <row r="223" spans="1:25" x14ac:dyDescent="0.35">
      <c r="A223" s="6">
        <v>44448</v>
      </c>
      <c r="B223" s="8">
        <v>4493.3</v>
      </c>
      <c r="C223" s="2">
        <v>154.07</v>
      </c>
      <c r="D223" s="2">
        <v>131.56</v>
      </c>
      <c r="E223" s="2">
        <v>297.25</v>
      </c>
      <c r="F223" s="2">
        <v>414.55</v>
      </c>
      <c r="G223" s="2">
        <v>168.07</v>
      </c>
      <c r="H223" s="2">
        <v>227.49</v>
      </c>
      <c r="I223" s="2">
        <v>159.38999999999999</v>
      </c>
      <c r="J223" s="2">
        <v>213.94</v>
      </c>
      <c r="K223" s="2">
        <v>48.81</v>
      </c>
      <c r="L223" s="2">
        <v>205.42</v>
      </c>
      <c r="M223" s="64" t="s">
        <v>77</v>
      </c>
      <c r="N223" s="1"/>
      <c r="O223" s="12">
        <f t="shared" si="33"/>
        <v>-4.607784497463574E-3</v>
      </c>
      <c r="P223" s="12">
        <f t="shared" si="34"/>
        <v>-6.7049190896784072E-3</v>
      </c>
      <c r="Q223" s="12">
        <f t="shared" si="35"/>
        <v>-6.7195167987919024E-3</v>
      </c>
      <c r="R223" s="12">
        <f t="shared" si="36"/>
        <v>-9.8597648312847008E-3</v>
      </c>
      <c r="S223" s="12">
        <f t="shared" si="37"/>
        <v>-2.0221960085702317E-3</v>
      </c>
      <c r="T223" s="12">
        <f t="shared" si="38"/>
        <v>-2.2280395578824996E-2</v>
      </c>
      <c r="U223" s="12">
        <f t="shared" si="39"/>
        <v>-6.984154699026579E-3</v>
      </c>
      <c r="V223" s="12">
        <f t="shared" si="40"/>
        <v>2.8943560057885787E-3</v>
      </c>
      <c r="W223" s="12">
        <f t="shared" si="41"/>
        <v>1.211089033967272E-2</v>
      </c>
      <c r="X223" s="12">
        <f t="shared" si="42"/>
        <v>-6.9175991861647468E-3</v>
      </c>
      <c r="Y223" s="12">
        <f t="shared" si="43"/>
        <v>-6.5289935677323996E-3</v>
      </c>
    </row>
    <row r="224" spans="1:25" x14ac:dyDescent="0.35">
      <c r="A224" s="6">
        <v>44449</v>
      </c>
      <c r="B224" s="8">
        <v>4458.6000000000004</v>
      </c>
      <c r="C224" s="2">
        <v>148.97</v>
      </c>
      <c r="D224" s="2">
        <v>130.88</v>
      </c>
      <c r="E224" s="2">
        <v>295.70999999999998</v>
      </c>
      <c r="F224" s="2">
        <v>403.91</v>
      </c>
      <c r="G224" s="2">
        <v>166.97</v>
      </c>
      <c r="H224" s="2">
        <v>224.91</v>
      </c>
      <c r="I224" s="2">
        <v>158.72</v>
      </c>
      <c r="J224" s="2">
        <v>210.3</v>
      </c>
      <c r="K224" s="2">
        <v>48.63</v>
      </c>
      <c r="L224" s="2">
        <v>205.01</v>
      </c>
      <c r="M224" s="64" t="s">
        <v>77</v>
      </c>
      <c r="N224" s="1"/>
      <c r="O224" s="12">
        <f t="shared" si="33"/>
        <v>-7.7226092181692518E-3</v>
      </c>
      <c r="P224" s="12">
        <f t="shared" si="34"/>
        <v>-3.3101836827416076E-2</v>
      </c>
      <c r="Q224" s="12">
        <f t="shared" si="35"/>
        <v>-5.1687442991791288E-3</v>
      </c>
      <c r="R224" s="12">
        <f t="shared" si="36"/>
        <v>-5.1808242220353629E-3</v>
      </c>
      <c r="S224" s="12">
        <f t="shared" si="37"/>
        <v>-2.566638523700393E-2</v>
      </c>
      <c r="T224" s="12">
        <f t="shared" si="38"/>
        <v>-6.5448920092817664E-3</v>
      </c>
      <c r="U224" s="12">
        <f t="shared" si="39"/>
        <v>-1.1341157853092532E-2</v>
      </c>
      <c r="V224" s="12">
        <f t="shared" si="40"/>
        <v>-4.2035259426562721E-3</v>
      </c>
      <c r="W224" s="12">
        <f t="shared" si="41"/>
        <v>-1.7014116107319732E-2</v>
      </c>
      <c r="X224" s="12">
        <f t="shared" si="42"/>
        <v>-3.6877688998155911E-3</v>
      </c>
      <c r="Y224" s="12">
        <f t="shared" si="43"/>
        <v>-1.9959108168630113E-3</v>
      </c>
    </row>
    <row r="225" spans="1:25" x14ac:dyDescent="0.35">
      <c r="A225" s="6">
        <v>44452</v>
      </c>
      <c r="B225" s="8">
        <v>4468.7</v>
      </c>
      <c r="C225" s="2">
        <v>149.55000000000001</v>
      </c>
      <c r="D225" s="2">
        <v>131.96</v>
      </c>
      <c r="E225" s="2">
        <v>296.99</v>
      </c>
      <c r="F225" s="2">
        <v>414.52</v>
      </c>
      <c r="G225" s="2">
        <v>165.8</v>
      </c>
      <c r="H225" s="2">
        <v>224.63</v>
      </c>
      <c r="I225" s="2">
        <v>161.44999999999999</v>
      </c>
      <c r="J225" s="2">
        <v>214.48</v>
      </c>
      <c r="K225" s="2">
        <v>48.35</v>
      </c>
      <c r="L225" s="2">
        <v>206.2</v>
      </c>
      <c r="M225" s="64">
        <v>4.1900000000000004</v>
      </c>
      <c r="N225" s="1"/>
      <c r="O225" s="12">
        <f t="shared" si="33"/>
        <v>2.2652850670612512E-3</v>
      </c>
      <c r="P225" s="12">
        <f t="shared" si="34"/>
        <v>3.8934013559777103E-3</v>
      </c>
      <c r="Q225" s="12">
        <f t="shared" si="35"/>
        <v>8.2518337408314935E-3</v>
      </c>
      <c r="R225" s="12">
        <f t="shared" si="36"/>
        <v>4.3285651482871668E-3</v>
      </c>
      <c r="S225" s="12">
        <f t="shared" si="37"/>
        <v>2.6268228070609689E-2</v>
      </c>
      <c r="T225" s="12">
        <f t="shared" si="38"/>
        <v>-7.0072468108042241E-3</v>
      </c>
      <c r="U225" s="12">
        <f t="shared" si="39"/>
        <v>-1.2449424214130422E-3</v>
      </c>
      <c r="V225" s="12">
        <f t="shared" si="40"/>
        <v>1.7200100806451513E-2</v>
      </c>
      <c r="W225" s="12">
        <f t="shared" si="41"/>
        <v>1.9876367094626701E-2</v>
      </c>
      <c r="X225" s="12">
        <f t="shared" si="42"/>
        <v>-5.7577626979231633E-3</v>
      </c>
      <c r="Y225" s="12">
        <f t="shared" si="43"/>
        <v>5.8045948978098227E-3</v>
      </c>
    </row>
    <row r="226" spans="1:25" x14ac:dyDescent="0.35">
      <c r="A226" s="6">
        <v>44453</v>
      </c>
      <c r="B226" s="8">
        <v>4443.1000000000004</v>
      </c>
      <c r="C226" s="2">
        <v>148.12</v>
      </c>
      <c r="D226" s="2">
        <v>130.11000000000001</v>
      </c>
      <c r="E226" s="2">
        <v>299.79000000000002</v>
      </c>
      <c r="F226" s="2">
        <v>412.54</v>
      </c>
      <c r="G226" s="2">
        <v>164.8</v>
      </c>
      <c r="H226" s="2">
        <v>223.03</v>
      </c>
      <c r="I226" s="2">
        <v>159.47999999999999</v>
      </c>
      <c r="J226" s="2">
        <v>211.57</v>
      </c>
      <c r="K226" s="2">
        <v>48.1</v>
      </c>
      <c r="L226" s="2">
        <v>202.33</v>
      </c>
      <c r="M226" s="64" t="s">
        <v>77</v>
      </c>
      <c r="N226" s="1"/>
      <c r="O226" s="12">
        <f t="shared" si="33"/>
        <v>-5.7287354264102808E-3</v>
      </c>
      <c r="P226" s="12">
        <f t="shared" si="34"/>
        <v>-9.5620193915079144E-3</v>
      </c>
      <c r="Q226" s="12">
        <f t="shared" si="35"/>
        <v>-1.401939981812661E-2</v>
      </c>
      <c r="R226" s="12">
        <f t="shared" si="36"/>
        <v>9.4279268662245119E-3</v>
      </c>
      <c r="S226" s="12">
        <f t="shared" si="37"/>
        <v>-4.7766090900317471E-3</v>
      </c>
      <c r="T226" s="12">
        <f t="shared" si="38"/>
        <v>-6.0313630880578506E-3</v>
      </c>
      <c r="U226" s="12">
        <f t="shared" si="39"/>
        <v>-7.1228241997951525E-3</v>
      </c>
      <c r="V226" s="12">
        <f t="shared" si="40"/>
        <v>-1.2201920099101926E-2</v>
      </c>
      <c r="W226" s="12">
        <f t="shared" si="41"/>
        <v>-1.3567698619917912E-2</v>
      </c>
      <c r="X226" s="12">
        <f t="shared" si="42"/>
        <v>-5.170630816959676E-3</v>
      </c>
      <c r="Y226" s="12">
        <f t="shared" si="43"/>
        <v>-1.8768186226963968E-2</v>
      </c>
    </row>
    <row r="227" spans="1:25" x14ac:dyDescent="0.35">
      <c r="A227" s="6">
        <v>44454</v>
      </c>
      <c r="B227" s="8">
        <v>4480.7</v>
      </c>
      <c r="C227" s="2">
        <v>149.03</v>
      </c>
      <c r="D227" s="2">
        <v>131.05000000000001</v>
      </c>
      <c r="E227" s="2">
        <v>304.82</v>
      </c>
      <c r="F227" s="2">
        <v>417.52</v>
      </c>
      <c r="G227" s="2">
        <v>165.42</v>
      </c>
      <c r="H227" s="2">
        <v>223.81</v>
      </c>
      <c r="I227" s="2">
        <v>161.34</v>
      </c>
      <c r="J227" s="2">
        <v>214.22</v>
      </c>
      <c r="K227" s="2">
        <v>48.18</v>
      </c>
      <c r="L227" s="2">
        <v>205.73</v>
      </c>
      <c r="M227" s="64" t="s">
        <v>77</v>
      </c>
      <c r="N227" s="1"/>
      <c r="O227" s="12">
        <f t="shared" si="33"/>
        <v>8.4625599243770555E-3</v>
      </c>
      <c r="P227" s="12">
        <f t="shared" si="34"/>
        <v>6.1436672967862815E-3</v>
      </c>
      <c r="Q227" s="12">
        <f t="shared" si="35"/>
        <v>7.2246560602566845E-3</v>
      </c>
      <c r="R227" s="12">
        <f t="shared" si="36"/>
        <v>1.6778411554754902E-2</v>
      </c>
      <c r="S227" s="12">
        <f t="shared" si="37"/>
        <v>1.2071556697532237E-2</v>
      </c>
      <c r="T227" s="12">
        <f t="shared" si="38"/>
        <v>3.7621359223298789E-3</v>
      </c>
      <c r="U227" s="12">
        <f t="shared" si="39"/>
        <v>3.4972873604448562E-3</v>
      </c>
      <c r="V227" s="12">
        <f t="shared" si="40"/>
        <v>1.1662904439428301E-2</v>
      </c>
      <c r="W227" s="12">
        <f t="shared" si="41"/>
        <v>1.2525405303209336E-2</v>
      </c>
      <c r="X227" s="12">
        <f t="shared" si="42"/>
        <v>1.6632016632016633E-3</v>
      </c>
      <c r="Y227" s="12">
        <f t="shared" si="43"/>
        <v>1.6804230712202717E-2</v>
      </c>
    </row>
    <row r="228" spans="1:25" x14ac:dyDescent="0.35">
      <c r="A228" s="6">
        <v>44455</v>
      </c>
      <c r="B228" s="8">
        <v>4473.8</v>
      </c>
      <c r="C228" s="2">
        <v>148.79</v>
      </c>
      <c r="D228" s="2">
        <v>130.31</v>
      </c>
      <c r="E228" s="2">
        <v>305.22000000000003</v>
      </c>
      <c r="F228" s="2">
        <v>416.84</v>
      </c>
      <c r="G228" s="2">
        <v>165.22</v>
      </c>
      <c r="H228" s="2">
        <v>224.33</v>
      </c>
      <c r="I228" s="2">
        <v>162.63</v>
      </c>
      <c r="J228" s="2">
        <v>213.36</v>
      </c>
      <c r="K228" s="2">
        <v>48.34</v>
      </c>
      <c r="L228" s="2">
        <v>203.6</v>
      </c>
      <c r="M228" s="64" t="s">
        <v>77</v>
      </c>
      <c r="N228" s="1"/>
      <c r="O228" s="12">
        <f t="shared" si="33"/>
        <v>-1.5399379561228388E-3</v>
      </c>
      <c r="P228" s="12">
        <f t="shared" si="34"/>
        <v>-1.6104140106019127E-3</v>
      </c>
      <c r="Q228" s="12">
        <f t="shared" si="35"/>
        <v>-5.646699732926419E-3</v>
      </c>
      <c r="R228" s="12">
        <f t="shared" si="36"/>
        <v>1.3122498523721049E-3</v>
      </c>
      <c r="S228" s="12">
        <f t="shared" si="37"/>
        <v>-1.6286644951140072E-3</v>
      </c>
      <c r="T228" s="12">
        <f t="shared" si="38"/>
        <v>-1.2090436464755605E-3</v>
      </c>
      <c r="U228" s="12">
        <f t="shared" si="39"/>
        <v>2.3233993119164964E-3</v>
      </c>
      <c r="V228" s="12">
        <f t="shared" si="40"/>
        <v>7.9955373744886593E-3</v>
      </c>
      <c r="W228" s="12">
        <f t="shared" si="41"/>
        <v>-4.0145644664363322E-3</v>
      </c>
      <c r="X228" s="12">
        <f t="shared" si="42"/>
        <v>3.3208800332089616E-3</v>
      </c>
      <c r="Y228" s="12">
        <f t="shared" si="43"/>
        <v>-1.035337578379425E-2</v>
      </c>
    </row>
    <row r="229" spans="1:25" x14ac:dyDescent="0.35">
      <c r="A229" s="6">
        <v>44456</v>
      </c>
      <c r="B229" s="8">
        <v>4433</v>
      </c>
      <c r="C229" s="2">
        <v>146.06</v>
      </c>
      <c r="D229" s="2">
        <v>129.16999999999999</v>
      </c>
      <c r="E229" s="2">
        <v>299.87</v>
      </c>
      <c r="F229" s="2">
        <v>420.16</v>
      </c>
      <c r="G229" s="2">
        <v>164.75</v>
      </c>
      <c r="H229" s="2">
        <v>221.75</v>
      </c>
      <c r="I229" s="2">
        <v>163.92</v>
      </c>
      <c r="J229" s="2">
        <v>213.36</v>
      </c>
      <c r="K229" s="2">
        <v>48.24</v>
      </c>
      <c r="L229" s="2">
        <v>199.75</v>
      </c>
      <c r="M229" s="64" t="s">
        <v>77</v>
      </c>
      <c r="N229" s="1"/>
      <c r="O229" s="12">
        <f t="shared" si="33"/>
        <v>-9.1197639590505641E-3</v>
      </c>
      <c r="P229" s="12">
        <f t="shared" si="34"/>
        <v>-1.8348007258552235E-2</v>
      </c>
      <c r="Q229" s="12">
        <f t="shared" si="35"/>
        <v>-8.7483692732714946E-3</v>
      </c>
      <c r="R229" s="12">
        <f t="shared" si="36"/>
        <v>-1.7528340213616489E-2</v>
      </c>
      <c r="S229" s="12">
        <f t="shared" si="37"/>
        <v>7.9646866903368974E-3</v>
      </c>
      <c r="T229" s="12">
        <f t="shared" si="38"/>
        <v>-2.8446919259169645E-3</v>
      </c>
      <c r="U229" s="12">
        <f t="shared" si="39"/>
        <v>-1.1500913832300674E-2</v>
      </c>
      <c r="V229" s="12">
        <f t="shared" si="40"/>
        <v>7.9321158457847929E-3</v>
      </c>
      <c r="W229" s="12">
        <f t="shared" si="41"/>
        <v>0</v>
      </c>
      <c r="X229" s="12">
        <f t="shared" si="42"/>
        <v>-2.0686801820438694E-3</v>
      </c>
      <c r="Y229" s="12">
        <f t="shared" si="43"/>
        <v>-1.8909626719056938E-2</v>
      </c>
    </row>
    <row r="230" spans="1:25" x14ac:dyDescent="0.35">
      <c r="A230" s="6">
        <v>44459</v>
      </c>
      <c r="B230" s="8">
        <v>4357.7</v>
      </c>
      <c r="C230" s="2">
        <v>142.94</v>
      </c>
      <c r="D230" s="2">
        <v>128.29</v>
      </c>
      <c r="E230" s="2">
        <v>294.3</v>
      </c>
      <c r="F230" s="2">
        <v>412.7</v>
      </c>
      <c r="G230" s="2">
        <v>163.81</v>
      </c>
      <c r="H230" s="2">
        <v>220.05</v>
      </c>
      <c r="I230" s="2">
        <v>160.57</v>
      </c>
      <c r="J230" s="2">
        <v>209.5</v>
      </c>
      <c r="K230" s="2">
        <v>47.58</v>
      </c>
      <c r="L230" s="2">
        <v>190.82</v>
      </c>
      <c r="M230" s="64">
        <v>4.1900000000000004</v>
      </c>
      <c r="N230" s="1"/>
      <c r="O230" s="12">
        <f t="shared" si="33"/>
        <v>-1.698623956688472E-2</v>
      </c>
      <c r="P230" s="12">
        <f t="shared" si="34"/>
        <v>-2.1361084485827742E-2</v>
      </c>
      <c r="Q230" s="12">
        <f t="shared" si="35"/>
        <v>-6.8127274134860416E-3</v>
      </c>
      <c r="R230" s="12">
        <f t="shared" si="36"/>
        <v>-1.8574715710141021E-2</v>
      </c>
      <c r="S230" s="12">
        <f t="shared" si="37"/>
        <v>-1.7755140898705335E-2</v>
      </c>
      <c r="T230" s="12">
        <f t="shared" si="38"/>
        <v>-5.7056145675264958E-3</v>
      </c>
      <c r="U230" s="12">
        <f t="shared" si="39"/>
        <v>-7.6662908680946718E-3</v>
      </c>
      <c r="V230" s="12">
        <f t="shared" si="40"/>
        <v>-2.0436798438262516E-2</v>
      </c>
      <c r="W230" s="12">
        <f t="shared" si="41"/>
        <v>-1.8091488563929614E-2</v>
      </c>
      <c r="X230" s="12">
        <f t="shared" si="42"/>
        <v>-1.3681592039801016E-2</v>
      </c>
      <c r="Y230" s="12">
        <f t="shared" si="43"/>
        <v>-4.4705882352941262E-2</v>
      </c>
    </row>
    <row r="231" spans="1:25" x14ac:dyDescent="0.35">
      <c r="A231" s="6">
        <v>44460</v>
      </c>
      <c r="B231" s="8">
        <v>4354.2</v>
      </c>
      <c r="C231" s="2">
        <v>143.43</v>
      </c>
      <c r="D231" s="2">
        <v>127.01</v>
      </c>
      <c r="E231" s="2">
        <v>294.8</v>
      </c>
      <c r="F231" s="2">
        <v>412.34</v>
      </c>
      <c r="G231" s="2">
        <v>164.53</v>
      </c>
      <c r="H231" s="2">
        <v>220.17</v>
      </c>
      <c r="I231" s="2">
        <v>163.27000000000001</v>
      </c>
      <c r="J231" s="2">
        <v>208.51</v>
      </c>
      <c r="K231" s="2">
        <v>47.67</v>
      </c>
      <c r="L231" s="2">
        <v>189.84</v>
      </c>
      <c r="M231" s="64" t="s">
        <v>77</v>
      </c>
      <c r="N231" s="1"/>
      <c r="O231" s="12">
        <f t="shared" si="33"/>
        <v>-8.0317598733281592E-4</v>
      </c>
      <c r="P231" s="12">
        <f t="shared" si="34"/>
        <v>3.4280117531833021E-3</v>
      </c>
      <c r="Q231" s="12">
        <f t="shared" si="35"/>
        <v>-9.9773949645334259E-3</v>
      </c>
      <c r="R231" s="12">
        <f t="shared" si="36"/>
        <v>1.6989466530750175E-3</v>
      </c>
      <c r="S231" s="12">
        <f t="shared" si="37"/>
        <v>-8.7230433729101886E-4</v>
      </c>
      <c r="T231" s="12">
        <f t="shared" si="38"/>
        <v>4.3953360600694769E-3</v>
      </c>
      <c r="U231" s="12">
        <f t="shared" si="39"/>
        <v>5.4533060668027211E-4</v>
      </c>
      <c r="V231" s="12">
        <f t="shared" si="40"/>
        <v>1.6815096219717329E-2</v>
      </c>
      <c r="W231" s="12">
        <f t="shared" si="41"/>
        <v>-4.7255369928401736E-3</v>
      </c>
      <c r="X231" s="12">
        <f t="shared" si="42"/>
        <v>1.8915510718791051E-3</v>
      </c>
      <c r="Y231" s="12">
        <f t="shared" si="43"/>
        <v>-5.1357300073366918E-3</v>
      </c>
    </row>
    <row r="232" spans="1:25" x14ac:dyDescent="0.35">
      <c r="A232" s="6">
        <v>44461</v>
      </c>
      <c r="B232" s="8">
        <v>4395.6000000000004</v>
      </c>
      <c r="C232" s="2">
        <v>145.85</v>
      </c>
      <c r="D232" s="2">
        <v>128.59</v>
      </c>
      <c r="E232" s="2">
        <v>298.58</v>
      </c>
      <c r="F232" s="2">
        <v>408.7</v>
      </c>
      <c r="G232" s="2">
        <v>163.93</v>
      </c>
      <c r="H232" s="2">
        <v>222.75</v>
      </c>
      <c r="I232" s="2">
        <v>167.49</v>
      </c>
      <c r="J232" s="2">
        <v>216.98</v>
      </c>
      <c r="K232" s="2">
        <v>47.56</v>
      </c>
      <c r="L232" s="2">
        <v>191.35</v>
      </c>
      <c r="M232" s="64" t="s">
        <v>77</v>
      </c>
      <c r="N232" s="1"/>
      <c r="O232" s="12">
        <f t="shared" si="33"/>
        <v>9.5080611823068484E-3</v>
      </c>
      <c r="P232" s="12">
        <f t="shared" si="34"/>
        <v>1.6872341908944932E-2</v>
      </c>
      <c r="Q232" s="12">
        <f t="shared" si="35"/>
        <v>1.243996535705838E-2</v>
      </c>
      <c r="R232" s="12">
        <f t="shared" si="36"/>
        <v>1.2822252374491194E-2</v>
      </c>
      <c r="S232" s="12">
        <f t="shared" si="37"/>
        <v>-8.8276664888198297E-3</v>
      </c>
      <c r="T232" s="12">
        <f t="shared" si="38"/>
        <v>-3.646751352336941E-3</v>
      </c>
      <c r="U232" s="12">
        <f t="shared" si="39"/>
        <v>1.171821774083659E-2</v>
      </c>
      <c r="V232" s="12">
        <f t="shared" si="40"/>
        <v>2.584675690573901E-2</v>
      </c>
      <c r="W232" s="12">
        <f t="shared" si="41"/>
        <v>4.0621552923121085E-2</v>
      </c>
      <c r="X232" s="12">
        <f t="shared" si="42"/>
        <v>-2.3075309418921774E-3</v>
      </c>
      <c r="Y232" s="12">
        <f t="shared" si="43"/>
        <v>7.9540665823851775E-3</v>
      </c>
    </row>
    <row r="233" spans="1:25" x14ac:dyDescent="0.35">
      <c r="A233" s="6">
        <v>44462</v>
      </c>
      <c r="B233" s="8">
        <v>4449</v>
      </c>
      <c r="C233" s="2">
        <v>146.83000000000001</v>
      </c>
      <c r="D233" s="2">
        <v>130.6</v>
      </c>
      <c r="E233" s="2">
        <v>299.56</v>
      </c>
      <c r="F233" s="2">
        <v>408.03</v>
      </c>
      <c r="G233" s="2">
        <v>164.86</v>
      </c>
      <c r="H233" s="2">
        <v>228.31</v>
      </c>
      <c r="I233" s="2">
        <v>173.36</v>
      </c>
      <c r="J233" s="2">
        <v>221.1</v>
      </c>
      <c r="K233" s="2">
        <v>47.59</v>
      </c>
      <c r="L233" s="2">
        <v>196.62</v>
      </c>
      <c r="M233" s="64" t="s">
        <v>77</v>
      </c>
      <c r="N233" s="1"/>
      <c r="O233" s="12">
        <f t="shared" si="33"/>
        <v>1.2148512148512092E-2</v>
      </c>
      <c r="P233" s="12">
        <f t="shared" si="34"/>
        <v>6.7192320877615952E-3</v>
      </c>
      <c r="Q233" s="12">
        <f t="shared" si="35"/>
        <v>1.5631075511314929E-2</v>
      </c>
      <c r="R233" s="12">
        <f t="shared" si="36"/>
        <v>3.2822024248109205E-3</v>
      </c>
      <c r="S233" s="12">
        <f t="shared" si="37"/>
        <v>-1.6393442622951726E-3</v>
      </c>
      <c r="T233" s="12">
        <f t="shared" si="38"/>
        <v>5.6731531751357256E-3</v>
      </c>
      <c r="U233" s="12">
        <f t="shared" si="39"/>
        <v>2.4960718294051665E-2</v>
      </c>
      <c r="V233" s="12">
        <f t="shared" si="40"/>
        <v>3.5046868469759351E-2</v>
      </c>
      <c r="W233" s="12">
        <f t="shared" si="41"/>
        <v>1.8987925154392071E-2</v>
      </c>
      <c r="X233" s="12">
        <f t="shared" si="42"/>
        <v>6.3078216989076452E-4</v>
      </c>
      <c r="Y233" s="12">
        <f t="shared" si="43"/>
        <v>2.7541154951659319E-2</v>
      </c>
    </row>
    <row r="234" spans="1:25" x14ac:dyDescent="0.35">
      <c r="A234" s="6">
        <v>44463</v>
      </c>
      <c r="B234" s="8">
        <v>4455.5</v>
      </c>
      <c r="C234" s="2">
        <v>146.91999999999999</v>
      </c>
      <c r="D234" s="2">
        <v>131.33000000000001</v>
      </c>
      <c r="E234" s="2">
        <v>299.35000000000002</v>
      </c>
      <c r="F234" s="2">
        <v>407.08</v>
      </c>
      <c r="G234" s="2">
        <v>164.36</v>
      </c>
      <c r="H234" s="2">
        <v>231.59</v>
      </c>
      <c r="I234" s="2">
        <v>175.72</v>
      </c>
      <c r="J234" s="2">
        <v>221.39</v>
      </c>
      <c r="K234" s="2">
        <v>47.72</v>
      </c>
      <c r="L234" s="2">
        <v>196.82</v>
      </c>
      <c r="M234" s="64" t="s">
        <v>77</v>
      </c>
      <c r="N234" s="1"/>
      <c r="O234" s="12">
        <f t="shared" si="33"/>
        <v>1.4610024724657222E-3</v>
      </c>
      <c r="P234" s="12">
        <f t="shared" si="34"/>
        <v>6.1295375604419888E-4</v>
      </c>
      <c r="Q234" s="12">
        <f t="shared" si="35"/>
        <v>5.5895865237367559E-3</v>
      </c>
      <c r="R234" s="12">
        <f t="shared" si="36"/>
        <v>-7.0102817465611533E-4</v>
      </c>
      <c r="S234" s="12">
        <f t="shared" si="37"/>
        <v>-2.3282601769477607E-3</v>
      </c>
      <c r="T234" s="12">
        <f t="shared" si="38"/>
        <v>-3.0328763799587488E-3</v>
      </c>
      <c r="U234" s="12">
        <f t="shared" si="39"/>
        <v>1.4366431606149588E-2</v>
      </c>
      <c r="V234" s="12">
        <f t="shared" si="40"/>
        <v>1.3613290263036371E-2</v>
      </c>
      <c r="W234" s="12">
        <f t="shared" si="41"/>
        <v>1.3116236996832953E-3</v>
      </c>
      <c r="X234" s="12">
        <f t="shared" si="42"/>
        <v>2.7316663164529409E-3</v>
      </c>
      <c r="Y234" s="12">
        <f t="shared" si="43"/>
        <v>1.0171905197842168E-3</v>
      </c>
    </row>
    <row r="235" spans="1:25" x14ac:dyDescent="0.35">
      <c r="A235" s="6">
        <v>44466</v>
      </c>
      <c r="B235" s="8">
        <v>4443.1000000000004</v>
      </c>
      <c r="C235" s="2">
        <v>145.37</v>
      </c>
      <c r="D235" s="2">
        <v>132.35</v>
      </c>
      <c r="E235" s="2">
        <v>294.17</v>
      </c>
      <c r="F235" s="2">
        <v>405.27</v>
      </c>
      <c r="G235" s="2">
        <v>163.16999999999999</v>
      </c>
      <c r="H235" s="2">
        <v>229.6</v>
      </c>
      <c r="I235" s="2">
        <v>176.77</v>
      </c>
      <c r="J235" s="2">
        <v>224.16</v>
      </c>
      <c r="K235" s="2">
        <v>47.42</v>
      </c>
      <c r="L235" s="2">
        <v>200</v>
      </c>
      <c r="M235" s="64">
        <v>4.22</v>
      </c>
      <c r="N235" s="1"/>
      <c r="O235" s="12">
        <f t="shared" si="33"/>
        <v>-2.78307709572434E-3</v>
      </c>
      <c r="P235" s="12">
        <f t="shared" si="34"/>
        <v>-1.0549959161448297E-2</v>
      </c>
      <c r="Q235" s="12">
        <f t="shared" si="35"/>
        <v>7.7666945861569747E-3</v>
      </c>
      <c r="R235" s="12">
        <f t="shared" si="36"/>
        <v>-1.7304159011190978E-2</v>
      </c>
      <c r="S235" s="12">
        <f t="shared" si="37"/>
        <v>-4.4463004814778717E-3</v>
      </c>
      <c r="T235" s="12">
        <f t="shared" si="38"/>
        <v>-7.2402044293017331E-3</v>
      </c>
      <c r="U235" s="12">
        <f t="shared" si="39"/>
        <v>-8.5927717086230482E-3</v>
      </c>
      <c r="V235" s="12">
        <f t="shared" si="40"/>
        <v>5.9754154336444376E-3</v>
      </c>
      <c r="W235" s="12">
        <f t="shared" si="41"/>
        <v>1.2511856904105834E-2</v>
      </c>
      <c r="X235" s="12">
        <f t="shared" si="42"/>
        <v>-6.286672254819714E-3</v>
      </c>
      <c r="Y235" s="12">
        <f t="shared" si="43"/>
        <v>1.6156894624530072E-2</v>
      </c>
    </row>
    <row r="236" spans="1:25" x14ac:dyDescent="0.35">
      <c r="A236" s="6">
        <v>44467</v>
      </c>
      <c r="B236" s="8">
        <v>4352.6000000000004</v>
      </c>
      <c r="C236" s="2">
        <v>141.91</v>
      </c>
      <c r="D236" s="2">
        <v>131.31</v>
      </c>
      <c r="E236" s="2">
        <v>283.52</v>
      </c>
      <c r="F236" s="2">
        <v>398.62</v>
      </c>
      <c r="G236" s="2">
        <v>162.81</v>
      </c>
      <c r="H236" s="2">
        <v>225.56</v>
      </c>
      <c r="I236" s="2">
        <v>173.14</v>
      </c>
      <c r="J236" s="2">
        <v>218.41</v>
      </c>
      <c r="K236" s="2">
        <v>46.83</v>
      </c>
      <c r="L236" s="2">
        <v>200.55</v>
      </c>
      <c r="M236" s="64" t="s">
        <v>77</v>
      </c>
      <c r="N236" s="1"/>
      <c r="O236" s="12">
        <f t="shared" si="33"/>
        <v>-2.0368661520109854E-2</v>
      </c>
      <c r="P236" s="12">
        <f t="shared" si="34"/>
        <v>-2.3801334525693107E-2</v>
      </c>
      <c r="Q236" s="12">
        <f t="shared" si="35"/>
        <v>-7.8579523989421585E-3</v>
      </c>
      <c r="R236" s="12">
        <f t="shared" si="36"/>
        <v>-3.620355576707357E-2</v>
      </c>
      <c r="S236" s="12">
        <f t="shared" si="37"/>
        <v>-1.6408813877168305E-2</v>
      </c>
      <c r="T236" s="12">
        <f t="shared" si="38"/>
        <v>-2.2062879205735353E-3</v>
      </c>
      <c r="U236" s="12">
        <f t="shared" si="39"/>
        <v>-1.759581881533101E-2</v>
      </c>
      <c r="V236" s="12">
        <f t="shared" si="40"/>
        <v>-2.0535158680771715E-2</v>
      </c>
      <c r="W236" s="12">
        <f t="shared" si="41"/>
        <v>-2.5651320485367557E-2</v>
      </c>
      <c r="X236" s="12">
        <f t="shared" si="42"/>
        <v>-1.2442007591733528E-2</v>
      </c>
      <c r="Y236" s="12">
        <f t="shared" si="43"/>
        <v>2.7500000000000302E-3</v>
      </c>
    </row>
    <row r="237" spans="1:25" x14ac:dyDescent="0.35">
      <c r="A237" s="6">
        <v>44468</v>
      </c>
      <c r="B237" s="8">
        <v>4359.5</v>
      </c>
      <c r="C237" s="2">
        <v>142.83000000000001</v>
      </c>
      <c r="D237" s="2">
        <v>132.94</v>
      </c>
      <c r="E237" s="2">
        <v>284</v>
      </c>
      <c r="F237" s="2">
        <v>400.41</v>
      </c>
      <c r="G237" s="2">
        <v>164.02</v>
      </c>
      <c r="H237" s="2">
        <v>226.68</v>
      </c>
      <c r="I237" s="2">
        <v>171.54</v>
      </c>
      <c r="J237" s="2">
        <v>225.36</v>
      </c>
      <c r="K237" s="2">
        <v>46.81</v>
      </c>
      <c r="L237" s="2">
        <v>197.87</v>
      </c>
      <c r="M237" s="64" t="s">
        <v>77</v>
      </c>
      <c r="N237" s="1"/>
      <c r="O237" s="12">
        <f t="shared" si="33"/>
        <v>1.5852593851950481E-3</v>
      </c>
      <c r="P237" s="12">
        <f t="shared" si="34"/>
        <v>6.482982171799101E-3</v>
      </c>
      <c r="Q237" s="12">
        <f t="shared" si="35"/>
        <v>1.2413372934277689E-2</v>
      </c>
      <c r="R237" s="12">
        <f t="shared" si="36"/>
        <v>1.6930022573364845E-3</v>
      </c>
      <c r="S237" s="12">
        <f t="shared" si="37"/>
        <v>4.4904921980835066E-3</v>
      </c>
      <c r="T237" s="12">
        <f t="shared" si="38"/>
        <v>7.4319759228549387E-3</v>
      </c>
      <c r="U237" s="12">
        <f t="shared" si="39"/>
        <v>4.9654194006030217E-3</v>
      </c>
      <c r="V237" s="12">
        <f t="shared" si="40"/>
        <v>-9.2410765854221699E-3</v>
      </c>
      <c r="W237" s="12">
        <f t="shared" si="41"/>
        <v>3.1820887322009161E-2</v>
      </c>
      <c r="X237" s="12">
        <f t="shared" si="42"/>
        <v>-4.2707666026042812E-4</v>
      </c>
      <c r="Y237" s="12">
        <f t="shared" si="43"/>
        <v>-1.3363251059586134E-2</v>
      </c>
    </row>
    <row r="238" spans="1:25" x14ac:dyDescent="0.35">
      <c r="A238" s="6">
        <v>44469</v>
      </c>
      <c r="B238" s="8">
        <v>4307.5</v>
      </c>
      <c r="C238" s="2">
        <v>141.5</v>
      </c>
      <c r="D238" s="2">
        <v>132.69999999999999</v>
      </c>
      <c r="E238" s="2">
        <v>281.92</v>
      </c>
      <c r="F238" s="2">
        <v>390.74</v>
      </c>
      <c r="G238" s="2">
        <v>161.5</v>
      </c>
      <c r="H238" s="2">
        <v>222.75</v>
      </c>
      <c r="I238" s="2">
        <v>167.53</v>
      </c>
      <c r="J238" s="2">
        <v>219.94</v>
      </c>
      <c r="K238" s="2">
        <v>46.46</v>
      </c>
      <c r="L238" s="2">
        <v>191.97</v>
      </c>
      <c r="M238" s="64" t="s">
        <v>77</v>
      </c>
      <c r="N238" s="1"/>
      <c r="O238" s="12">
        <f t="shared" si="33"/>
        <v>-1.1927973391444024E-2</v>
      </c>
      <c r="P238" s="12">
        <f t="shared" si="34"/>
        <v>-9.3117692361549542E-3</v>
      </c>
      <c r="Q238" s="12">
        <f t="shared" si="35"/>
        <v>-1.8053257108470167E-3</v>
      </c>
      <c r="R238" s="12">
        <f t="shared" si="36"/>
        <v>-7.3239436619717546E-3</v>
      </c>
      <c r="S238" s="12">
        <f t="shared" si="37"/>
        <v>-2.4150245997852204E-2</v>
      </c>
      <c r="T238" s="12">
        <f t="shared" si="38"/>
        <v>-1.5363980002438771E-2</v>
      </c>
      <c r="U238" s="12">
        <f t="shared" si="39"/>
        <v>-1.7337215457914223E-2</v>
      </c>
      <c r="V238" s="12">
        <f t="shared" si="40"/>
        <v>-2.3376471959892675E-2</v>
      </c>
      <c r="W238" s="12">
        <f t="shared" si="41"/>
        <v>-2.4050408235711807E-2</v>
      </c>
      <c r="X238" s="12">
        <f t="shared" si="42"/>
        <v>-7.4770348216193216E-3</v>
      </c>
      <c r="Y238" s="12">
        <f t="shared" si="43"/>
        <v>-2.9817556981856841E-2</v>
      </c>
    </row>
    <row r="239" spans="1:25" x14ac:dyDescent="0.35">
      <c r="A239" s="6">
        <v>44470</v>
      </c>
      <c r="B239" s="8">
        <v>4357</v>
      </c>
      <c r="C239" s="2">
        <v>142.65</v>
      </c>
      <c r="D239" s="2">
        <v>136.88999999999999</v>
      </c>
      <c r="E239" s="2">
        <v>289.10000000000002</v>
      </c>
      <c r="F239" s="2">
        <v>392.43</v>
      </c>
      <c r="G239" s="2">
        <v>160.47</v>
      </c>
      <c r="H239" s="2">
        <v>230.46</v>
      </c>
      <c r="I239" s="2">
        <v>173.94</v>
      </c>
      <c r="J239" s="2">
        <v>226</v>
      </c>
      <c r="K239" s="2">
        <v>45.68</v>
      </c>
      <c r="L239" s="2">
        <v>194.33</v>
      </c>
      <c r="M239" s="64">
        <v>4.24</v>
      </c>
      <c r="N239" s="1"/>
      <c r="O239" s="12">
        <f t="shared" si="33"/>
        <v>1.1491584445734171E-2</v>
      </c>
      <c r="P239" s="12">
        <f t="shared" si="34"/>
        <v>8.1272084805654732E-3</v>
      </c>
      <c r="Q239" s="12">
        <f t="shared" si="35"/>
        <v>3.1574981160512383E-2</v>
      </c>
      <c r="R239" s="12">
        <f t="shared" si="36"/>
        <v>2.5468217934165649E-2</v>
      </c>
      <c r="S239" s="12">
        <f t="shared" si="37"/>
        <v>4.325126682704683E-3</v>
      </c>
      <c r="T239" s="12">
        <f t="shared" si="38"/>
        <v>-6.3777089783282337E-3</v>
      </c>
      <c r="U239" s="12">
        <f t="shared" si="39"/>
        <v>3.461279461279454E-2</v>
      </c>
      <c r="V239" s="12">
        <f t="shared" si="40"/>
        <v>3.8261803856025844E-2</v>
      </c>
      <c r="W239" s="12">
        <f t="shared" si="41"/>
        <v>2.7552968991543247E-2</v>
      </c>
      <c r="X239" s="12">
        <f t="shared" si="42"/>
        <v>-1.6788635385277639E-2</v>
      </c>
      <c r="Y239" s="12">
        <f t="shared" si="43"/>
        <v>1.2293587539719875E-2</v>
      </c>
    </row>
    <row r="240" spans="1:25" x14ac:dyDescent="0.35">
      <c r="A240" s="6">
        <v>44473</v>
      </c>
      <c r="B240" s="8">
        <v>4300.5</v>
      </c>
      <c r="C240" s="2">
        <v>139.13999999999999</v>
      </c>
      <c r="D240" s="2">
        <v>137.65</v>
      </c>
      <c r="E240" s="2">
        <v>283.11</v>
      </c>
      <c r="F240" s="2">
        <v>387.01</v>
      </c>
      <c r="G240" s="2">
        <v>159.22</v>
      </c>
      <c r="H240" s="2">
        <v>224.73</v>
      </c>
      <c r="I240" s="2">
        <v>172.66</v>
      </c>
      <c r="J240" s="2">
        <v>223.79</v>
      </c>
      <c r="K240" s="2">
        <v>45.24</v>
      </c>
      <c r="L240" s="2">
        <v>193.13</v>
      </c>
      <c r="M240" s="64" t="s">
        <v>77</v>
      </c>
      <c r="N240" s="1"/>
      <c r="O240" s="12">
        <f t="shared" si="33"/>
        <v>-1.2967638283222449E-2</v>
      </c>
      <c r="P240" s="12">
        <f t="shared" si="34"/>
        <v>-2.4605678233438621E-2</v>
      </c>
      <c r="Q240" s="12">
        <f t="shared" si="35"/>
        <v>5.5519029878006165E-3</v>
      </c>
      <c r="R240" s="12">
        <f t="shared" si="36"/>
        <v>-2.0719474230370127E-2</v>
      </c>
      <c r="S240" s="12">
        <f t="shared" si="37"/>
        <v>-1.3811380373569881E-2</v>
      </c>
      <c r="T240" s="12">
        <f t="shared" si="38"/>
        <v>-7.7896179971334023E-3</v>
      </c>
      <c r="U240" s="12">
        <f t="shared" si="39"/>
        <v>-2.486331684457177E-2</v>
      </c>
      <c r="V240" s="12">
        <f t="shared" si="40"/>
        <v>-7.3588593767965893E-3</v>
      </c>
      <c r="W240" s="12">
        <f t="shared" si="41"/>
        <v>-9.7787610619469723E-3</v>
      </c>
      <c r="X240" s="12">
        <f t="shared" si="42"/>
        <v>-9.6322241681260357E-3</v>
      </c>
      <c r="Y240" s="12">
        <f t="shared" si="43"/>
        <v>-6.1750630371019133E-3</v>
      </c>
    </row>
    <row r="241" spans="1:25" x14ac:dyDescent="0.35">
      <c r="A241" s="6">
        <v>44474</v>
      </c>
      <c r="B241" s="8">
        <v>4345.7</v>
      </c>
      <c r="C241" s="2">
        <v>141.11000000000001</v>
      </c>
      <c r="D241" s="2">
        <v>136.72999999999999</v>
      </c>
      <c r="E241" s="2">
        <v>288.76</v>
      </c>
      <c r="F241" s="2">
        <v>393.43</v>
      </c>
      <c r="G241" s="2">
        <v>159.58000000000001</v>
      </c>
      <c r="H241" s="2">
        <v>224.28</v>
      </c>
      <c r="I241" s="2">
        <v>174.76</v>
      </c>
      <c r="J241" s="2">
        <v>224.42</v>
      </c>
      <c r="K241" s="2">
        <v>45.54</v>
      </c>
      <c r="L241" s="2">
        <v>192.5</v>
      </c>
      <c r="M241" s="64" t="s">
        <v>77</v>
      </c>
      <c r="N241" s="1"/>
      <c r="O241" s="12">
        <f t="shared" si="33"/>
        <v>1.0510405766771314E-2</v>
      </c>
      <c r="P241" s="12">
        <f t="shared" si="34"/>
        <v>1.4158401609889459E-2</v>
      </c>
      <c r="Q241" s="12">
        <f t="shared" si="35"/>
        <v>-6.6836178714131389E-3</v>
      </c>
      <c r="R241" s="12">
        <f t="shared" si="36"/>
        <v>1.9956907209211838E-2</v>
      </c>
      <c r="S241" s="12">
        <f t="shared" si="37"/>
        <v>1.6588718637761346E-2</v>
      </c>
      <c r="T241" s="12">
        <f t="shared" si="38"/>
        <v>2.2610224846124627E-3</v>
      </c>
      <c r="U241" s="12">
        <f t="shared" si="39"/>
        <v>-2.0024028834600971E-3</v>
      </c>
      <c r="V241" s="12">
        <f t="shared" si="40"/>
        <v>1.2162631761843956E-2</v>
      </c>
      <c r="W241" s="12">
        <f t="shared" si="41"/>
        <v>2.8151391929933656E-3</v>
      </c>
      <c r="X241" s="12">
        <f t="shared" si="42"/>
        <v>6.6312997347479641E-3</v>
      </c>
      <c r="Y241" s="12">
        <f t="shared" si="43"/>
        <v>-3.2620514679231327E-3</v>
      </c>
    </row>
    <row r="242" spans="1:25" x14ac:dyDescent="0.35">
      <c r="A242" s="6">
        <v>44475</v>
      </c>
      <c r="B242" s="8">
        <v>4363.6000000000004</v>
      </c>
      <c r="C242" s="2">
        <v>142</v>
      </c>
      <c r="D242" s="2">
        <v>135.97999999999999</v>
      </c>
      <c r="E242" s="2">
        <v>293.11</v>
      </c>
      <c r="F242" s="2">
        <v>394.25</v>
      </c>
      <c r="G242" s="2">
        <v>159.91</v>
      </c>
      <c r="H242" s="2">
        <v>226.51</v>
      </c>
      <c r="I242" s="2">
        <v>173.4</v>
      </c>
      <c r="J242" s="2">
        <v>224.99</v>
      </c>
      <c r="K242" s="2">
        <v>45.87</v>
      </c>
      <c r="L242" s="2">
        <v>191.86</v>
      </c>
      <c r="M242" s="64" t="s">
        <v>77</v>
      </c>
      <c r="N242" s="1"/>
      <c r="O242" s="12">
        <f t="shared" si="33"/>
        <v>4.1190141979430273E-3</v>
      </c>
      <c r="P242" s="12">
        <f t="shared" si="34"/>
        <v>6.3071362766635719E-3</v>
      </c>
      <c r="Q242" s="12">
        <f t="shared" si="35"/>
        <v>-5.4852629269362962E-3</v>
      </c>
      <c r="R242" s="12">
        <f t="shared" si="36"/>
        <v>1.5064413353650163E-2</v>
      </c>
      <c r="S242" s="12">
        <f t="shared" si="37"/>
        <v>2.0842335358259856E-3</v>
      </c>
      <c r="T242" s="12">
        <f t="shared" si="38"/>
        <v>2.0679283118183456E-3</v>
      </c>
      <c r="U242" s="12">
        <f t="shared" si="39"/>
        <v>9.9429284822543096E-3</v>
      </c>
      <c r="V242" s="12">
        <f t="shared" si="40"/>
        <v>-7.7821011673150364E-3</v>
      </c>
      <c r="W242" s="12">
        <f t="shared" si="41"/>
        <v>2.5398805810534775E-3</v>
      </c>
      <c r="X242" s="12">
        <f t="shared" si="42"/>
        <v>7.2463768115942351E-3</v>
      </c>
      <c r="Y242" s="12">
        <f t="shared" si="43"/>
        <v>-3.3246753246752858E-3</v>
      </c>
    </row>
    <row r="243" spans="1:25" x14ac:dyDescent="0.35">
      <c r="A243" s="6">
        <v>44476</v>
      </c>
      <c r="B243" s="8">
        <v>4399.8</v>
      </c>
      <c r="C243" s="2">
        <v>143.29</v>
      </c>
      <c r="D243" s="2">
        <v>135.44999999999999</v>
      </c>
      <c r="E243" s="2">
        <v>294.85000000000002</v>
      </c>
      <c r="F243" s="2">
        <v>404.7</v>
      </c>
      <c r="G243" s="2">
        <v>161.34</v>
      </c>
      <c r="H243" s="2">
        <v>230.55</v>
      </c>
      <c r="I243" s="2">
        <v>174.29</v>
      </c>
      <c r="J243" s="2">
        <v>226.48</v>
      </c>
      <c r="K243" s="2">
        <v>46.41</v>
      </c>
      <c r="L243" s="2">
        <v>195.75</v>
      </c>
      <c r="M243" s="64" t="s">
        <v>77</v>
      </c>
      <c r="N243" s="1"/>
      <c r="O243" s="12">
        <f t="shared" si="33"/>
        <v>8.2959024658537661E-3</v>
      </c>
      <c r="P243" s="12">
        <f t="shared" si="34"/>
        <v>9.0845070422533869E-3</v>
      </c>
      <c r="Q243" s="12">
        <f t="shared" si="35"/>
        <v>-3.8976320047066082E-3</v>
      </c>
      <c r="R243" s="12">
        <f t="shared" si="36"/>
        <v>5.9363378936236888E-3</v>
      </c>
      <c r="S243" s="12">
        <f t="shared" si="37"/>
        <v>2.6506024096385472E-2</v>
      </c>
      <c r="T243" s="12">
        <f t="shared" si="38"/>
        <v>8.9425301732224405E-3</v>
      </c>
      <c r="U243" s="12">
        <f t="shared" si="39"/>
        <v>1.7835857136550448E-2</v>
      </c>
      <c r="V243" s="12">
        <f t="shared" si="40"/>
        <v>5.1326412918106801E-3</v>
      </c>
      <c r="W243" s="12">
        <f t="shared" si="41"/>
        <v>6.6225165562912025E-3</v>
      </c>
      <c r="X243" s="12">
        <f t="shared" si="42"/>
        <v>1.1772400261608862E-2</v>
      </c>
      <c r="Y243" s="12">
        <f t="shared" si="43"/>
        <v>2.0275200667153159E-2</v>
      </c>
    </row>
    <row r="244" spans="1:25" x14ac:dyDescent="0.35">
      <c r="A244" s="6">
        <v>44477</v>
      </c>
      <c r="B244" s="8">
        <v>4391.3</v>
      </c>
      <c r="C244" s="2">
        <v>142.9</v>
      </c>
      <c r="D244" s="2">
        <v>136.80000000000001</v>
      </c>
      <c r="E244" s="2">
        <v>294.85000000000002</v>
      </c>
      <c r="F244" s="2">
        <v>408.46</v>
      </c>
      <c r="G244" s="2">
        <v>160.93</v>
      </c>
      <c r="H244" s="2">
        <v>230.27</v>
      </c>
      <c r="I244" s="2">
        <v>175.15</v>
      </c>
      <c r="J244" s="2">
        <v>226.39</v>
      </c>
      <c r="K244" s="2">
        <v>46.55</v>
      </c>
      <c r="L244" s="2">
        <v>195.16</v>
      </c>
      <c r="M244" s="64">
        <v>4.1900000000000004</v>
      </c>
      <c r="N244" s="1"/>
      <c r="O244" s="12">
        <f t="shared" si="33"/>
        <v>-1.9319059957271234E-3</v>
      </c>
      <c r="P244" s="12">
        <f t="shared" si="34"/>
        <v>-2.7217530881428198E-3</v>
      </c>
      <c r="Q244" s="12">
        <f t="shared" si="35"/>
        <v>9.9667774086380501E-3</v>
      </c>
      <c r="R244" s="12">
        <f t="shared" si="36"/>
        <v>0</v>
      </c>
      <c r="S244" s="12">
        <f t="shared" si="37"/>
        <v>9.2908327155918347E-3</v>
      </c>
      <c r="T244" s="12">
        <f t="shared" si="38"/>
        <v>-2.5412173050700648E-3</v>
      </c>
      <c r="U244" s="12">
        <f t="shared" si="39"/>
        <v>-1.2144870960746346E-3</v>
      </c>
      <c r="V244" s="12">
        <f t="shared" si="40"/>
        <v>4.9343048941419276E-3</v>
      </c>
      <c r="W244" s="12">
        <f t="shared" si="41"/>
        <v>-3.9738608265627029E-4</v>
      </c>
      <c r="X244" s="12">
        <f t="shared" si="42"/>
        <v>3.0165912518853588E-3</v>
      </c>
      <c r="Y244" s="12">
        <f t="shared" si="43"/>
        <v>-3.0140485312899479E-3</v>
      </c>
    </row>
    <row r="245" spans="1:25" x14ac:dyDescent="0.35">
      <c r="A245" s="6">
        <v>44480</v>
      </c>
      <c r="B245" s="8">
        <v>4361.2</v>
      </c>
      <c r="C245" s="2">
        <v>142.81</v>
      </c>
      <c r="D245" s="2">
        <v>136.04</v>
      </c>
      <c r="E245" s="2">
        <v>294.23</v>
      </c>
      <c r="F245" s="2">
        <v>404.99</v>
      </c>
      <c r="G245" s="2">
        <v>160.25</v>
      </c>
      <c r="H245" s="2">
        <v>225.11</v>
      </c>
      <c r="I245" s="2">
        <v>173.46</v>
      </c>
      <c r="J245" s="2">
        <v>226.45</v>
      </c>
      <c r="K245" s="2">
        <v>46.51</v>
      </c>
      <c r="L245" s="2">
        <v>192.89</v>
      </c>
      <c r="M245" s="64" t="s">
        <v>77</v>
      </c>
      <c r="N245" s="1"/>
      <c r="O245" s="12">
        <f t="shared" si="33"/>
        <v>-6.8544622321409232E-3</v>
      </c>
      <c r="P245" s="12">
        <f t="shared" si="34"/>
        <v>-6.2981105668302728E-4</v>
      </c>
      <c r="Q245" s="12">
        <f t="shared" si="35"/>
        <v>-5.5555555555556468E-3</v>
      </c>
      <c r="R245" s="12">
        <f t="shared" si="36"/>
        <v>-2.1027641173477774E-3</v>
      </c>
      <c r="S245" s="12">
        <f t="shared" si="37"/>
        <v>-8.4953238995250091E-3</v>
      </c>
      <c r="T245" s="12">
        <f t="shared" si="38"/>
        <v>-4.2254396321382837E-3</v>
      </c>
      <c r="U245" s="12">
        <f t="shared" si="39"/>
        <v>-2.2408477005254723E-2</v>
      </c>
      <c r="V245" s="12">
        <f t="shared" si="40"/>
        <v>-9.6488723950899358E-3</v>
      </c>
      <c r="W245" s="12">
        <f t="shared" si="41"/>
        <v>2.6502937408889871E-4</v>
      </c>
      <c r="X245" s="12">
        <f t="shared" si="42"/>
        <v>-8.5929108485494066E-4</v>
      </c>
      <c r="Y245" s="12">
        <f t="shared" si="43"/>
        <v>-1.163148186103713E-2</v>
      </c>
    </row>
    <row r="246" spans="1:25" x14ac:dyDescent="0.35">
      <c r="A246" s="6">
        <v>44481</v>
      </c>
      <c r="B246" s="8">
        <v>4350.6000000000004</v>
      </c>
      <c r="C246" s="2">
        <v>141.51</v>
      </c>
      <c r="D246" s="2">
        <v>134.16999999999999</v>
      </c>
      <c r="E246" s="2">
        <v>292.88</v>
      </c>
      <c r="F246" s="2">
        <v>403.24</v>
      </c>
      <c r="G246" s="2">
        <v>157.69</v>
      </c>
      <c r="H246" s="2">
        <v>224.05</v>
      </c>
      <c r="I246" s="2">
        <v>174.91</v>
      </c>
      <c r="J246" s="2">
        <v>223.57</v>
      </c>
      <c r="K246" s="2">
        <v>46.46</v>
      </c>
      <c r="L246" s="2">
        <v>189.92</v>
      </c>
      <c r="M246" s="64" t="s">
        <v>77</v>
      </c>
      <c r="N246" s="1"/>
      <c r="O246" s="12">
        <f t="shared" si="33"/>
        <v>-2.4305237090708198E-3</v>
      </c>
      <c r="P246" s="12">
        <f t="shared" si="34"/>
        <v>-9.1030039913172489E-3</v>
      </c>
      <c r="Q246" s="12">
        <f t="shared" si="35"/>
        <v>-1.3745957071449655E-2</v>
      </c>
      <c r="R246" s="12">
        <f t="shared" si="36"/>
        <v>-4.5882472895354409E-3</v>
      </c>
      <c r="S246" s="12">
        <f t="shared" si="37"/>
        <v>-4.3210943480086472E-3</v>
      </c>
      <c r="T246" s="12">
        <f t="shared" si="38"/>
        <v>-1.5975039001560054E-2</v>
      </c>
      <c r="U246" s="12">
        <f t="shared" si="39"/>
        <v>-4.7088090266980132E-3</v>
      </c>
      <c r="V246" s="12">
        <f t="shared" si="40"/>
        <v>8.359275913755182E-3</v>
      </c>
      <c r="W246" s="12">
        <f t="shared" si="41"/>
        <v>-1.271803930227422E-2</v>
      </c>
      <c r="X246" s="12">
        <f t="shared" si="42"/>
        <v>-1.0750376263168882E-3</v>
      </c>
      <c r="Y246" s="12">
        <f t="shared" si="43"/>
        <v>-1.5397376743221503E-2</v>
      </c>
    </row>
    <row r="247" spans="1:25" x14ac:dyDescent="0.35">
      <c r="A247" s="6">
        <v>44482</v>
      </c>
      <c r="B247" s="8">
        <v>4363.8</v>
      </c>
      <c r="C247" s="2">
        <v>140.91</v>
      </c>
      <c r="D247" s="2">
        <v>134.44999999999999</v>
      </c>
      <c r="E247" s="2">
        <v>296.31</v>
      </c>
      <c r="F247" s="2">
        <v>403.55</v>
      </c>
      <c r="G247" s="2">
        <v>159.19999999999999</v>
      </c>
      <c r="H247" s="2">
        <v>222.46</v>
      </c>
      <c r="I247" s="2">
        <v>168.72</v>
      </c>
      <c r="J247" s="2">
        <v>221.78</v>
      </c>
      <c r="K247" s="2">
        <v>46.12</v>
      </c>
      <c r="L247" s="2">
        <v>188.94</v>
      </c>
      <c r="M247" s="64" t="s">
        <v>77</v>
      </c>
      <c r="N247" s="1"/>
      <c r="O247" s="12">
        <f t="shared" si="33"/>
        <v>3.0340642669977047E-3</v>
      </c>
      <c r="P247" s="12">
        <f t="shared" si="34"/>
        <v>-4.2399830400677851E-3</v>
      </c>
      <c r="Q247" s="12">
        <f t="shared" si="35"/>
        <v>2.0869046731757379E-3</v>
      </c>
      <c r="R247" s="12">
        <f t="shared" si="36"/>
        <v>1.1711281070745816E-2</v>
      </c>
      <c r="S247" s="12">
        <f t="shared" si="37"/>
        <v>7.687729391925302E-4</v>
      </c>
      <c r="T247" s="12">
        <f t="shared" si="38"/>
        <v>9.5757498890227666E-3</v>
      </c>
      <c r="U247" s="12">
        <f t="shared" si="39"/>
        <v>-7.0966302164695572E-3</v>
      </c>
      <c r="V247" s="12">
        <f t="shared" si="40"/>
        <v>-3.5389628952032459E-2</v>
      </c>
      <c r="W247" s="12">
        <f t="shared" si="41"/>
        <v>-8.006440935724779E-3</v>
      </c>
      <c r="X247" s="12">
        <f t="shared" si="42"/>
        <v>-7.3181231166595806E-3</v>
      </c>
      <c r="Y247" s="12">
        <f t="shared" si="43"/>
        <v>-5.1600673967986399E-3</v>
      </c>
    </row>
    <row r="248" spans="1:25" x14ac:dyDescent="0.35">
      <c r="A248" s="6">
        <v>44483</v>
      </c>
      <c r="B248" s="8">
        <v>4438.3</v>
      </c>
      <c r="C248" s="2">
        <v>143.76</v>
      </c>
      <c r="D248" s="2">
        <v>136.96</v>
      </c>
      <c r="E248" s="2">
        <v>302.75</v>
      </c>
      <c r="F248" s="2">
        <v>420.36</v>
      </c>
      <c r="G248" s="2">
        <v>160.11000000000001</v>
      </c>
      <c r="H248" s="2">
        <v>225.18</v>
      </c>
      <c r="I248" s="2">
        <v>171.51</v>
      </c>
      <c r="J248" s="2">
        <v>217.44</v>
      </c>
      <c r="K248" s="2">
        <v>46.62</v>
      </c>
      <c r="L248" s="2">
        <v>194.33</v>
      </c>
      <c r="M248" s="64" t="s">
        <v>77</v>
      </c>
      <c r="N248" s="1"/>
      <c r="O248" s="12">
        <f t="shared" si="33"/>
        <v>1.7072276456299607E-2</v>
      </c>
      <c r="P248" s="12">
        <f t="shared" si="34"/>
        <v>2.0225675963380763E-2</v>
      </c>
      <c r="Q248" s="12">
        <f t="shared" si="35"/>
        <v>1.8668650055782887E-2</v>
      </c>
      <c r="R248" s="12">
        <f t="shared" si="36"/>
        <v>2.1733994802740408E-2</v>
      </c>
      <c r="S248" s="12">
        <f t="shared" si="37"/>
        <v>4.1655309131458207E-2</v>
      </c>
      <c r="T248" s="12">
        <f t="shared" si="38"/>
        <v>5.7160804020102152E-3</v>
      </c>
      <c r="U248" s="12">
        <f t="shared" si="39"/>
        <v>1.2226917198597587E-2</v>
      </c>
      <c r="V248" s="12">
        <f t="shared" si="40"/>
        <v>1.6536273115220546E-2</v>
      </c>
      <c r="W248" s="12">
        <f t="shared" si="41"/>
        <v>-1.9568942194967964E-2</v>
      </c>
      <c r="X248" s="12">
        <f t="shared" si="42"/>
        <v>1.0841283607979202E-2</v>
      </c>
      <c r="Y248" s="12">
        <f t="shared" si="43"/>
        <v>2.8527574891499929E-2</v>
      </c>
    </row>
    <row r="249" spans="1:25" x14ac:dyDescent="0.35">
      <c r="A249" s="6">
        <v>44484</v>
      </c>
      <c r="B249" s="8">
        <v>4471.3999999999996</v>
      </c>
      <c r="C249" s="2">
        <v>144.84</v>
      </c>
      <c r="D249" s="2">
        <v>138.13</v>
      </c>
      <c r="E249" s="2">
        <v>304.20999999999998</v>
      </c>
      <c r="F249" s="2">
        <v>428.07</v>
      </c>
      <c r="G249" s="2">
        <v>161.30000000000001</v>
      </c>
      <c r="H249" s="2">
        <v>230.99</v>
      </c>
      <c r="I249" s="2">
        <v>175.81</v>
      </c>
      <c r="J249" s="2">
        <v>217.04</v>
      </c>
      <c r="K249" s="2">
        <v>46.85</v>
      </c>
      <c r="L249" s="2">
        <v>199.02</v>
      </c>
      <c r="M249" s="64">
        <v>4.01</v>
      </c>
      <c r="N249" s="1"/>
      <c r="O249" s="12">
        <f t="shared" si="33"/>
        <v>7.4578104229094944E-3</v>
      </c>
      <c r="P249" s="12">
        <f t="shared" si="34"/>
        <v>7.5125208681137146E-3</v>
      </c>
      <c r="Q249" s="12">
        <f t="shared" si="35"/>
        <v>8.5426401869157509E-3</v>
      </c>
      <c r="R249" s="12">
        <f t="shared" si="36"/>
        <v>4.8224607762179517E-3</v>
      </c>
      <c r="S249" s="12">
        <f t="shared" si="37"/>
        <v>1.8341421638595534E-2</v>
      </c>
      <c r="T249" s="12">
        <f t="shared" si="38"/>
        <v>7.4323902317157131E-3</v>
      </c>
      <c r="U249" s="12">
        <f t="shared" si="39"/>
        <v>2.5801580957456327E-2</v>
      </c>
      <c r="V249" s="12">
        <f t="shared" si="40"/>
        <v>2.5071424406740261E-2</v>
      </c>
      <c r="W249" s="12">
        <f t="shared" si="41"/>
        <v>-1.8395879323032105E-3</v>
      </c>
      <c r="X249" s="12">
        <f t="shared" si="42"/>
        <v>4.933504933505084E-3</v>
      </c>
      <c r="Y249" s="12">
        <f t="shared" si="43"/>
        <v>2.4134204703339712E-2</v>
      </c>
    </row>
    <row r="250" spans="1:25" x14ac:dyDescent="0.35">
      <c r="A250" s="6">
        <v>44487</v>
      </c>
      <c r="B250" s="8">
        <v>4486.5</v>
      </c>
      <c r="C250" s="2">
        <v>146.55000000000001</v>
      </c>
      <c r="D250" s="2">
        <v>135.94</v>
      </c>
      <c r="E250" s="2">
        <v>307.29000000000002</v>
      </c>
      <c r="F250" s="2">
        <v>424.62</v>
      </c>
      <c r="G250" s="2">
        <v>160.12</v>
      </c>
      <c r="H250" s="2">
        <v>230.65</v>
      </c>
      <c r="I250" s="2">
        <v>176.82</v>
      </c>
      <c r="J250" s="2">
        <v>216.98</v>
      </c>
      <c r="K250" s="2">
        <v>47.23</v>
      </c>
      <c r="L250" s="2">
        <v>198.18</v>
      </c>
      <c r="M250" s="64" t="s">
        <v>77</v>
      </c>
      <c r="N250" s="1"/>
      <c r="O250" s="12">
        <f t="shared" si="33"/>
        <v>3.3770183835042378E-3</v>
      </c>
      <c r="P250" s="12">
        <f t="shared" si="34"/>
        <v>1.1806130903065482E-2</v>
      </c>
      <c r="Q250" s="12">
        <f t="shared" si="35"/>
        <v>-1.5854629696662514E-2</v>
      </c>
      <c r="R250" s="12">
        <f t="shared" si="36"/>
        <v>1.0124584990631513E-2</v>
      </c>
      <c r="S250" s="12">
        <f t="shared" si="37"/>
        <v>-8.0594295325530085E-3</v>
      </c>
      <c r="T250" s="12">
        <f t="shared" si="38"/>
        <v>-7.3155610663360182E-3</v>
      </c>
      <c r="U250" s="12">
        <f t="shared" si="39"/>
        <v>-1.471925191566803E-3</v>
      </c>
      <c r="V250" s="12">
        <f t="shared" si="40"/>
        <v>5.7448381775779822E-3</v>
      </c>
      <c r="W250" s="12">
        <f t="shared" si="41"/>
        <v>-2.7644673792848184E-4</v>
      </c>
      <c r="X250" s="12">
        <f t="shared" si="42"/>
        <v>8.1109925293489926E-3</v>
      </c>
      <c r="Y250" s="12">
        <f t="shared" si="43"/>
        <v>-4.220681338558907E-3</v>
      </c>
    </row>
    <row r="251" spans="1:25" x14ac:dyDescent="0.35">
      <c r="A251" s="6">
        <v>44488</v>
      </c>
      <c r="B251" s="8">
        <v>4519.6000000000004</v>
      </c>
      <c r="C251" s="2">
        <v>148.76</v>
      </c>
      <c r="D251" s="2">
        <v>135.61000000000001</v>
      </c>
      <c r="E251" s="2">
        <v>308.23</v>
      </c>
      <c r="F251" s="2">
        <v>424.38</v>
      </c>
      <c r="G251" s="2">
        <v>163.87</v>
      </c>
      <c r="H251" s="2">
        <v>233.52</v>
      </c>
      <c r="I251" s="2">
        <v>177.31</v>
      </c>
      <c r="J251" s="2">
        <v>215.97</v>
      </c>
      <c r="K251" s="2">
        <v>48.23</v>
      </c>
      <c r="L251" s="2">
        <v>201.14</v>
      </c>
      <c r="M251" s="64" t="s">
        <v>77</v>
      </c>
      <c r="N251" s="1"/>
      <c r="O251" s="12">
        <f t="shared" si="33"/>
        <v>7.3776886214198534E-3</v>
      </c>
      <c r="P251" s="12">
        <f t="shared" si="34"/>
        <v>1.5080177413851814E-2</v>
      </c>
      <c r="Q251" s="12">
        <f t="shared" si="35"/>
        <v>-2.4275415624539498E-3</v>
      </c>
      <c r="R251" s="12">
        <f t="shared" si="36"/>
        <v>3.0589996420320453E-3</v>
      </c>
      <c r="S251" s="12">
        <f t="shared" si="37"/>
        <v>-5.6521124770381181E-4</v>
      </c>
      <c r="T251" s="12">
        <f t="shared" si="38"/>
        <v>2.3419935048713425E-2</v>
      </c>
      <c r="U251" s="12">
        <f t="shared" si="39"/>
        <v>1.244309559939305E-2</v>
      </c>
      <c r="V251" s="12">
        <f t="shared" si="40"/>
        <v>2.7711797307996555E-3</v>
      </c>
      <c r="W251" s="12">
        <f t="shared" si="41"/>
        <v>-4.654806894644592E-3</v>
      </c>
      <c r="X251" s="12">
        <f t="shared" si="42"/>
        <v>2.117298327334316E-2</v>
      </c>
      <c r="Y251" s="12">
        <f t="shared" si="43"/>
        <v>1.4935916843273667E-2</v>
      </c>
    </row>
    <row r="252" spans="1:25" x14ac:dyDescent="0.35">
      <c r="A252" s="6">
        <v>44489</v>
      </c>
      <c r="B252" s="8">
        <v>4536.2</v>
      </c>
      <c r="C252" s="2">
        <v>149.26</v>
      </c>
      <c r="D252" s="2">
        <v>135.54</v>
      </c>
      <c r="E252" s="2">
        <v>307.41000000000003</v>
      </c>
      <c r="F252" s="2">
        <v>435.09</v>
      </c>
      <c r="G252" s="2">
        <v>163.78</v>
      </c>
      <c r="H252" s="2">
        <v>231.42</v>
      </c>
      <c r="I252" s="2">
        <v>179.6</v>
      </c>
      <c r="J252" s="2">
        <v>216.17</v>
      </c>
      <c r="K252" s="2">
        <v>48.67</v>
      </c>
      <c r="L252" s="2">
        <v>204.19</v>
      </c>
      <c r="M252" s="64" t="s">
        <v>77</v>
      </c>
      <c r="N252" s="1"/>
      <c r="O252" s="12">
        <f t="shared" si="33"/>
        <v>3.6728914063191009E-3</v>
      </c>
      <c r="P252" s="12">
        <f t="shared" si="34"/>
        <v>3.3611185802635557E-3</v>
      </c>
      <c r="Q252" s="12">
        <f t="shared" si="35"/>
        <v>-5.1618612196757674E-4</v>
      </c>
      <c r="R252" s="12">
        <f t="shared" si="36"/>
        <v>-2.6603510365635907E-3</v>
      </c>
      <c r="S252" s="12">
        <f t="shared" si="37"/>
        <v>2.5236816061077194E-2</v>
      </c>
      <c r="T252" s="12">
        <f t="shared" si="38"/>
        <v>-5.4921584182587857E-4</v>
      </c>
      <c r="U252" s="12">
        <f t="shared" si="39"/>
        <v>-8.9928057553957386E-3</v>
      </c>
      <c r="V252" s="12">
        <f t="shared" si="40"/>
        <v>1.2915233207376975E-2</v>
      </c>
      <c r="W252" s="12">
        <f t="shared" si="41"/>
        <v>9.2605454461258674E-4</v>
      </c>
      <c r="X252" s="12">
        <f t="shared" si="42"/>
        <v>9.1229525191789396E-3</v>
      </c>
      <c r="Y252" s="12">
        <f t="shared" si="43"/>
        <v>1.5163567664313371E-2</v>
      </c>
    </row>
    <row r="253" spans="1:25" x14ac:dyDescent="0.35">
      <c r="A253" s="6">
        <v>44490</v>
      </c>
      <c r="B253" s="8">
        <v>4549.8</v>
      </c>
      <c r="C253" s="2">
        <v>149.47999999999999</v>
      </c>
      <c r="D253" s="2">
        <v>122.58</v>
      </c>
      <c r="E253" s="2">
        <v>310.76</v>
      </c>
      <c r="F253" s="2">
        <v>442.28</v>
      </c>
      <c r="G253" s="2">
        <v>163.4</v>
      </c>
      <c r="H253" s="2">
        <v>230.24</v>
      </c>
      <c r="I253" s="2">
        <v>177.47</v>
      </c>
      <c r="J253" s="2">
        <v>214.34</v>
      </c>
      <c r="K253" s="2">
        <v>48.94</v>
      </c>
      <c r="L253" s="2">
        <v>202.14</v>
      </c>
      <c r="M253" s="64" t="s">
        <v>77</v>
      </c>
      <c r="N253" s="1"/>
      <c r="O253" s="12">
        <f t="shared" si="33"/>
        <v>2.9981041400291009E-3</v>
      </c>
      <c r="P253" s="12">
        <f t="shared" si="34"/>
        <v>1.473938094600058E-3</v>
      </c>
      <c r="Q253" s="12">
        <f t="shared" si="35"/>
        <v>-9.5617529880478003E-2</v>
      </c>
      <c r="R253" s="12">
        <f t="shared" si="36"/>
        <v>1.0897498454832233E-2</v>
      </c>
      <c r="S253" s="12">
        <f t="shared" si="37"/>
        <v>1.6525316601162965E-2</v>
      </c>
      <c r="T253" s="12">
        <f t="shared" si="38"/>
        <v>-2.3201856148491462E-3</v>
      </c>
      <c r="U253" s="12">
        <f t="shared" si="39"/>
        <v>-5.098954282257262E-3</v>
      </c>
      <c r="V253" s="12">
        <f t="shared" si="40"/>
        <v>-1.1859688195991036E-2</v>
      </c>
      <c r="W253" s="12">
        <f t="shared" si="41"/>
        <v>-8.4655595133459327E-3</v>
      </c>
      <c r="X253" s="12">
        <f t="shared" si="42"/>
        <v>5.5475652352576788E-3</v>
      </c>
      <c r="Y253" s="12">
        <f t="shared" si="43"/>
        <v>-1.003966893579511E-2</v>
      </c>
    </row>
    <row r="254" spans="1:25" x14ac:dyDescent="0.35">
      <c r="A254" s="6">
        <v>44491</v>
      </c>
      <c r="B254" s="8">
        <v>4544.8999999999996</v>
      </c>
      <c r="C254" s="2">
        <v>148.69</v>
      </c>
      <c r="D254" s="2">
        <v>122.15</v>
      </c>
      <c r="E254" s="2">
        <v>309.16000000000003</v>
      </c>
      <c r="F254" s="2">
        <v>449.16</v>
      </c>
      <c r="G254" s="2">
        <v>163.72</v>
      </c>
      <c r="H254" s="2">
        <v>231.23</v>
      </c>
      <c r="I254" s="2">
        <v>187.08</v>
      </c>
      <c r="J254" s="2">
        <v>212.97</v>
      </c>
      <c r="K254" s="2">
        <v>49.45</v>
      </c>
      <c r="L254" s="2">
        <v>200.65</v>
      </c>
      <c r="M254" s="64">
        <v>4.0199999999999996</v>
      </c>
      <c r="N254" s="1"/>
      <c r="O254" s="12">
        <f t="shared" si="33"/>
        <v>-1.0769704162821858E-3</v>
      </c>
      <c r="P254" s="12">
        <f t="shared" si="34"/>
        <v>-5.2849879582552717E-3</v>
      </c>
      <c r="Q254" s="12">
        <f t="shared" si="35"/>
        <v>-3.5079131995431334E-3</v>
      </c>
      <c r="R254" s="12">
        <f t="shared" si="36"/>
        <v>-5.1486677822112359E-3</v>
      </c>
      <c r="S254" s="12">
        <f t="shared" si="37"/>
        <v>1.5555756534322285E-2</v>
      </c>
      <c r="T254" s="12">
        <f t="shared" si="38"/>
        <v>1.9583843329253892E-3</v>
      </c>
      <c r="U254" s="12">
        <f t="shared" si="39"/>
        <v>4.2998610145934535E-3</v>
      </c>
      <c r="V254" s="12">
        <f t="shared" si="40"/>
        <v>5.4149997182622478E-2</v>
      </c>
      <c r="W254" s="12">
        <f t="shared" si="41"/>
        <v>-6.3917140990948917E-3</v>
      </c>
      <c r="X254" s="12">
        <f t="shared" si="42"/>
        <v>1.042092357989377E-2</v>
      </c>
      <c r="Y254" s="12">
        <f t="shared" si="43"/>
        <v>-7.3711289205500297E-3</v>
      </c>
    </row>
    <row r="255" spans="1:25" x14ac:dyDescent="0.35">
      <c r="A255" s="6">
        <v>44494</v>
      </c>
      <c r="B255" s="8">
        <v>4566.5</v>
      </c>
      <c r="C255" s="2">
        <v>148.63999999999999</v>
      </c>
      <c r="D255" s="2">
        <v>121.92</v>
      </c>
      <c r="E255" s="2">
        <v>308.13</v>
      </c>
      <c r="F255" s="2">
        <v>449.49</v>
      </c>
      <c r="G255" s="2">
        <v>164.08</v>
      </c>
      <c r="H255" s="2">
        <v>233.88</v>
      </c>
      <c r="I255" s="2">
        <v>182.31</v>
      </c>
      <c r="J255" s="2">
        <v>212.87</v>
      </c>
      <c r="K255" s="2">
        <v>50.02</v>
      </c>
      <c r="L255" s="2">
        <v>202.21</v>
      </c>
      <c r="M255" s="64" t="s">
        <v>77</v>
      </c>
      <c r="N255" s="1"/>
      <c r="O255" s="12">
        <f t="shared" si="33"/>
        <v>4.7525798147374232E-3</v>
      </c>
      <c r="P255" s="12">
        <f t="shared" si="34"/>
        <v>-3.3627009213810233E-4</v>
      </c>
      <c r="Q255" s="12">
        <f t="shared" si="35"/>
        <v>-1.8829308227589214E-3</v>
      </c>
      <c r="R255" s="12">
        <f t="shared" si="36"/>
        <v>-3.3316082287490056E-3</v>
      </c>
      <c r="S255" s="12">
        <f t="shared" si="37"/>
        <v>7.3470478226012048E-4</v>
      </c>
      <c r="T255" s="12">
        <f t="shared" si="38"/>
        <v>2.1988761299780446E-3</v>
      </c>
      <c r="U255" s="12">
        <f t="shared" si="39"/>
        <v>1.1460450633568264E-2</v>
      </c>
      <c r="V255" s="12">
        <f t="shared" si="40"/>
        <v>-2.549711353431694E-2</v>
      </c>
      <c r="W255" s="12">
        <f t="shared" si="41"/>
        <v>-4.6954970183588074E-4</v>
      </c>
      <c r="X255" s="12">
        <f t="shared" si="42"/>
        <v>1.1526794742163782E-2</v>
      </c>
      <c r="Y255" s="12">
        <f t="shared" si="43"/>
        <v>7.7747321206080855E-3</v>
      </c>
    </row>
    <row r="256" spans="1:25" x14ac:dyDescent="0.35">
      <c r="A256" s="6">
        <v>44495</v>
      </c>
      <c r="B256" s="8">
        <v>4574.8</v>
      </c>
      <c r="C256" s="2">
        <v>149.32</v>
      </c>
      <c r="D256" s="2">
        <v>121.43</v>
      </c>
      <c r="E256" s="2">
        <v>310.11</v>
      </c>
      <c r="F256" s="2">
        <v>454.64</v>
      </c>
      <c r="G256" s="2">
        <v>165.75</v>
      </c>
      <c r="H256" s="2">
        <v>231.82</v>
      </c>
      <c r="I256" s="2">
        <v>180.95</v>
      </c>
      <c r="J256" s="2">
        <v>209.81</v>
      </c>
      <c r="K256" s="2">
        <v>49.58</v>
      </c>
      <c r="L256" s="2">
        <v>199.64</v>
      </c>
      <c r="M256" s="64" t="s">
        <v>77</v>
      </c>
      <c r="N256" s="1"/>
      <c r="O256" s="12">
        <f t="shared" si="33"/>
        <v>1.817584583378995E-3</v>
      </c>
      <c r="P256" s="12">
        <f t="shared" si="34"/>
        <v>4.5748116254036297E-3</v>
      </c>
      <c r="Q256" s="12">
        <f t="shared" si="35"/>
        <v>-4.0190288713910505E-3</v>
      </c>
      <c r="R256" s="12">
        <f t="shared" si="36"/>
        <v>6.425859215266394E-3</v>
      </c>
      <c r="S256" s="12">
        <f t="shared" si="37"/>
        <v>1.1457429531246399E-2</v>
      </c>
      <c r="T256" s="12">
        <f t="shared" si="38"/>
        <v>1.0177961969770832E-2</v>
      </c>
      <c r="U256" s="12">
        <f t="shared" si="39"/>
        <v>-8.8079356935180098E-3</v>
      </c>
      <c r="V256" s="12">
        <f t="shared" si="40"/>
        <v>-7.4598211836981454E-3</v>
      </c>
      <c r="W256" s="12">
        <f t="shared" si="41"/>
        <v>-1.4374970639357332E-2</v>
      </c>
      <c r="X256" s="12">
        <f t="shared" si="42"/>
        <v>-8.7964814074371622E-3</v>
      </c>
      <c r="Y256" s="12">
        <f t="shared" si="43"/>
        <v>-1.2709559368973E-2</v>
      </c>
    </row>
    <row r="257" spans="1:25" x14ac:dyDescent="0.35">
      <c r="A257" s="6">
        <v>44496</v>
      </c>
      <c r="B257" s="8">
        <v>4551.7</v>
      </c>
      <c r="C257" s="2">
        <v>148.85</v>
      </c>
      <c r="D257" s="2">
        <v>119.56</v>
      </c>
      <c r="E257" s="2">
        <v>323.17</v>
      </c>
      <c r="F257" s="2">
        <v>453.48</v>
      </c>
      <c r="G257" s="2">
        <v>163.74</v>
      </c>
      <c r="H257" s="2">
        <v>215.78</v>
      </c>
      <c r="I257" s="2">
        <v>178.03</v>
      </c>
      <c r="J257" s="2">
        <v>206.61</v>
      </c>
      <c r="K257" s="2">
        <v>49.18</v>
      </c>
      <c r="L257" s="2">
        <v>196.13</v>
      </c>
      <c r="M257" s="64" t="s">
        <v>77</v>
      </c>
      <c r="N257" s="1"/>
      <c r="O257" s="12">
        <f t="shared" si="33"/>
        <v>-5.049401066713366E-3</v>
      </c>
      <c r="P257" s="12">
        <f t="shared" si="34"/>
        <v>-3.1476024645057388E-3</v>
      </c>
      <c r="Q257" s="12">
        <f t="shared" si="35"/>
        <v>-1.5399818825660883E-2</v>
      </c>
      <c r="R257" s="12">
        <f t="shared" si="36"/>
        <v>4.2114088549224382E-2</v>
      </c>
      <c r="S257" s="12">
        <f t="shared" si="37"/>
        <v>-2.5514692943866546E-3</v>
      </c>
      <c r="T257" s="12">
        <f t="shared" si="38"/>
        <v>-1.2126696832579165E-2</v>
      </c>
      <c r="U257" s="12">
        <f t="shared" si="39"/>
        <v>-6.9191614183418126E-2</v>
      </c>
      <c r="V257" s="12">
        <f t="shared" si="40"/>
        <v>-1.6137054434926745E-2</v>
      </c>
      <c r="W257" s="12">
        <f t="shared" si="41"/>
        <v>-1.5251894571278735E-2</v>
      </c>
      <c r="X257" s="12">
        <f t="shared" si="42"/>
        <v>-8.0677692617990848E-3</v>
      </c>
      <c r="Y257" s="12">
        <f t="shared" si="43"/>
        <v>-1.7581646964536124E-2</v>
      </c>
    </row>
    <row r="258" spans="1:25" x14ac:dyDescent="0.35">
      <c r="A258" s="6">
        <v>44497</v>
      </c>
      <c r="B258" s="8">
        <v>4596.3999999999996</v>
      </c>
      <c r="C258" s="2">
        <v>152.57</v>
      </c>
      <c r="D258" s="2">
        <v>120.2</v>
      </c>
      <c r="E258" s="2">
        <v>324.35000000000002</v>
      </c>
      <c r="F258" s="2">
        <v>455.44</v>
      </c>
      <c r="G258" s="2">
        <v>162.85</v>
      </c>
      <c r="H258" s="2">
        <v>209.84</v>
      </c>
      <c r="I258" s="2">
        <v>174.61</v>
      </c>
      <c r="J258" s="2">
        <v>207.85</v>
      </c>
      <c r="K258" s="2">
        <v>49.48</v>
      </c>
      <c r="L258" s="2">
        <v>204.09</v>
      </c>
      <c r="M258" s="64" t="s">
        <v>77</v>
      </c>
      <c r="N258" s="1"/>
      <c r="O258" s="12">
        <f t="shared" si="33"/>
        <v>9.8205066238987726E-3</v>
      </c>
      <c r="P258" s="12">
        <f t="shared" si="34"/>
        <v>2.4991602284178738E-2</v>
      </c>
      <c r="Q258" s="12">
        <f t="shared" si="35"/>
        <v>5.352960856473743E-3</v>
      </c>
      <c r="R258" s="12">
        <f t="shared" si="36"/>
        <v>3.6513290218771477E-3</v>
      </c>
      <c r="S258" s="12">
        <f t="shared" si="37"/>
        <v>4.3221310752403763E-3</v>
      </c>
      <c r="T258" s="12">
        <f t="shared" si="38"/>
        <v>-5.4354464394773538E-3</v>
      </c>
      <c r="U258" s="12">
        <f t="shared" si="39"/>
        <v>-2.7528037816294315E-2</v>
      </c>
      <c r="V258" s="12">
        <f t="shared" si="40"/>
        <v>-1.9210245464247544E-2</v>
      </c>
      <c r="W258" s="12">
        <f t="shared" si="41"/>
        <v>6.0016456125064899E-3</v>
      </c>
      <c r="X258" s="12">
        <f t="shared" si="42"/>
        <v>6.1000406669378116E-3</v>
      </c>
      <c r="Y258" s="12">
        <f t="shared" si="43"/>
        <v>4.0585326059246363E-2</v>
      </c>
    </row>
    <row r="259" spans="1:25" x14ac:dyDescent="0.35">
      <c r="A259" s="6">
        <v>44498</v>
      </c>
      <c r="B259" s="8">
        <v>4605.3999999999996</v>
      </c>
      <c r="C259" s="2">
        <v>149.80000000000001</v>
      </c>
      <c r="D259" s="2">
        <v>119.49</v>
      </c>
      <c r="E259" s="2">
        <v>331.62</v>
      </c>
      <c r="F259" s="2">
        <v>460.47</v>
      </c>
      <c r="G259" s="2">
        <v>162.88</v>
      </c>
      <c r="H259" s="2">
        <v>211.77</v>
      </c>
      <c r="I259" s="2">
        <v>173.78</v>
      </c>
      <c r="J259" s="2">
        <v>207.03</v>
      </c>
      <c r="K259" s="2">
        <v>49.81</v>
      </c>
      <c r="L259" s="2">
        <v>204.01</v>
      </c>
      <c r="M259" s="64">
        <v>4.0599999999999996</v>
      </c>
      <c r="N259" s="1"/>
      <c r="O259" s="12">
        <f t="shared" si="33"/>
        <v>1.9580541293184872E-3</v>
      </c>
      <c r="P259" s="12">
        <f t="shared" si="34"/>
        <v>-1.81556007078717E-2</v>
      </c>
      <c r="Q259" s="12">
        <f t="shared" si="35"/>
        <v>-5.9068219633944263E-3</v>
      </c>
      <c r="R259" s="12">
        <f t="shared" si="36"/>
        <v>2.2414058887004762E-2</v>
      </c>
      <c r="S259" s="12">
        <f t="shared" si="37"/>
        <v>1.104426488670307E-2</v>
      </c>
      <c r="T259" s="12">
        <f t="shared" si="38"/>
        <v>1.842186060792006E-4</v>
      </c>
      <c r="U259" s="12">
        <f t="shared" si="39"/>
        <v>9.1974837971788848E-3</v>
      </c>
      <c r="V259" s="12">
        <f t="shared" si="40"/>
        <v>-4.7534505469332133E-3</v>
      </c>
      <c r="W259" s="12">
        <f t="shared" si="41"/>
        <v>-3.9451527543901133E-3</v>
      </c>
      <c r="X259" s="12">
        <f t="shared" si="42"/>
        <v>6.6693613581245703E-3</v>
      </c>
      <c r="Y259" s="12">
        <f t="shared" si="43"/>
        <v>-3.9198392865902321E-4</v>
      </c>
    </row>
    <row r="260" spans="1:25" x14ac:dyDescent="0.35">
      <c r="A260" s="6">
        <v>44501</v>
      </c>
      <c r="B260" s="8">
        <v>4613.7</v>
      </c>
      <c r="C260" s="2">
        <v>148.96</v>
      </c>
      <c r="D260" s="2">
        <v>120.62</v>
      </c>
      <c r="E260" s="2">
        <v>329.37</v>
      </c>
      <c r="F260" s="2">
        <v>454.11</v>
      </c>
      <c r="G260" s="2">
        <v>163.02000000000001</v>
      </c>
      <c r="H260" s="2">
        <v>212.46</v>
      </c>
      <c r="I260" s="2">
        <v>174.21</v>
      </c>
      <c r="J260" s="2">
        <v>214.58</v>
      </c>
      <c r="K260" s="2">
        <v>49.93</v>
      </c>
      <c r="L260" s="2">
        <v>205.38</v>
      </c>
      <c r="M260" s="64" t="s">
        <v>77</v>
      </c>
      <c r="N260" s="1"/>
      <c r="O260" s="12">
        <f t="shared" si="33"/>
        <v>1.8022321622443993E-3</v>
      </c>
      <c r="P260" s="12">
        <f t="shared" si="34"/>
        <v>-5.6074766355140859E-3</v>
      </c>
      <c r="Q260" s="12">
        <f t="shared" si="35"/>
        <v>9.4568583145033802E-3</v>
      </c>
      <c r="R260" s="12">
        <f t="shared" si="36"/>
        <v>-6.7848742536638085E-3</v>
      </c>
      <c r="S260" s="12">
        <f t="shared" si="37"/>
        <v>-1.3811974721480214E-2</v>
      </c>
      <c r="T260" s="12">
        <f t="shared" si="38"/>
        <v>8.5952848722992137E-4</v>
      </c>
      <c r="U260" s="12">
        <f t="shared" si="39"/>
        <v>3.2582518770363222E-3</v>
      </c>
      <c r="V260" s="12">
        <f t="shared" si="40"/>
        <v>2.474392910576606E-3</v>
      </c>
      <c r="W260" s="12">
        <f t="shared" si="41"/>
        <v>3.64681447133266E-2</v>
      </c>
      <c r="X260" s="12">
        <f t="shared" si="42"/>
        <v>2.4091547881950337E-3</v>
      </c>
      <c r="Y260" s="12">
        <f t="shared" si="43"/>
        <v>6.7153570903386584E-3</v>
      </c>
    </row>
    <row r="261" spans="1:25" x14ac:dyDescent="0.35">
      <c r="A261" s="6">
        <v>44502</v>
      </c>
      <c r="B261" s="8">
        <v>4630.6000000000004</v>
      </c>
      <c r="C261" s="2">
        <v>150.02000000000001</v>
      </c>
      <c r="D261" s="2">
        <v>120.52</v>
      </c>
      <c r="E261" s="2">
        <v>333.13</v>
      </c>
      <c r="F261" s="2">
        <v>452.04</v>
      </c>
      <c r="G261" s="2">
        <v>165.59</v>
      </c>
      <c r="H261" s="2">
        <v>209.14</v>
      </c>
      <c r="I261" s="2">
        <v>173.17</v>
      </c>
      <c r="J261" s="2">
        <v>212.77</v>
      </c>
      <c r="K261" s="2">
        <v>49.91</v>
      </c>
      <c r="L261" s="2">
        <v>207.12</v>
      </c>
      <c r="M261" s="64" t="s">
        <v>77</v>
      </c>
      <c r="N261" s="1"/>
      <c r="O261" s="12">
        <f t="shared" ref="O261:O324" si="44">(B261/B260)-1</f>
        <v>3.663003663003872E-3</v>
      </c>
      <c r="P261" s="12">
        <f t="shared" ref="P261:P324" si="45">(C261/C260)-1</f>
        <v>7.1160042964555359E-3</v>
      </c>
      <c r="Q261" s="12">
        <f t="shared" ref="Q261:Q324" si="46">(D261/D260)-1</f>
        <v>-8.2904990880461327E-4</v>
      </c>
      <c r="R261" s="12">
        <f t="shared" ref="R261:R324" si="47">(E261/E260)-1</f>
        <v>1.1415733066156619E-2</v>
      </c>
      <c r="S261" s="12">
        <f t="shared" ref="S261:S324" si="48">(F261/F260)-1</f>
        <v>-4.558366915505041E-3</v>
      </c>
      <c r="T261" s="12">
        <f t="shared" ref="T261:T324" si="49">(G261/G260)-1</f>
        <v>1.5764936817568298E-2</v>
      </c>
      <c r="U261" s="12">
        <f t="shared" ref="U261:U324" si="50">(H261/H260)-1</f>
        <v>-1.5626470865104158E-2</v>
      </c>
      <c r="V261" s="12">
        <f t="shared" ref="V261:V324" si="51">(I261/I260)-1</f>
        <v>-5.969806555306878E-3</v>
      </c>
      <c r="W261" s="12">
        <f t="shared" ref="W261:W324" si="52">(J261/J260)-1</f>
        <v>-8.4350824867182039E-3</v>
      </c>
      <c r="X261" s="12">
        <f t="shared" ref="X261:X324" si="53">(K261/K260)-1</f>
        <v>-4.0056078509920212E-4</v>
      </c>
      <c r="Y261" s="12">
        <f t="shared" ref="Y261:Y324" si="54">(L261/L260)-1</f>
        <v>8.4721004966403779E-3</v>
      </c>
    </row>
    <row r="262" spans="1:25" x14ac:dyDescent="0.35">
      <c r="A262" s="6">
        <v>44503</v>
      </c>
      <c r="B262" s="8">
        <v>4660.6000000000004</v>
      </c>
      <c r="C262" s="2">
        <v>151.49</v>
      </c>
      <c r="D262" s="2">
        <v>121.43</v>
      </c>
      <c r="E262" s="2">
        <v>334</v>
      </c>
      <c r="F262" s="2">
        <v>457.33</v>
      </c>
      <c r="G262" s="2">
        <v>165.06</v>
      </c>
      <c r="H262" s="2">
        <v>208.1</v>
      </c>
      <c r="I262" s="2">
        <v>172.61</v>
      </c>
      <c r="J262" s="2">
        <v>213.38</v>
      </c>
      <c r="K262" s="2">
        <v>50.06</v>
      </c>
      <c r="L262" s="2">
        <v>203.55</v>
      </c>
      <c r="M262" s="64" t="s">
        <v>77</v>
      </c>
      <c r="N262" s="1"/>
      <c r="O262" s="12">
        <f t="shared" si="44"/>
        <v>6.4786420766207442E-3</v>
      </c>
      <c r="P262" s="12">
        <f t="shared" si="45"/>
        <v>9.7986935075322634E-3</v>
      </c>
      <c r="Q262" s="12">
        <f t="shared" si="46"/>
        <v>7.5506140059742322E-3</v>
      </c>
      <c r="R262" s="12">
        <f t="shared" si="47"/>
        <v>2.6115930717738323E-3</v>
      </c>
      <c r="S262" s="12">
        <f t="shared" si="48"/>
        <v>1.1702504203167763E-2</v>
      </c>
      <c r="T262" s="12">
        <f t="shared" si="49"/>
        <v>-3.2006763693459561E-3</v>
      </c>
      <c r="U262" s="12">
        <f t="shared" si="50"/>
        <v>-4.972745529310485E-3</v>
      </c>
      <c r="V262" s="12">
        <f t="shared" si="51"/>
        <v>-3.2338164809145864E-3</v>
      </c>
      <c r="W262" s="12">
        <f t="shared" si="52"/>
        <v>2.8669455280347922E-3</v>
      </c>
      <c r="X262" s="12">
        <f t="shared" si="53"/>
        <v>3.005409737527609E-3</v>
      </c>
      <c r="Y262" s="12">
        <f t="shared" si="54"/>
        <v>-1.7236384704519048E-2</v>
      </c>
    </row>
    <row r="263" spans="1:25" x14ac:dyDescent="0.35">
      <c r="A263" s="6">
        <v>44504</v>
      </c>
      <c r="B263" s="8">
        <v>4680.1000000000004</v>
      </c>
      <c r="C263" s="2">
        <v>150.96</v>
      </c>
      <c r="D263" s="2">
        <v>120.85</v>
      </c>
      <c r="E263" s="2">
        <v>336.44</v>
      </c>
      <c r="F263" s="2">
        <v>456.76</v>
      </c>
      <c r="G263" s="2">
        <v>164.6</v>
      </c>
      <c r="H263" s="2">
        <v>208.78</v>
      </c>
      <c r="I263" s="2">
        <v>172.53</v>
      </c>
      <c r="J263" s="2">
        <v>213.03</v>
      </c>
      <c r="K263" s="2">
        <v>50.43</v>
      </c>
      <c r="L263" s="2">
        <v>203.59</v>
      </c>
      <c r="M263" s="64" t="s">
        <v>77</v>
      </c>
      <c r="N263" s="1"/>
      <c r="O263" s="12">
        <f t="shared" si="44"/>
        <v>4.1840106424064771E-3</v>
      </c>
      <c r="P263" s="12">
        <f t="shared" si="45"/>
        <v>-3.4985807644069E-3</v>
      </c>
      <c r="Q263" s="12">
        <f t="shared" si="46"/>
        <v>-4.7764143951248839E-3</v>
      </c>
      <c r="R263" s="12">
        <f t="shared" si="47"/>
        <v>7.3053892215568794E-3</v>
      </c>
      <c r="S263" s="12">
        <f t="shared" si="48"/>
        <v>-1.2463647694225255E-3</v>
      </c>
      <c r="T263" s="12">
        <f t="shared" si="49"/>
        <v>-2.7868653822852307E-3</v>
      </c>
      <c r="U263" s="12">
        <f t="shared" si="50"/>
        <v>3.2676597789524919E-3</v>
      </c>
      <c r="V263" s="12">
        <f t="shared" si="51"/>
        <v>-4.6347256821743787E-4</v>
      </c>
      <c r="W263" s="12">
        <f t="shared" si="52"/>
        <v>-1.6402661917704897E-3</v>
      </c>
      <c r="X263" s="12">
        <f t="shared" si="53"/>
        <v>7.3911306432281609E-3</v>
      </c>
      <c r="Y263" s="12">
        <f t="shared" si="54"/>
        <v>1.9651191353475816E-4</v>
      </c>
    </row>
    <row r="264" spans="1:25" x14ac:dyDescent="0.35">
      <c r="A264" s="6">
        <v>44505</v>
      </c>
      <c r="B264" s="8">
        <v>4697.5</v>
      </c>
      <c r="C264" s="2">
        <v>151.28</v>
      </c>
      <c r="D264" s="2">
        <v>123.61</v>
      </c>
      <c r="E264" s="2">
        <v>336.06</v>
      </c>
      <c r="F264" s="2">
        <v>455.81</v>
      </c>
      <c r="G264" s="2">
        <v>163.43</v>
      </c>
      <c r="H264" s="2">
        <v>216.67</v>
      </c>
      <c r="I264" s="2">
        <v>176.69</v>
      </c>
      <c r="J264" s="2">
        <v>224.46</v>
      </c>
      <c r="K264" s="2">
        <v>50.08</v>
      </c>
      <c r="L264" s="2">
        <v>205.88</v>
      </c>
      <c r="M264" s="64">
        <v>4.05</v>
      </c>
      <c r="N264" s="1"/>
      <c r="O264" s="12">
        <f t="shared" si="44"/>
        <v>3.7178692762973586E-3</v>
      </c>
      <c r="P264" s="12">
        <f t="shared" si="45"/>
        <v>2.1197668256491831E-3</v>
      </c>
      <c r="Q264" s="12">
        <f t="shared" si="46"/>
        <v>2.2838229209764194E-2</v>
      </c>
      <c r="R264" s="12">
        <f t="shared" si="47"/>
        <v>-1.129473308762341E-3</v>
      </c>
      <c r="S264" s="12">
        <f t="shared" si="48"/>
        <v>-2.0798668885191329E-3</v>
      </c>
      <c r="T264" s="12">
        <f t="shared" si="49"/>
        <v>-7.1081409477520285E-3</v>
      </c>
      <c r="U264" s="12">
        <f t="shared" si="50"/>
        <v>3.7790976147140443E-2</v>
      </c>
      <c r="V264" s="12">
        <f t="shared" si="51"/>
        <v>2.4111748681388656E-2</v>
      </c>
      <c r="W264" s="12">
        <f t="shared" si="52"/>
        <v>5.3654414871144862E-2</v>
      </c>
      <c r="X264" s="12">
        <f t="shared" si="53"/>
        <v>-6.9403133055720989E-3</v>
      </c>
      <c r="Y264" s="12">
        <f t="shared" si="54"/>
        <v>1.1248096664865592E-2</v>
      </c>
    </row>
    <row r="265" spans="1:25" x14ac:dyDescent="0.35">
      <c r="A265" s="6">
        <v>44508</v>
      </c>
      <c r="B265" s="8">
        <v>4701.7</v>
      </c>
      <c r="C265" s="2">
        <v>150.44</v>
      </c>
      <c r="D265" s="2">
        <v>124.54</v>
      </c>
      <c r="E265" s="2">
        <v>336.99</v>
      </c>
      <c r="F265" s="2">
        <v>462.62</v>
      </c>
      <c r="G265" s="2">
        <v>162.87</v>
      </c>
      <c r="H265" s="2">
        <v>220.49</v>
      </c>
      <c r="I265" s="2">
        <v>180.05</v>
      </c>
      <c r="J265" s="2">
        <v>222.68</v>
      </c>
      <c r="K265" s="2">
        <v>49.76</v>
      </c>
      <c r="L265" s="2">
        <v>214.25</v>
      </c>
      <c r="M265" s="64" t="s">
        <v>77</v>
      </c>
      <c r="N265" s="1"/>
      <c r="O265" s="12">
        <f t="shared" si="44"/>
        <v>8.940926024481044E-4</v>
      </c>
      <c r="P265" s="12">
        <f t="shared" si="45"/>
        <v>-5.5526176626123913E-3</v>
      </c>
      <c r="Q265" s="12">
        <f t="shared" si="46"/>
        <v>7.5236631340507287E-3</v>
      </c>
      <c r="R265" s="12">
        <f t="shared" si="47"/>
        <v>2.7673629708979686E-3</v>
      </c>
      <c r="S265" s="12">
        <f t="shared" si="48"/>
        <v>1.4940435707860633E-2</v>
      </c>
      <c r="T265" s="12">
        <f t="shared" si="49"/>
        <v>-3.4265434742702938E-3</v>
      </c>
      <c r="U265" s="12">
        <f t="shared" si="50"/>
        <v>1.7630497992338734E-2</v>
      </c>
      <c r="V265" s="12">
        <f t="shared" si="51"/>
        <v>1.901635633029608E-2</v>
      </c>
      <c r="W265" s="12">
        <f t="shared" si="52"/>
        <v>-7.9301434554041039E-3</v>
      </c>
      <c r="X265" s="12">
        <f t="shared" si="53"/>
        <v>-6.389776357827448E-3</v>
      </c>
      <c r="Y265" s="12">
        <f t="shared" si="54"/>
        <v>4.0654750340003876E-2</v>
      </c>
    </row>
    <row r="266" spans="1:25" x14ac:dyDescent="0.35">
      <c r="A266" s="6">
        <v>44509</v>
      </c>
      <c r="B266" s="8">
        <v>4685.2</v>
      </c>
      <c r="C266" s="2">
        <v>150.81</v>
      </c>
      <c r="D266" s="2">
        <v>120.85</v>
      </c>
      <c r="E266" s="2">
        <v>335.95</v>
      </c>
      <c r="F266" s="2">
        <v>464.35</v>
      </c>
      <c r="G266" s="2">
        <v>162.51</v>
      </c>
      <c r="H266" s="2">
        <v>213.39</v>
      </c>
      <c r="I266" s="2">
        <v>179.86</v>
      </c>
      <c r="J266" s="2">
        <v>220.79</v>
      </c>
      <c r="K266" s="2">
        <v>49.93</v>
      </c>
      <c r="L266" s="2">
        <v>209.81</v>
      </c>
      <c r="M266" s="64" t="s">
        <v>77</v>
      </c>
      <c r="N266" s="1"/>
      <c r="O266" s="12">
        <f t="shared" si="44"/>
        <v>-3.5093689516557669E-3</v>
      </c>
      <c r="P266" s="12">
        <f t="shared" si="45"/>
        <v>2.4594522733316637E-3</v>
      </c>
      <c r="Q266" s="12">
        <f t="shared" si="46"/>
        <v>-2.9629034848241642E-2</v>
      </c>
      <c r="R266" s="12">
        <f t="shared" si="47"/>
        <v>-3.0861449894655779E-3</v>
      </c>
      <c r="S266" s="12">
        <f t="shared" si="48"/>
        <v>3.7395702736586767E-3</v>
      </c>
      <c r="T266" s="12">
        <f t="shared" si="49"/>
        <v>-2.2103518143304912E-3</v>
      </c>
      <c r="U266" s="12">
        <f t="shared" si="50"/>
        <v>-3.2201006848383229E-2</v>
      </c>
      <c r="V266" s="12">
        <f t="shared" si="51"/>
        <v>-1.0552624271035205E-3</v>
      </c>
      <c r="W266" s="12">
        <f t="shared" si="52"/>
        <v>-8.4875157176217408E-3</v>
      </c>
      <c r="X266" s="12">
        <f t="shared" si="53"/>
        <v>3.4163987138264851E-3</v>
      </c>
      <c r="Y266" s="12">
        <f t="shared" si="54"/>
        <v>-2.0723453908984779E-2</v>
      </c>
    </row>
    <row r="267" spans="1:25" x14ac:dyDescent="0.35">
      <c r="A267" s="6">
        <v>44510</v>
      </c>
      <c r="B267" s="8">
        <v>4646.7</v>
      </c>
      <c r="C267" s="2">
        <v>147.91999999999999</v>
      </c>
      <c r="D267" s="2">
        <v>120.22</v>
      </c>
      <c r="E267" s="2">
        <v>330.8</v>
      </c>
      <c r="F267" s="2">
        <v>459.9</v>
      </c>
      <c r="G267" s="2">
        <v>164.27</v>
      </c>
      <c r="H267" s="2">
        <v>215.56</v>
      </c>
      <c r="I267" s="2">
        <v>181.39</v>
      </c>
      <c r="J267" s="2">
        <v>218.5</v>
      </c>
      <c r="K267" s="2">
        <v>49.48</v>
      </c>
      <c r="L267" s="2">
        <v>206.67</v>
      </c>
      <c r="M267" s="64" t="s">
        <v>77</v>
      </c>
      <c r="N267" s="1"/>
      <c r="O267" s="12">
        <f t="shared" si="44"/>
        <v>-8.2173653205839248E-3</v>
      </c>
      <c r="P267" s="12">
        <f t="shared" si="45"/>
        <v>-1.9163185465154942E-2</v>
      </c>
      <c r="Q267" s="12">
        <f t="shared" si="46"/>
        <v>-5.2130740587504887E-3</v>
      </c>
      <c r="R267" s="12">
        <f t="shared" si="47"/>
        <v>-1.532966215210585E-2</v>
      </c>
      <c r="S267" s="12">
        <f t="shared" si="48"/>
        <v>-9.5832884677506947E-3</v>
      </c>
      <c r="T267" s="12">
        <f t="shared" si="49"/>
        <v>1.0830102762906968E-2</v>
      </c>
      <c r="U267" s="12">
        <f t="shared" si="50"/>
        <v>1.0169173813205923E-2</v>
      </c>
      <c r="V267" s="12">
        <f t="shared" si="51"/>
        <v>8.506616257088595E-3</v>
      </c>
      <c r="W267" s="12">
        <f t="shared" si="52"/>
        <v>-1.0371846551021302E-2</v>
      </c>
      <c r="X267" s="12">
        <f t="shared" si="53"/>
        <v>-9.0126176647307155E-3</v>
      </c>
      <c r="Y267" s="12">
        <f t="shared" si="54"/>
        <v>-1.4965921548067418E-2</v>
      </c>
    </row>
    <row r="268" spans="1:25" x14ac:dyDescent="0.35">
      <c r="A268" s="6">
        <v>44511</v>
      </c>
      <c r="B268" s="8">
        <v>4649.3</v>
      </c>
      <c r="C268" s="2">
        <v>147.87</v>
      </c>
      <c r="D268" s="2">
        <v>120.27</v>
      </c>
      <c r="E268" s="2">
        <v>332.43</v>
      </c>
      <c r="F268" s="2">
        <v>457.39</v>
      </c>
      <c r="G268" s="2">
        <v>163.06</v>
      </c>
      <c r="H268" s="2">
        <v>210.42</v>
      </c>
      <c r="I268" s="2">
        <v>181.3</v>
      </c>
      <c r="J268" s="2">
        <v>219.38</v>
      </c>
      <c r="K268" s="2">
        <v>49.5</v>
      </c>
      <c r="L268" s="2">
        <v>208.53</v>
      </c>
      <c r="M268" s="64">
        <v>4.05</v>
      </c>
      <c r="N268" s="1"/>
      <c r="O268" s="12">
        <f t="shared" si="44"/>
        <v>5.5953687563214949E-4</v>
      </c>
      <c r="P268" s="12">
        <f t="shared" si="45"/>
        <v>-3.3802055164944278E-4</v>
      </c>
      <c r="Q268" s="12">
        <f t="shared" si="46"/>
        <v>4.1590417567793914E-4</v>
      </c>
      <c r="R268" s="12">
        <f t="shared" si="47"/>
        <v>4.9274486094317282E-3</v>
      </c>
      <c r="S268" s="12">
        <f t="shared" si="48"/>
        <v>-5.4577081974341857E-3</v>
      </c>
      <c r="T268" s="12">
        <f t="shared" si="49"/>
        <v>-7.3659219577525414E-3</v>
      </c>
      <c r="U268" s="12">
        <f t="shared" si="50"/>
        <v>-2.3844869177955141E-2</v>
      </c>
      <c r="V268" s="12">
        <f t="shared" si="51"/>
        <v>-4.961684767625929E-4</v>
      </c>
      <c r="W268" s="12">
        <f t="shared" si="52"/>
        <v>4.02745995423337E-3</v>
      </c>
      <c r="X268" s="12">
        <f t="shared" si="53"/>
        <v>4.0420371867422311E-4</v>
      </c>
      <c r="Y268" s="12">
        <f t="shared" si="54"/>
        <v>8.9998548410510359E-3</v>
      </c>
    </row>
    <row r="269" spans="1:25" x14ac:dyDescent="0.35">
      <c r="A269" s="6">
        <v>44512</v>
      </c>
      <c r="B269" s="8">
        <v>4682.8999999999996</v>
      </c>
      <c r="C269" s="2">
        <v>149.99</v>
      </c>
      <c r="D269" s="2">
        <v>118.96</v>
      </c>
      <c r="E269" s="2">
        <v>336.72</v>
      </c>
      <c r="F269" s="2">
        <v>458.99</v>
      </c>
      <c r="G269" s="2">
        <v>165.01</v>
      </c>
      <c r="H269" s="2">
        <v>212.09</v>
      </c>
      <c r="I269" s="2">
        <v>181.89</v>
      </c>
      <c r="J269" s="2">
        <v>220.96</v>
      </c>
      <c r="K269" s="2">
        <v>49.25</v>
      </c>
      <c r="L269" s="2">
        <v>209.27</v>
      </c>
      <c r="M269" s="64" t="s">
        <v>77</v>
      </c>
      <c r="N269" s="1"/>
      <c r="O269" s="12">
        <f t="shared" si="44"/>
        <v>7.2268943711955025E-3</v>
      </c>
      <c r="P269" s="12">
        <f t="shared" si="45"/>
        <v>1.433691756272415E-2</v>
      </c>
      <c r="Q269" s="12">
        <f t="shared" si="46"/>
        <v>-1.0892159308223182E-2</v>
      </c>
      <c r="R269" s="12">
        <f t="shared" si="47"/>
        <v>1.2904972475408449E-2</v>
      </c>
      <c r="S269" s="12">
        <f t="shared" si="48"/>
        <v>3.4981088349110845E-3</v>
      </c>
      <c r="T269" s="12">
        <f t="shared" si="49"/>
        <v>1.1958788176131385E-2</v>
      </c>
      <c r="U269" s="12">
        <f t="shared" si="50"/>
        <v>7.9365079365079083E-3</v>
      </c>
      <c r="V269" s="12">
        <f t="shared" si="51"/>
        <v>3.2542746828458924E-3</v>
      </c>
      <c r="W269" s="12">
        <f t="shared" si="52"/>
        <v>7.2021150515089172E-3</v>
      </c>
      <c r="X269" s="12">
        <f t="shared" si="53"/>
        <v>-5.050505050505083E-3</v>
      </c>
      <c r="Y269" s="12">
        <f t="shared" si="54"/>
        <v>3.5486500743298066E-3</v>
      </c>
    </row>
    <row r="270" spans="1:25" x14ac:dyDescent="0.35">
      <c r="A270" s="6">
        <v>44515</v>
      </c>
      <c r="B270" s="8">
        <v>4682.8</v>
      </c>
      <c r="C270" s="2">
        <v>150</v>
      </c>
      <c r="D270" s="2">
        <v>118.87</v>
      </c>
      <c r="E270" s="2">
        <v>336.07</v>
      </c>
      <c r="F270" s="2">
        <v>450.8</v>
      </c>
      <c r="G270" s="2">
        <v>163.52000000000001</v>
      </c>
      <c r="H270" s="2">
        <v>212.3</v>
      </c>
      <c r="I270" s="2">
        <v>183.13</v>
      </c>
      <c r="J270" s="2">
        <v>233.09</v>
      </c>
      <c r="K270" s="2">
        <v>48.97</v>
      </c>
      <c r="L270" s="2">
        <v>207.71</v>
      </c>
      <c r="M270" s="64" t="s">
        <v>77</v>
      </c>
      <c r="N270" s="1"/>
      <c r="O270" s="12">
        <f t="shared" si="44"/>
        <v>-2.1354289008845839E-5</v>
      </c>
      <c r="P270" s="12">
        <f t="shared" si="45"/>
        <v>6.6671111407456962E-5</v>
      </c>
      <c r="Q270" s="12">
        <f t="shared" si="46"/>
        <v>-7.5655682582376205E-4</v>
      </c>
      <c r="R270" s="12">
        <f t="shared" si="47"/>
        <v>-1.9303872653837484E-3</v>
      </c>
      <c r="S270" s="12">
        <f t="shared" si="48"/>
        <v>-1.7843526002745191E-2</v>
      </c>
      <c r="T270" s="12">
        <f t="shared" si="49"/>
        <v>-9.0297557723773014E-3</v>
      </c>
      <c r="U270" s="12">
        <f t="shared" si="50"/>
        <v>9.9014569286626219E-4</v>
      </c>
      <c r="V270" s="12">
        <f t="shared" si="51"/>
        <v>6.8173071636703497E-3</v>
      </c>
      <c r="W270" s="12">
        <f t="shared" si="52"/>
        <v>5.4896813902968855E-2</v>
      </c>
      <c r="X270" s="12">
        <f t="shared" si="53"/>
        <v>-5.6852791878172493E-3</v>
      </c>
      <c r="Y270" s="12">
        <f t="shared" si="54"/>
        <v>-7.4544846370717677E-3</v>
      </c>
    </row>
    <row r="271" spans="1:25" x14ac:dyDescent="0.35">
      <c r="A271" s="6">
        <v>44516</v>
      </c>
      <c r="B271" s="8">
        <v>4700.8999999999996</v>
      </c>
      <c r="C271" s="2">
        <v>151</v>
      </c>
      <c r="D271" s="2">
        <v>118.46</v>
      </c>
      <c r="E271" s="2">
        <v>339.51</v>
      </c>
      <c r="F271" s="2">
        <v>449.62</v>
      </c>
      <c r="G271" s="2">
        <v>162.66999999999999</v>
      </c>
      <c r="H271" s="2">
        <v>215.18</v>
      </c>
      <c r="I271" s="2">
        <v>180.92</v>
      </c>
      <c r="J271" s="2">
        <v>225.8</v>
      </c>
      <c r="K271" s="2">
        <v>47.72</v>
      </c>
      <c r="L271" s="2">
        <v>205.43</v>
      </c>
      <c r="M271" s="64" t="s">
        <v>77</v>
      </c>
      <c r="N271" s="1"/>
      <c r="O271" s="12">
        <f t="shared" si="44"/>
        <v>3.8652088494062209E-3</v>
      </c>
      <c r="P271" s="12">
        <f t="shared" si="45"/>
        <v>6.6666666666665986E-3</v>
      </c>
      <c r="Q271" s="12">
        <f t="shared" si="46"/>
        <v>-3.4491461260200973E-3</v>
      </c>
      <c r="R271" s="12">
        <f t="shared" si="47"/>
        <v>1.0235962745856586E-2</v>
      </c>
      <c r="S271" s="12">
        <f t="shared" si="48"/>
        <v>-2.6175687666371017E-3</v>
      </c>
      <c r="T271" s="12">
        <f t="shared" si="49"/>
        <v>-5.19814090019588E-3</v>
      </c>
      <c r="U271" s="12">
        <f t="shared" si="50"/>
        <v>1.3565708902496532E-2</v>
      </c>
      <c r="V271" s="12">
        <f t="shared" si="51"/>
        <v>-1.2067929885873463E-2</v>
      </c>
      <c r="W271" s="12">
        <f t="shared" si="52"/>
        <v>-3.1275472993264386E-2</v>
      </c>
      <c r="X271" s="12">
        <f t="shared" si="53"/>
        <v>-2.552583214212778E-2</v>
      </c>
      <c r="Y271" s="12">
        <f t="shared" si="54"/>
        <v>-1.0976842713398494E-2</v>
      </c>
    </row>
    <row r="272" spans="1:25" x14ac:dyDescent="0.35">
      <c r="A272" s="6">
        <v>44517</v>
      </c>
      <c r="B272" s="8">
        <v>4688.7</v>
      </c>
      <c r="C272" s="2">
        <v>153.49</v>
      </c>
      <c r="D272" s="2">
        <v>118.06</v>
      </c>
      <c r="E272" s="2">
        <v>339.12</v>
      </c>
      <c r="F272" s="2">
        <v>448.95</v>
      </c>
      <c r="G272" s="2">
        <v>163.28</v>
      </c>
      <c r="H272" s="2">
        <v>205.06</v>
      </c>
      <c r="I272" s="2">
        <v>179.61</v>
      </c>
      <c r="J272" s="2">
        <v>226.62</v>
      </c>
      <c r="K272" s="2">
        <v>47.31</v>
      </c>
      <c r="L272" s="2">
        <v>202.98</v>
      </c>
      <c r="M272" s="64" t="s">
        <v>77</v>
      </c>
      <c r="N272" s="1"/>
      <c r="O272" s="12">
        <f t="shared" si="44"/>
        <v>-2.5952477185219314E-3</v>
      </c>
      <c r="P272" s="12">
        <f t="shared" si="45"/>
        <v>1.6490066225165689E-2</v>
      </c>
      <c r="Q272" s="12">
        <f t="shared" si="46"/>
        <v>-3.3766672294445188E-3</v>
      </c>
      <c r="R272" s="12">
        <f t="shared" si="47"/>
        <v>-1.1487143235839881E-3</v>
      </c>
      <c r="S272" s="12">
        <f t="shared" si="48"/>
        <v>-1.4901472354432732E-3</v>
      </c>
      <c r="T272" s="12">
        <f t="shared" si="49"/>
        <v>3.7499231573123737E-3</v>
      </c>
      <c r="U272" s="12">
        <f t="shared" si="50"/>
        <v>-4.7030393159215533E-2</v>
      </c>
      <c r="V272" s="12">
        <f t="shared" si="51"/>
        <v>-7.2407694008399526E-3</v>
      </c>
      <c r="W272" s="12">
        <f t="shared" si="52"/>
        <v>3.6315323294950907E-3</v>
      </c>
      <c r="X272" s="12">
        <f t="shared" si="53"/>
        <v>-8.5917854149203388E-3</v>
      </c>
      <c r="Y272" s="12">
        <f t="shared" si="54"/>
        <v>-1.1926203572993344E-2</v>
      </c>
    </row>
    <row r="273" spans="1:25" x14ac:dyDescent="0.35">
      <c r="A273" s="6">
        <v>44518</v>
      </c>
      <c r="B273" s="8">
        <v>4704.5</v>
      </c>
      <c r="C273" s="2">
        <v>157.87</v>
      </c>
      <c r="D273" s="2">
        <v>116.66</v>
      </c>
      <c r="E273" s="2">
        <v>341.27</v>
      </c>
      <c r="F273" s="2">
        <v>449.47</v>
      </c>
      <c r="G273" s="2">
        <v>162.4</v>
      </c>
      <c r="H273" s="2">
        <v>203.33</v>
      </c>
      <c r="I273" s="2">
        <v>176.21</v>
      </c>
      <c r="J273" s="2">
        <v>227.25</v>
      </c>
      <c r="K273" s="2">
        <v>47.72</v>
      </c>
      <c r="L273" s="2">
        <v>201.42</v>
      </c>
      <c r="M273" s="64">
        <v>4.03</v>
      </c>
      <c r="N273" s="1"/>
      <c r="O273" s="12">
        <f t="shared" si="44"/>
        <v>3.3698039968435012E-3</v>
      </c>
      <c r="P273" s="12">
        <f t="shared" si="45"/>
        <v>2.8536060981171341E-2</v>
      </c>
      <c r="Q273" s="12">
        <f t="shared" si="46"/>
        <v>-1.1858377096391703E-2</v>
      </c>
      <c r="R273" s="12">
        <f t="shared" si="47"/>
        <v>6.3399386647793321E-3</v>
      </c>
      <c r="S273" s="12">
        <f t="shared" si="48"/>
        <v>1.1582581579241413E-3</v>
      </c>
      <c r="T273" s="12">
        <f t="shared" si="49"/>
        <v>-5.3895149436550271E-3</v>
      </c>
      <c r="U273" s="12">
        <f t="shared" si="50"/>
        <v>-8.436555154588854E-3</v>
      </c>
      <c r="V273" s="12">
        <f t="shared" si="51"/>
        <v>-1.8929903680195981E-2</v>
      </c>
      <c r="W273" s="12">
        <f t="shared" si="52"/>
        <v>2.7799841143765214E-3</v>
      </c>
      <c r="X273" s="12">
        <f t="shared" si="53"/>
        <v>8.6662439230607013E-3</v>
      </c>
      <c r="Y273" s="12">
        <f t="shared" si="54"/>
        <v>-7.6854862548034752E-3</v>
      </c>
    </row>
    <row r="274" spans="1:25" x14ac:dyDescent="0.35">
      <c r="A274" s="6">
        <v>44519</v>
      </c>
      <c r="B274" s="8">
        <v>4698</v>
      </c>
      <c r="C274" s="2">
        <v>160.55000000000001</v>
      </c>
      <c r="D274" s="2">
        <v>116.05</v>
      </c>
      <c r="E274" s="2">
        <v>343.11</v>
      </c>
      <c r="F274" s="2">
        <v>440</v>
      </c>
      <c r="G274" s="2">
        <v>162.88999999999999</v>
      </c>
      <c r="H274" s="2">
        <v>200.86</v>
      </c>
      <c r="I274" s="2">
        <v>173.54</v>
      </c>
      <c r="J274" s="2">
        <v>214.13</v>
      </c>
      <c r="K274" s="2">
        <v>47.46</v>
      </c>
      <c r="L274" s="2">
        <v>200.44</v>
      </c>
      <c r="M274" s="64" t="s">
        <v>77</v>
      </c>
      <c r="N274" s="1"/>
      <c r="O274" s="12">
        <f t="shared" si="44"/>
        <v>-1.3816558614092589E-3</v>
      </c>
      <c r="P274" s="12">
        <f t="shared" si="45"/>
        <v>1.6975992905555293E-2</v>
      </c>
      <c r="Q274" s="12">
        <f t="shared" si="46"/>
        <v>-5.2288702211554794E-3</v>
      </c>
      <c r="R274" s="12">
        <f t="shared" si="47"/>
        <v>5.3916253992440932E-3</v>
      </c>
      <c r="S274" s="12">
        <f t="shared" si="48"/>
        <v>-2.1069259349901004E-2</v>
      </c>
      <c r="T274" s="12">
        <f t="shared" si="49"/>
        <v>3.0172413793101427E-3</v>
      </c>
      <c r="U274" s="12">
        <f t="shared" si="50"/>
        <v>-1.2147740126887352E-2</v>
      </c>
      <c r="V274" s="12">
        <f t="shared" si="51"/>
        <v>-1.5152375007093877E-2</v>
      </c>
      <c r="W274" s="12">
        <f t="shared" si="52"/>
        <v>-5.773377337733776E-2</v>
      </c>
      <c r="X274" s="12">
        <f t="shared" si="53"/>
        <v>-5.4484492875104262E-3</v>
      </c>
      <c r="Y274" s="12">
        <f t="shared" si="54"/>
        <v>-4.8654552675999607E-3</v>
      </c>
    </row>
    <row r="275" spans="1:25" x14ac:dyDescent="0.35">
      <c r="A275" s="6">
        <v>44522</v>
      </c>
      <c r="B275" s="8">
        <v>4682.8999999999996</v>
      </c>
      <c r="C275" s="2">
        <v>161.02000000000001</v>
      </c>
      <c r="D275" s="2">
        <v>116.47</v>
      </c>
      <c r="E275" s="2">
        <v>339.83</v>
      </c>
      <c r="F275" s="2">
        <v>437.54</v>
      </c>
      <c r="G275" s="2">
        <v>159.69999999999999</v>
      </c>
      <c r="H275" s="2">
        <v>195.58</v>
      </c>
      <c r="I275" s="2">
        <v>170.9</v>
      </c>
      <c r="J275" s="2">
        <v>209.9</v>
      </c>
      <c r="K275" s="2">
        <v>48.26</v>
      </c>
      <c r="L275" s="2">
        <v>202.38</v>
      </c>
      <c r="M275" s="64" t="s">
        <v>77</v>
      </c>
      <c r="N275" s="1"/>
      <c r="O275" s="12">
        <f t="shared" si="44"/>
        <v>-3.214133673903885E-3</v>
      </c>
      <c r="P275" s="12">
        <f t="shared" si="45"/>
        <v>2.9274369355341001E-3</v>
      </c>
      <c r="Q275" s="12">
        <f t="shared" si="46"/>
        <v>3.6191296854803934E-3</v>
      </c>
      <c r="R275" s="12">
        <f t="shared" si="47"/>
        <v>-9.5596164495351799E-3</v>
      </c>
      <c r="S275" s="12">
        <f t="shared" si="48"/>
        <v>-5.5909090909090908E-3</v>
      </c>
      <c r="T275" s="12">
        <f t="shared" si="49"/>
        <v>-1.9583768187120154E-2</v>
      </c>
      <c r="U275" s="12">
        <f t="shared" si="50"/>
        <v>-2.6286966046002225E-2</v>
      </c>
      <c r="V275" s="12">
        <f t="shared" si="51"/>
        <v>-1.5212631093695861E-2</v>
      </c>
      <c r="W275" s="12">
        <f t="shared" si="52"/>
        <v>-1.9754354831177268E-2</v>
      </c>
      <c r="X275" s="12">
        <f t="shared" si="53"/>
        <v>1.6856300042140671E-2</v>
      </c>
      <c r="Y275" s="12">
        <f t="shared" si="54"/>
        <v>9.6787068449410985E-3</v>
      </c>
    </row>
    <row r="276" spans="1:25" x14ac:dyDescent="0.35">
      <c r="A276" s="6">
        <v>44523</v>
      </c>
      <c r="B276" s="8">
        <v>4690.7</v>
      </c>
      <c r="C276" s="2">
        <v>161.41</v>
      </c>
      <c r="D276" s="2">
        <v>116.79</v>
      </c>
      <c r="E276" s="2">
        <v>337.68</v>
      </c>
      <c r="F276" s="2">
        <v>447.13</v>
      </c>
      <c r="G276" s="2">
        <v>160.69</v>
      </c>
      <c r="H276" s="2">
        <v>198.49</v>
      </c>
      <c r="I276" s="2">
        <v>170.85</v>
      </c>
      <c r="J276" s="2">
        <v>209.13</v>
      </c>
      <c r="K276" s="2">
        <v>48.6</v>
      </c>
      <c r="L276" s="2">
        <v>205.33</v>
      </c>
      <c r="M276" s="64" t="s">
        <v>77</v>
      </c>
      <c r="N276" s="1"/>
      <c r="O276" s="12">
        <f t="shared" si="44"/>
        <v>1.6656345426979691E-3</v>
      </c>
      <c r="P276" s="12">
        <f t="shared" si="45"/>
        <v>2.4220593715065242E-3</v>
      </c>
      <c r="Q276" s="12">
        <f t="shared" si="46"/>
        <v>2.7474886236800167E-3</v>
      </c>
      <c r="R276" s="12">
        <f t="shared" si="47"/>
        <v>-6.3266927581436816E-3</v>
      </c>
      <c r="S276" s="12">
        <f t="shared" si="48"/>
        <v>2.1917996068930856E-2</v>
      </c>
      <c r="T276" s="12">
        <f t="shared" si="49"/>
        <v>6.1991233562930237E-3</v>
      </c>
      <c r="U276" s="12">
        <f t="shared" si="50"/>
        <v>1.4878821965436106E-2</v>
      </c>
      <c r="V276" s="12">
        <f t="shared" si="51"/>
        <v>-2.9256875365712975E-4</v>
      </c>
      <c r="W276" s="12">
        <f t="shared" si="52"/>
        <v>-3.6684135302526011E-3</v>
      </c>
      <c r="X276" s="12">
        <f t="shared" si="53"/>
        <v>7.0451719850808114E-3</v>
      </c>
      <c r="Y276" s="12">
        <f t="shared" si="54"/>
        <v>1.4576539183713821E-2</v>
      </c>
    </row>
    <row r="277" spans="1:25" x14ac:dyDescent="0.35">
      <c r="A277" s="6">
        <v>44524</v>
      </c>
      <c r="B277" s="8">
        <v>4701.5</v>
      </c>
      <c r="C277" s="2">
        <v>161.94</v>
      </c>
      <c r="D277" s="2">
        <v>116.73</v>
      </c>
      <c r="E277" s="2">
        <v>337.91</v>
      </c>
      <c r="F277" s="2">
        <v>450.16</v>
      </c>
      <c r="G277" s="2">
        <v>160.24</v>
      </c>
      <c r="H277" s="2">
        <v>203.25</v>
      </c>
      <c r="I277" s="2">
        <v>171.61</v>
      </c>
      <c r="J277" s="2">
        <v>210.6</v>
      </c>
      <c r="K277" s="2">
        <v>48.85</v>
      </c>
      <c r="L277" s="2">
        <v>207.07</v>
      </c>
      <c r="M277" s="64" t="s">
        <v>77</v>
      </c>
      <c r="N277" s="1"/>
      <c r="O277" s="12">
        <f t="shared" si="44"/>
        <v>2.3024282090093884E-3</v>
      </c>
      <c r="P277" s="12">
        <f t="shared" si="45"/>
        <v>3.2835635958119447E-3</v>
      </c>
      <c r="Q277" s="12">
        <f t="shared" si="46"/>
        <v>-5.1374261494996354E-4</v>
      </c>
      <c r="R277" s="12">
        <f t="shared" si="47"/>
        <v>6.8111821843164222E-4</v>
      </c>
      <c r="S277" s="12">
        <f t="shared" si="48"/>
        <v>6.7765526804286491E-3</v>
      </c>
      <c r="T277" s="12">
        <f t="shared" si="49"/>
        <v>-2.8004231750574649E-3</v>
      </c>
      <c r="U277" s="12">
        <f t="shared" si="50"/>
        <v>2.3981056980200366E-2</v>
      </c>
      <c r="V277" s="12">
        <f t="shared" si="51"/>
        <v>4.4483465027802538E-3</v>
      </c>
      <c r="W277" s="12">
        <f t="shared" si="52"/>
        <v>7.0291206426624786E-3</v>
      </c>
      <c r="X277" s="12">
        <f t="shared" si="53"/>
        <v>5.1440329218106484E-3</v>
      </c>
      <c r="Y277" s="12">
        <f t="shared" si="54"/>
        <v>8.4741635416158978E-3</v>
      </c>
    </row>
    <row r="278" spans="1:25" x14ac:dyDescent="0.35">
      <c r="A278" s="6">
        <v>44526</v>
      </c>
      <c r="B278" s="8">
        <v>4594.6000000000004</v>
      </c>
      <c r="C278" s="2">
        <v>156.81</v>
      </c>
      <c r="D278" s="2">
        <v>115.81</v>
      </c>
      <c r="E278" s="2">
        <v>329.68</v>
      </c>
      <c r="F278" s="2">
        <v>439.91</v>
      </c>
      <c r="G278" s="2">
        <v>159.19999999999999</v>
      </c>
      <c r="H278" s="2">
        <v>197.65</v>
      </c>
      <c r="I278" s="2">
        <v>156.82</v>
      </c>
      <c r="J278" s="2">
        <v>199.21</v>
      </c>
      <c r="K278" s="2">
        <v>48.3</v>
      </c>
      <c r="L278" s="2">
        <v>198.73</v>
      </c>
      <c r="M278" s="64">
        <v>4.08</v>
      </c>
      <c r="N278" s="1"/>
      <c r="O278" s="12">
        <f t="shared" si="44"/>
        <v>-2.2737424226310643E-2</v>
      </c>
      <c r="P278" s="12">
        <f t="shared" si="45"/>
        <v>-3.1678399407187863E-2</v>
      </c>
      <c r="Q278" s="12">
        <f t="shared" si="46"/>
        <v>-7.8814357919986255E-3</v>
      </c>
      <c r="R278" s="12">
        <f t="shared" si="47"/>
        <v>-2.4355597644343252E-2</v>
      </c>
      <c r="S278" s="12">
        <f t="shared" si="48"/>
        <v>-2.2769681890883242E-2</v>
      </c>
      <c r="T278" s="12">
        <f t="shared" si="49"/>
        <v>-6.4902646030954303E-3</v>
      </c>
      <c r="U278" s="12">
        <f t="shared" si="50"/>
        <v>-2.7552275522755187E-2</v>
      </c>
      <c r="V278" s="12">
        <f t="shared" si="51"/>
        <v>-8.61837888234952E-2</v>
      </c>
      <c r="W278" s="12">
        <f t="shared" si="52"/>
        <v>-5.4083570750237397E-2</v>
      </c>
      <c r="X278" s="12">
        <f t="shared" si="53"/>
        <v>-1.1258955987717645E-2</v>
      </c>
      <c r="Y278" s="12">
        <f t="shared" si="54"/>
        <v>-4.0276235089583223E-2</v>
      </c>
    </row>
    <row r="279" spans="1:25" x14ac:dyDescent="0.35">
      <c r="A279" s="6">
        <v>44529</v>
      </c>
      <c r="B279" s="8">
        <v>4655.3</v>
      </c>
      <c r="C279" s="2">
        <v>160.24</v>
      </c>
      <c r="D279" s="2">
        <v>118.5</v>
      </c>
      <c r="E279" s="2">
        <v>336.63</v>
      </c>
      <c r="F279" s="2">
        <v>452</v>
      </c>
      <c r="G279" s="2">
        <v>159.75</v>
      </c>
      <c r="H279" s="2">
        <v>196.29</v>
      </c>
      <c r="I279" s="2">
        <v>157.86000000000001</v>
      </c>
      <c r="J279" s="2">
        <v>198.5</v>
      </c>
      <c r="K279" s="2">
        <v>47.54</v>
      </c>
      <c r="L279" s="2">
        <v>195.92</v>
      </c>
      <c r="M279" s="64" t="s">
        <v>77</v>
      </c>
      <c r="N279" s="1"/>
      <c r="O279" s="12">
        <f t="shared" si="44"/>
        <v>1.3211160928045862E-2</v>
      </c>
      <c r="P279" s="12">
        <f t="shared" si="45"/>
        <v>2.1873604999681273E-2</v>
      </c>
      <c r="Q279" s="12">
        <f t="shared" si="46"/>
        <v>2.3227700543994478E-2</v>
      </c>
      <c r="R279" s="12">
        <f t="shared" si="47"/>
        <v>2.1081048289250059E-2</v>
      </c>
      <c r="S279" s="12">
        <f t="shared" si="48"/>
        <v>2.7482894228364918E-2</v>
      </c>
      <c r="T279" s="12">
        <f t="shared" si="49"/>
        <v>3.4547738693468943E-3</v>
      </c>
      <c r="U279" s="12">
        <f t="shared" si="50"/>
        <v>-6.8808499873515006E-3</v>
      </c>
      <c r="V279" s="12">
        <f t="shared" si="51"/>
        <v>6.631807167453152E-3</v>
      </c>
      <c r="W279" s="12">
        <f t="shared" si="52"/>
        <v>-3.5640781085287676E-3</v>
      </c>
      <c r="X279" s="12">
        <f t="shared" si="53"/>
        <v>-1.5734989648033104E-2</v>
      </c>
      <c r="Y279" s="12">
        <f t="shared" si="54"/>
        <v>-1.4139787651587632E-2</v>
      </c>
    </row>
    <row r="280" spans="1:25" x14ac:dyDescent="0.35">
      <c r="A280" s="6">
        <v>44530</v>
      </c>
      <c r="B280" s="8">
        <v>4567</v>
      </c>
      <c r="C280" s="2">
        <v>165.3</v>
      </c>
      <c r="D280" s="2">
        <v>117.1</v>
      </c>
      <c r="E280" s="2">
        <v>330.59</v>
      </c>
      <c r="F280" s="2">
        <v>444.22</v>
      </c>
      <c r="G280" s="2">
        <v>155.93</v>
      </c>
      <c r="H280" s="2">
        <v>193.77</v>
      </c>
      <c r="I280" s="2">
        <v>152.30000000000001</v>
      </c>
      <c r="J280" s="2">
        <v>197.85</v>
      </c>
      <c r="K280" s="2">
        <v>46.88</v>
      </c>
      <c r="L280" s="2">
        <v>193.35</v>
      </c>
      <c r="M280" s="64" t="s">
        <v>77</v>
      </c>
      <c r="N280" s="1"/>
      <c r="O280" s="12">
        <f t="shared" si="44"/>
        <v>-1.8967628294631944E-2</v>
      </c>
      <c r="P280" s="12">
        <f t="shared" si="45"/>
        <v>3.1577633549675577E-2</v>
      </c>
      <c r="Q280" s="12">
        <f t="shared" si="46"/>
        <v>-1.1814345991561281E-2</v>
      </c>
      <c r="R280" s="12">
        <f t="shared" si="47"/>
        <v>-1.7942548198318642E-2</v>
      </c>
      <c r="S280" s="12">
        <f t="shared" si="48"/>
        <v>-1.7212389380530935E-2</v>
      </c>
      <c r="T280" s="12">
        <f t="shared" si="49"/>
        <v>-2.3912363067292608E-2</v>
      </c>
      <c r="U280" s="12">
        <f t="shared" si="50"/>
        <v>-1.2838147638697728E-2</v>
      </c>
      <c r="V280" s="12">
        <f t="shared" si="51"/>
        <v>-3.5221081971367085E-2</v>
      </c>
      <c r="W280" s="12">
        <f t="shared" si="52"/>
        <v>-3.2745591939546959E-3</v>
      </c>
      <c r="X280" s="12">
        <f t="shared" si="53"/>
        <v>-1.3883045856121101E-2</v>
      </c>
      <c r="Y280" s="12">
        <f t="shared" si="54"/>
        <v>-1.3117599020008086E-2</v>
      </c>
    </row>
    <row r="281" spans="1:25" x14ac:dyDescent="0.35">
      <c r="A281" s="6">
        <v>44531</v>
      </c>
      <c r="B281" s="8">
        <v>4513</v>
      </c>
      <c r="C281" s="2">
        <v>164.77</v>
      </c>
      <c r="D281" s="2">
        <v>116.92</v>
      </c>
      <c r="E281" s="2">
        <v>330.08</v>
      </c>
      <c r="F281" s="2">
        <v>444.34</v>
      </c>
      <c r="G281" s="2">
        <v>158.08000000000001</v>
      </c>
      <c r="H281" s="2">
        <v>190.16</v>
      </c>
      <c r="I281" s="2">
        <v>150.06</v>
      </c>
      <c r="J281" s="2">
        <v>188.19</v>
      </c>
      <c r="K281" s="2">
        <v>45.71</v>
      </c>
      <c r="L281" s="2">
        <v>191.47</v>
      </c>
      <c r="M281" s="64">
        <v>4.07</v>
      </c>
      <c r="N281" s="1"/>
      <c r="O281" s="12">
        <f t="shared" si="44"/>
        <v>-1.1823954455879138E-2</v>
      </c>
      <c r="P281" s="12">
        <f t="shared" si="45"/>
        <v>-3.2062915910465728E-3</v>
      </c>
      <c r="Q281" s="12">
        <f t="shared" si="46"/>
        <v>-1.5371477369768849E-3</v>
      </c>
      <c r="R281" s="12">
        <f t="shared" si="47"/>
        <v>-1.5426963913003355E-3</v>
      </c>
      <c r="S281" s="12">
        <f t="shared" si="48"/>
        <v>2.7013641889150897E-4</v>
      </c>
      <c r="T281" s="12">
        <f t="shared" si="49"/>
        <v>1.3788238312063106E-2</v>
      </c>
      <c r="U281" s="12">
        <f t="shared" si="50"/>
        <v>-1.8630334933168236E-2</v>
      </c>
      <c r="V281" s="12">
        <f t="shared" si="51"/>
        <v>-1.4707813525935753E-2</v>
      </c>
      <c r="W281" s="12">
        <f t="shared" si="52"/>
        <v>-4.8824867323730037E-2</v>
      </c>
      <c r="X281" s="12">
        <f t="shared" si="53"/>
        <v>-2.4957337883959041E-2</v>
      </c>
      <c r="Y281" s="12">
        <f t="shared" si="54"/>
        <v>-9.7232997155417555E-3</v>
      </c>
    </row>
    <row r="282" spans="1:25" x14ac:dyDescent="0.35">
      <c r="A282" s="6">
        <v>44532</v>
      </c>
      <c r="B282" s="8">
        <v>4577.1000000000004</v>
      </c>
      <c r="C282" s="2">
        <v>163.76</v>
      </c>
      <c r="D282" s="2">
        <v>116.9</v>
      </c>
      <c r="E282" s="2">
        <v>329.49</v>
      </c>
      <c r="F282" s="2">
        <v>446.02</v>
      </c>
      <c r="G282" s="2">
        <v>157.09</v>
      </c>
      <c r="H282" s="2">
        <v>198.29</v>
      </c>
      <c r="I282" s="2">
        <v>156.77000000000001</v>
      </c>
      <c r="J282" s="2">
        <v>202.38</v>
      </c>
      <c r="K282" s="2">
        <v>45.16</v>
      </c>
      <c r="L282" s="2">
        <v>196.79</v>
      </c>
      <c r="M282" s="64" t="s">
        <v>77</v>
      </c>
      <c r="N282" s="1"/>
      <c r="O282" s="12">
        <f t="shared" si="44"/>
        <v>1.4203412364281132E-2</v>
      </c>
      <c r="P282" s="12">
        <f t="shared" si="45"/>
        <v>-6.1297566304546747E-3</v>
      </c>
      <c r="Q282" s="12">
        <f t="shared" si="46"/>
        <v>-1.7105713308240844E-4</v>
      </c>
      <c r="R282" s="12">
        <f t="shared" si="47"/>
        <v>-1.7874454677653251E-3</v>
      </c>
      <c r="S282" s="12">
        <f t="shared" si="48"/>
        <v>3.7808885087995403E-3</v>
      </c>
      <c r="T282" s="12">
        <f t="shared" si="49"/>
        <v>-6.2626518218623639E-3</v>
      </c>
      <c r="U282" s="12">
        <f t="shared" si="50"/>
        <v>4.2753470761464074E-2</v>
      </c>
      <c r="V282" s="12">
        <f t="shared" si="51"/>
        <v>4.471544715447151E-2</v>
      </c>
      <c r="W282" s="12">
        <f t="shared" si="52"/>
        <v>7.5402518731069623E-2</v>
      </c>
      <c r="X282" s="12">
        <f t="shared" si="53"/>
        <v>-1.2032378035440883E-2</v>
      </c>
      <c r="Y282" s="12">
        <f t="shared" si="54"/>
        <v>2.7785031597639342E-2</v>
      </c>
    </row>
    <row r="283" spans="1:25" x14ac:dyDescent="0.35">
      <c r="A283" s="6">
        <v>44533</v>
      </c>
      <c r="B283" s="8">
        <v>4538.3999999999996</v>
      </c>
      <c r="C283" s="2">
        <v>161.84</v>
      </c>
      <c r="D283" s="2">
        <v>118.84</v>
      </c>
      <c r="E283" s="2">
        <v>323.01</v>
      </c>
      <c r="F283" s="2">
        <v>449.32</v>
      </c>
      <c r="G283" s="2">
        <v>159.38</v>
      </c>
      <c r="H283" s="2">
        <v>196.32</v>
      </c>
      <c r="I283" s="2">
        <v>155.94</v>
      </c>
      <c r="J283" s="2">
        <v>198.49</v>
      </c>
      <c r="K283" s="2">
        <v>45.84</v>
      </c>
      <c r="L283" s="2">
        <v>197.8</v>
      </c>
      <c r="M283" s="64" t="s">
        <v>77</v>
      </c>
      <c r="N283" s="1"/>
      <c r="O283" s="12">
        <f t="shared" si="44"/>
        <v>-8.4551353477093638E-3</v>
      </c>
      <c r="P283" s="12">
        <f t="shared" si="45"/>
        <v>-1.1724474841230959E-2</v>
      </c>
      <c r="Q283" s="12">
        <f t="shared" si="46"/>
        <v>1.6595380667236981E-2</v>
      </c>
      <c r="R283" s="12">
        <f t="shared" si="47"/>
        <v>-1.9666757716470973E-2</v>
      </c>
      <c r="S283" s="12">
        <f t="shared" si="48"/>
        <v>7.3987713555445644E-3</v>
      </c>
      <c r="T283" s="12">
        <f t="shared" si="49"/>
        <v>1.4577630657584884E-2</v>
      </c>
      <c r="U283" s="12">
        <f t="shared" si="50"/>
        <v>-9.9349437692268783E-3</v>
      </c>
      <c r="V283" s="12">
        <f t="shared" si="51"/>
        <v>-5.2943803023538516E-3</v>
      </c>
      <c r="W283" s="12">
        <f t="shared" si="52"/>
        <v>-1.9221266923609037E-2</v>
      </c>
      <c r="X283" s="12">
        <f t="shared" si="53"/>
        <v>1.5057573073516517E-2</v>
      </c>
      <c r="Y283" s="12">
        <f t="shared" si="54"/>
        <v>5.132374612531132E-3</v>
      </c>
    </row>
    <row r="284" spans="1:25" x14ac:dyDescent="0.35">
      <c r="A284" s="6">
        <v>44536</v>
      </c>
      <c r="B284" s="8">
        <v>4591.7</v>
      </c>
      <c r="C284" s="2">
        <v>165.32</v>
      </c>
      <c r="D284" s="2">
        <v>119.91</v>
      </c>
      <c r="E284" s="2">
        <v>326.19</v>
      </c>
      <c r="F284" s="2">
        <v>460.11</v>
      </c>
      <c r="G284" s="2">
        <v>162.94</v>
      </c>
      <c r="H284" s="2">
        <v>202.68</v>
      </c>
      <c r="I284" s="2">
        <v>160.68</v>
      </c>
      <c r="J284" s="2">
        <v>205.88</v>
      </c>
      <c r="K284" s="2">
        <v>46.33</v>
      </c>
      <c r="L284" s="2">
        <v>201.28</v>
      </c>
      <c r="M284" s="64" t="s">
        <v>77</v>
      </c>
      <c r="N284" s="1"/>
      <c r="O284" s="12">
        <f t="shared" si="44"/>
        <v>1.1744227040366706E-2</v>
      </c>
      <c r="P284" s="12">
        <f t="shared" si="45"/>
        <v>2.1502718734552673E-2</v>
      </c>
      <c r="Q284" s="12">
        <f t="shared" si="46"/>
        <v>9.0037024570850388E-3</v>
      </c>
      <c r="R284" s="12">
        <f t="shared" si="47"/>
        <v>9.8448964428345942E-3</v>
      </c>
      <c r="S284" s="12">
        <f t="shared" si="48"/>
        <v>2.4014065699278886E-2</v>
      </c>
      <c r="T284" s="12">
        <f t="shared" si="49"/>
        <v>2.2336554147320831E-2</v>
      </c>
      <c r="U284" s="12">
        <f t="shared" si="50"/>
        <v>3.2396088019559954E-2</v>
      </c>
      <c r="V284" s="12">
        <f t="shared" si="51"/>
        <v>3.0396306271643025E-2</v>
      </c>
      <c r="W284" s="12">
        <f t="shared" si="52"/>
        <v>3.7231094765479256E-2</v>
      </c>
      <c r="X284" s="12">
        <f t="shared" si="53"/>
        <v>1.068935427574158E-2</v>
      </c>
      <c r="Y284" s="12">
        <f t="shared" si="54"/>
        <v>1.7593528816986836E-2</v>
      </c>
    </row>
    <row r="285" spans="1:25" x14ac:dyDescent="0.35">
      <c r="A285" s="6">
        <v>44537</v>
      </c>
      <c r="B285" s="8">
        <v>4686.8</v>
      </c>
      <c r="C285" s="2">
        <v>171.18</v>
      </c>
      <c r="D285" s="2">
        <v>121.58</v>
      </c>
      <c r="E285" s="2">
        <v>334.92</v>
      </c>
      <c r="F285" s="2">
        <v>464.73</v>
      </c>
      <c r="G285" s="2">
        <v>163.36000000000001</v>
      </c>
      <c r="H285" s="2">
        <v>207.37</v>
      </c>
      <c r="I285" s="2">
        <v>166.95</v>
      </c>
      <c r="J285" s="2">
        <v>208.83</v>
      </c>
      <c r="K285" s="2">
        <v>46.18</v>
      </c>
      <c r="L285" s="2">
        <v>204.49</v>
      </c>
      <c r="M285" s="64" t="s">
        <v>77</v>
      </c>
      <c r="N285" s="1"/>
      <c r="O285" s="12">
        <f t="shared" si="44"/>
        <v>2.0711283402661484E-2</v>
      </c>
      <c r="P285" s="12">
        <f t="shared" si="45"/>
        <v>3.5446406968304034E-2</v>
      </c>
      <c r="Q285" s="12">
        <f t="shared" si="46"/>
        <v>1.3927112000667208E-2</v>
      </c>
      <c r="R285" s="12">
        <f t="shared" si="47"/>
        <v>2.6763542720500411E-2</v>
      </c>
      <c r="S285" s="12">
        <f t="shared" si="48"/>
        <v>1.0041077133728926E-2</v>
      </c>
      <c r="T285" s="12">
        <f t="shared" si="49"/>
        <v>2.5776359396096904E-3</v>
      </c>
      <c r="U285" s="12">
        <f t="shared" si="50"/>
        <v>2.3139925004933781E-2</v>
      </c>
      <c r="V285" s="12">
        <f t="shared" si="51"/>
        <v>3.9021657953696609E-2</v>
      </c>
      <c r="W285" s="12">
        <f t="shared" si="52"/>
        <v>1.4328735185545005E-2</v>
      </c>
      <c r="X285" s="12">
        <f t="shared" si="53"/>
        <v>-3.2376429958989039E-3</v>
      </c>
      <c r="Y285" s="12">
        <f t="shared" si="54"/>
        <v>1.5947933227345112E-2</v>
      </c>
    </row>
    <row r="286" spans="1:25" x14ac:dyDescent="0.35">
      <c r="A286" s="6">
        <v>44538</v>
      </c>
      <c r="B286" s="8">
        <v>4701.2</v>
      </c>
      <c r="C286" s="2">
        <v>175.08</v>
      </c>
      <c r="D286" s="2">
        <v>123.02</v>
      </c>
      <c r="E286" s="2">
        <v>334.97</v>
      </c>
      <c r="F286" s="2">
        <v>468.86</v>
      </c>
      <c r="G286" s="2">
        <v>164.34</v>
      </c>
      <c r="H286" s="2">
        <v>208.99</v>
      </c>
      <c r="I286" s="2">
        <v>168.93</v>
      </c>
      <c r="J286" s="2">
        <v>211.03</v>
      </c>
      <c r="K286" s="2">
        <v>45.72</v>
      </c>
      <c r="L286" s="2">
        <v>204.19</v>
      </c>
      <c r="M286" s="64">
        <v>4.07</v>
      </c>
      <c r="N286" s="1"/>
      <c r="O286" s="12">
        <f t="shared" si="44"/>
        <v>3.0724588205170988E-3</v>
      </c>
      <c r="P286" s="12">
        <f t="shared" si="45"/>
        <v>2.2783035401331864E-2</v>
      </c>
      <c r="Q286" s="12">
        <f t="shared" si="46"/>
        <v>1.1844053298239787E-2</v>
      </c>
      <c r="R286" s="12">
        <f t="shared" si="47"/>
        <v>1.4928938253921942E-4</v>
      </c>
      <c r="S286" s="12">
        <f t="shared" si="48"/>
        <v>8.8868805543003138E-3</v>
      </c>
      <c r="T286" s="12">
        <f t="shared" si="49"/>
        <v>5.9990205680704456E-3</v>
      </c>
      <c r="U286" s="12">
        <f t="shared" si="50"/>
        <v>7.8121232579446698E-3</v>
      </c>
      <c r="V286" s="12">
        <f t="shared" si="51"/>
        <v>1.1859838274932644E-2</v>
      </c>
      <c r="W286" s="12">
        <f t="shared" si="52"/>
        <v>1.0534884834554337E-2</v>
      </c>
      <c r="X286" s="12">
        <f t="shared" si="53"/>
        <v>-9.9610220874837285E-3</v>
      </c>
      <c r="Y286" s="12">
        <f t="shared" si="54"/>
        <v>-1.4670644041273606E-3</v>
      </c>
    </row>
    <row r="287" spans="1:25" x14ac:dyDescent="0.35">
      <c r="A287" s="6">
        <v>44539</v>
      </c>
      <c r="B287" s="8">
        <v>4667.3999999999996</v>
      </c>
      <c r="C287" s="2">
        <v>174.56</v>
      </c>
      <c r="D287" s="2">
        <v>123.57</v>
      </c>
      <c r="E287" s="2">
        <v>333.1</v>
      </c>
      <c r="F287" s="2">
        <v>473.32</v>
      </c>
      <c r="G287" s="2">
        <v>165.9</v>
      </c>
      <c r="H287" s="2">
        <v>211.39</v>
      </c>
      <c r="I287" s="2">
        <v>168.02</v>
      </c>
      <c r="J287" s="2">
        <v>207.56</v>
      </c>
      <c r="K287" s="2">
        <v>46.17</v>
      </c>
      <c r="L287" s="2">
        <v>204.13</v>
      </c>
      <c r="M287" s="64" t="s">
        <v>77</v>
      </c>
      <c r="N287" s="1"/>
      <c r="O287" s="12">
        <f t="shared" si="44"/>
        <v>-7.1896537054368936E-3</v>
      </c>
      <c r="P287" s="12">
        <f t="shared" si="45"/>
        <v>-2.970070824765858E-3</v>
      </c>
      <c r="Q287" s="12">
        <f t="shared" si="46"/>
        <v>4.4708177532108984E-3</v>
      </c>
      <c r="R287" s="12">
        <f t="shared" si="47"/>
        <v>-5.582589485625622E-3</v>
      </c>
      <c r="S287" s="12">
        <f t="shared" si="48"/>
        <v>9.5124344153905138E-3</v>
      </c>
      <c r="T287" s="12">
        <f t="shared" si="49"/>
        <v>9.4925155166118991E-3</v>
      </c>
      <c r="U287" s="12">
        <f t="shared" si="50"/>
        <v>1.1483803052777519E-2</v>
      </c>
      <c r="V287" s="12">
        <f t="shared" si="51"/>
        <v>-5.3868466228614853E-3</v>
      </c>
      <c r="W287" s="12">
        <f t="shared" si="52"/>
        <v>-1.6443159740321289E-2</v>
      </c>
      <c r="X287" s="12">
        <f t="shared" si="53"/>
        <v>9.8425196850393526E-3</v>
      </c>
      <c r="Y287" s="12">
        <f t="shared" si="54"/>
        <v>-2.9384396885256958E-4</v>
      </c>
    </row>
    <row r="288" spans="1:25" x14ac:dyDescent="0.35">
      <c r="A288" s="6">
        <v>44540</v>
      </c>
      <c r="B288" s="8">
        <v>4712</v>
      </c>
      <c r="C288" s="2">
        <v>179.45</v>
      </c>
      <c r="D288" s="2">
        <v>124.09</v>
      </c>
      <c r="E288" s="2">
        <v>342.54</v>
      </c>
      <c r="F288" s="2">
        <v>478.23</v>
      </c>
      <c r="G288" s="2">
        <v>165.49</v>
      </c>
      <c r="H288" s="2">
        <v>213.4</v>
      </c>
      <c r="I288" s="2">
        <v>167.03</v>
      </c>
      <c r="J288" s="2">
        <v>205.06</v>
      </c>
      <c r="K288" s="2">
        <v>47.01</v>
      </c>
      <c r="L288" s="2">
        <v>203.46</v>
      </c>
      <c r="M288" s="64" t="s">
        <v>77</v>
      </c>
      <c r="N288" s="1"/>
      <c r="O288" s="12">
        <f t="shared" si="44"/>
        <v>9.5556412563739812E-3</v>
      </c>
      <c r="P288" s="12">
        <f t="shared" si="45"/>
        <v>2.8013290559119941E-2</v>
      </c>
      <c r="Q288" s="12">
        <f t="shared" si="46"/>
        <v>4.2081411345795683E-3</v>
      </c>
      <c r="R288" s="12">
        <f t="shared" si="47"/>
        <v>2.8339837886520503E-2</v>
      </c>
      <c r="S288" s="12">
        <f t="shared" si="48"/>
        <v>1.0373531648778966E-2</v>
      </c>
      <c r="T288" s="12">
        <f t="shared" si="49"/>
        <v>-2.4713682941530646E-3</v>
      </c>
      <c r="U288" s="12">
        <f t="shared" si="50"/>
        <v>9.5084914139742516E-3</v>
      </c>
      <c r="V288" s="12">
        <f t="shared" si="51"/>
        <v>-5.8921556957505228E-3</v>
      </c>
      <c r="W288" s="12">
        <f t="shared" si="52"/>
        <v>-1.2044709963384137E-2</v>
      </c>
      <c r="X288" s="12">
        <f t="shared" si="53"/>
        <v>1.8193632228719947E-2</v>
      </c>
      <c r="Y288" s="12">
        <f t="shared" si="54"/>
        <v>-3.2822221133590457E-3</v>
      </c>
    </row>
    <row r="289" spans="1:25" x14ac:dyDescent="0.35">
      <c r="A289" s="6">
        <v>44543</v>
      </c>
      <c r="B289" s="8">
        <v>4669</v>
      </c>
      <c r="C289" s="2">
        <v>175.74</v>
      </c>
      <c r="D289" s="2">
        <v>122.58</v>
      </c>
      <c r="E289" s="2">
        <v>339.4</v>
      </c>
      <c r="F289" s="2">
        <v>478.14</v>
      </c>
      <c r="G289" s="2">
        <v>168.45</v>
      </c>
      <c r="H289" s="2">
        <v>211.02</v>
      </c>
      <c r="I289" s="2">
        <v>163.30000000000001</v>
      </c>
      <c r="J289" s="2">
        <v>197.4</v>
      </c>
      <c r="K289" s="2">
        <v>47.86</v>
      </c>
      <c r="L289" s="2">
        <v>201.25</v>
      </c>
      <c r="M289" s="64" t="s">
        <v>77</v>
      </c>
      <c r="N289" s="1"/>
      <c r="O289" s="12">
        <f t="shared" si="44"/>
        <v>-9.1256366723260207E-3</v>
      </c>
      <c r="P289" s="12">
        <f t="shared" si="45"/>
        <v>-2.0674282529952515E-2</v>
      </c>
      <c r="Q289" s="12">
        <f t="shared" si="46"/>
        <v>-1.2168587315658064E-2</v>
      </c>
      <c r="R289" s="12">
        <f t="shared" si="47"/>
        <v>-9.1668126350208379E-3</v>
      </c>
      <c r="S289" s="12">
        <f t="shared" si="48"/>
        <v>-1.881939652469411E-4</v>
      </c>
      <c r="T289" s="12">
        <f t="shared" si="49"/>
        <v>1.7886277116441862E-2</v>
      </c>
      <c r="U289" s="12">
        <f t="shared" si="50"/>
        <v>-1.1152764761012124E-2</v>
      </c>
      <c r="V289" s="12">
        <f t="shared" si="51"/>
        <v>-2.2331317727354305E-2</v>
      </c>
      <c r="W289" s="12">
        <f t="shared" si="52"/>
        <v>-3.7354920511069922E-2</v>
      </c>
      <c r="X289" s="12">
        <f t="shared" si="53"/>
        <v>1.8081259306530484E-2</v>
      </c>
      <c r="Y289" s="12">
        <f t="shared" si="54"/>
        <v>-1.0862085913693198E-2</v>
      </c>
    </row>
    <row r="290" spans="1:25" x14ac:dyDescent="0.35">
      <c r="A290" s="6">
        <v>44544</v>
      </c>
      <c r="B290" s="8">
        <v>4634.1000000000004</v>
      </c>
      <c r="C290" s="2">
        <v>174.33</v>
      </c>
      <c r="D290" s="2">
        <v>123.76</v>
      </c>
      <c r="E290" s="2">
        <v>328.34</v>
      </c>
      <c r="F290" s="2">
        <v>479.46</v>
      </c>
      <c r="G290" s="2">
        <v>170.29</v>
      </c>
      <c r="H290" s="2">
        <v>209.98</v>
      </c>
      <c r="I290" s="2">
        <v>162.85</v>
      </c>
      <c r="J290" s="2">
        <v>195.5</v>
      </c>
      <c r="K290" s="2">
        <v>48.31</v>
      </c>
      <c r="L290" s="2">
        <v>201.64</v>
      </c>
      <c r="M290" s="64" t="s">
        <v>77</v>
      </c>
      <c r="N290" s="1"/>
      <c r="O290" s="12">
        <f t="shared" si="44"/>
        <v>-7.4748340115655676E-3</v>
      </c>
      <c r="P290" s="12">
        <f t="shared" si="45"/>
        <v>-8.0232161147149039E-3</v>
      </c>
      <c r="Q290" s="12">
        <f t="shared" si="46"/>
        <v>9.6263664545603866E-3</v>
      </c>
      <c r="R290" s="12">
        <f t="shared" si="47"/>
        <v>-3.2586918090748429E-2</v>
      </c>
      <c r="S290" s="12">
        <f t="shared" si="48"/>
        <v>2.7606977036014335E-3</v>
      </c>
      <c r="T290" s="12">
        <f t="shared" si="49"/>
        <v>1.0923122588305079E-2</v>
      </c>
      <c r="U290" s="12">
        <f t="shared" si="50"/>
        <v>-4.928442801630295E-3</v>
      </c>
      <c r="V290" s="12">
        <f t="shared" si="51"/>
        <v>-2.7556644213105885E-3</v>
      </c>
      <c r="W290" s="12">
        <f t="shared" si="52"/>
        <v>-9.6251266464032481E-3</v>
      </c>
      <c r="X290" s="12">
        <f t="shared" si="53"/>
        <v>9.4024237358965035E-3</v>
      </c>
      <c r="Y290" s="12">
        <f t="shared" si="54"/>
        <v>1.9378881987577312E-3</v>
      </c>
    </row>
    <row r="291" spans="1:25" x14ac:dyDescent="0.35">
      <c r="A291" s="6">
        <v>44545</v>
      </c>
      <c r="B291" s="8">
        <v>4709.8999999999996</v>
      </c>
      <c r="C291" s="2">
        <v>179.3</v>
      </c>
      <c r="D291" s="2">
        <v>123.11</v>
      </c>
      <c r="E291" s="2">
        <v>334.65</v>
      </c>
      <c r="F291" s="2">
        <v>494.38</v>
      </c>
      <c r="G291" s="2">
        <v>171.14</v>
      </c>
      <c r="H291" s="2">
        <v>212.31</v>
      </c>
      <c r="I291" s="2">
        <v>162.24</v>
      </c>
      <c r="J291" s="2">
        <v>195.43</v>
      </c>
      <c r="K291" s="2">
        <v>48.59</v>
      </c>
      <c r="L291" s="2">
        <v>202.55</v>
      </c>
      <c r="M291" s="64">
        <v>4.0599999999999996</v>
      </c>
      <c r="N291" s="1"/>
      <c r="O291" s="12">
        <f t="shared" si="44"/>
        <v>1.6357005675319725E-2</v>
      </c>
      <c r="P291" s="12">
        <f t="shared" si="45"/>
        <v>2.8509149314518423E-2</v>
      </c>
      <c r="Q291" s="12">
        <f t="shared" si="46"/>
        <v>-5.2521008403362268E-3</v>
      </c>
      <c r="R291" s="12">
        <f t="shared" si="47"/>
        <v>1.9217883900834565E-2</v>
      </c>
      <c r="S291" s="12">
        <f t="shared" si="48"/>
        <v>3.1118341467484267E-2</v>
      </c>
      <c r="T291" s="12">
        <f t="shared" si="49"/>
        <v>4.9914851136296789E-3</v>
      </c>
      <c r="U291" s="12">
        <f t="shared" si="50"/>
        <v>1.109629488522712E-2</v>
      </c>
      <c r="V291" s="12">
        <f t="shared" si="51"/>
        <v>-3.7457783236105602E-3</v>
      </c>
      <c r="W291" s="12">
        <f t="shared" si="52"/>
        <v>-3.580562659846187E-4</v>
      </c>
      <c r="X291" s="12">
        <f t="shared" si="53"/>
        <v>5.7959014696751243E-3</v>
      </c>
      <c r="Y291" s="12">
        <f t="shared" si="54"/>
        <v>4.5129934536800587E-3</v>
      </c>
    </row>
    <row r="292" spans="1:25" x14ac:dyDescent="0.35">
      <c r="A292" s="6">
        <v>44546</v>
      </c>
      <c r="B292" s="8">
        <v>4668.7</v>
      </c>
      <c r="C292" s="2">
        <v>172.26</v>
      </c>
      <c r="D292" s="2">
        <v>125.93</v>
      </c>
      <c r="E292" s="2">
        <v>324.89999999999998</v>
      </c>
      <c r="F292" s="2">
        <v>492.86</v>
      </c>
      <c r="G292" s="2">
        <v>173.01</v>
      </c>
      <c r="H292" s="2">
        <v>214.37</v>
      </c>
      <c r="I292" s="2">
        <v>163</v>
      </c>
      <c r="J292" s="2">
        <v>190.79</v>
      </c>
      <c r="K292" s="2">
        <v>47.78</v>
      </c>
      <c r="L292" s="2">
        <v>206.17</v>
      </c>
      <c r="M292" s="64" t="s">
        <v>77</v>
      </c>
      <c r="N292" s="1"/>
      <c r="O292" s="12">
        <f t="shared" si="44"/>
        <v>-8.7475317947302011E-3</v>
      </c>
      <c r="P292" s="12">
        <f t="shared" si="45"/>
        <v>-3.9263803680981701E-2</v>
      </c>
      <c r="Q292" s="12">
        <f t="shared" si="46"/>
        <v>2.2906343920071626E-2</v>
      </c>
      <c r="R292" s="12">
        <f t="shared" si="47"/>
        <v>-2.9134917077543676E-2</v>
      </c>
      <c r="S292" s="12">
        <f t="shared" si="48"/>
        <v>-3.0745580322828481E-3</v>
      </c>
      <c r="T292" s="12">
        <f t="shared" si="49"/>
        <v>1.0926726656538488E-2</v>
      </c>
      <c r="U292" s="12">
        <f t="shared" si="50"/>
        <v>9.7027930855824174E-3</v>
      </c>
      <c r="V292" s="12">
        <f t="shared" si="51"/>
        <v>4.6844181459566592E-3</v>
      </c>
      <c r="W292" s="12">
        <f t="shared" si="52"/>
        <v>-2.3742516502072375E-2</v>
      </c>
      <c r="X292" s="12">
        <f t="shared" si="53"/>
        <v>-1.6670096727721795E-2</v>
      </c>
      <c r="Y292" s="12">
        <f t="shared" si="54"/>
        <v>1.7872130338187908E-2</v>
      </c>
    </row>
    <row r="293" spans="1:25" x14ac:dyDescent="0.35">
      <c r="A293" s="6">
        <v>44547</v>
      </c>
      <c r="B293" s="8">
        <v>4620.6000000000004</v>
      </c>
      <c r="C293" s="2">
        <v>171.14</v>
      </c>
      <c r="D293" s="2">
        <v>127.4</v>
      </c>
      <c r="E293" s="2">
        <v>323.8</v>
      </c>
      <c r="F293" s="2">
        <v>487.12</v>
      </c>
      <c r="G293" s="2">
        <v>168.23</v>
      </c>
      <c r="H293" s="2">
        <v>211.88</v>
      </c>
      <c r="I293" s="2">
        <v>160.01</v>
      </c>
      <c r="J293" s="2">
        <v>192.63</v>
      </c>
      <c r="K293" s="2">
        <v>46.25</v>
      </c>
      <c r="L293" s="2">
        <v>201.37</v>
      </c>
      <c r="M293" s="64" t="s">
        <v>77</v>
      </c>
      <c r="N293" s="1"/>
      <c r="O293" s="12">
        <f t="shared" si="44"/>
        <v>-1.030265384368223E-2</v>
      </c>
      <c r="P293" s="12">
        <f t="shared" si="45"/>
        <v>-6.5017996052478821E-3</v>
      </c>
      <c r="Q293" s="12">
        <f t="shared" si="46"/>
        <v>1.1673151750972721E-2</v>
      </c>
      <c r="R293" s="12">
        <f t="shared" si="47"/>
        <v>-3.3856571252691703E-3</v>
      </c>
      <c r="S293" s="12">
        <f t="shared" si="48"/>
        <v>-1.1646309296757695E-2</v>
      </c>
      <c r="T293" s="12">
        <f t="shared" si="49"/>
        <v>-2.7628460782613717E-2</v>
      </c>
      <c r="U293" s="12">
        <f t="shared" si="50"/>
        <v>-1.1615431263703013E-2</v>
      </c>
      <c r="V293" s="12">
        <f t="shared" si="51"/>
        <v>-1.8343558282208683E-2</v>
      </c>
      <c r="W293" s="12">
        <f t="shared" si="52"/>
        <v>9.6441113265894884E-3</v>
      </c>
      <c r="X293" s="12">
        <f t="shared" si="53"/>
        <v>-3.2021766429468412E-2</v>
      </c>
      <c r="Y293" s="12">
        <f t="shared" si="54"/>
        <v>-2.3281757772711797E-2</v>
      </c>
    </row>
    <row r="294" spans="1:25" x14ac:dyDescent="0.35">
      <c r="A294" s="6">
        <v>44550</v>
      </c>
      <c r="B294" s="8">
        <v>4568</v>
      </c>
      <c r="C294" s="2">
        <v>169.75</v>
      </c>
      <c r="D294" s="2">
        <v>127.06</v>
      </c>
      <c r="E294" s="2">
        <v>319.91000000000003</v>
      </c>
      <c r="F294" s="2">
        <v>483.73</v>
      </c>
      <c r="G294" s="2">
        <v>167.75</v>
      </c>
      <c r="H294" s="2">
        <v>208.74</v>
      </c>
      <c r="I294" s="2">
        <v>155.88999999999999</v>
      </c>
      <c r="J294" s="2">
        <v>188.48</v>
      </c>
      <c r="K294" s="2">
        <v>46.4</v>
      </c>
      <c r="L294" s="2">
        <v>195.46</v>
      </c>
      <c r="M294" s="64" t="s">
        <v>77</v>
      </c>
      <c r="N294" s="1"/>
      <c r="O294" s="12">
        <f t="shared" si="44"/>
        <v>-1.1383802969311407E-2</v>
      </c>
      <c r="P294" s="12">
        <f t="shared" si="45"/>
        <v>-8.122005375715724E-3</v>
      </c>
      <c r="Q294" s="12">
        <f t="shared" si="46"/>
        <v>-2.6687598116169609E-3</v>
      </c>
      <c r="R294" s="12">
        <f t="shared" si="47"/>
        <v>-1.2013588634959826E-2</v>
      </c>
      <c r="S294" s="12">
        <f t="shared" si="48"/>
        <v>-6.9592708162259376E-3</v>
      </c>
      <c r="T294" s="12">
        <f t="shared" si="49"/>
        <v>-2.8532366403137832E-3</v>
      </c>
      <c r="U294" s="12">
        <f t="shared" si="50"/>
        <v>-1.4819709269397685E-2</v>
      </c>
      <c r="V294" s="12">
        <f t="shared" si="51"/>
        <v>-2.5748390725579662E-2</v>
      </c>
      <c r="W294" s="12">
        <f t="shared" si="52"/>
        <v>-2.1543892436276857E-2</v>
      </c>
      <c r="X294" s="12">
        <f t="shared" si="53"/>
        <v>3.2432432432432101E-3</v>
      </c>
      <c r="Y294" s="12">
        <f t="shared" si="54"/>
        <v>-2.9348959626558035E-2</v>
      </c>
    </row>
    <row r="295" spans="1:25" x14ac:dyDescent="0.35">
      <c r="A295" s="6">
        <v>44551</v>
      </c>
      <c r="B295" s="8">
        <v>4649.2</v>
      </c>
      <c r="C295" s="2">
        <v>172.99</v>
      </c>
      <c r="D295" s="2">
        <v>128.97</v>
      </c>
      <c r="E295" s="2">
        <v>327.29000000000002</v>
      </c>
      <c r="F295" s="2">
        <v>487.21</v>
      </c>
      <c r="G295" s="2">
        <v>167.21</v>
      </c>
      <c r="H295" s="2">
        <v>215.38</v>
      </c>
      <c r="I295" s="2">
        <v>160.91</v>
      </c>
      <c r="J295" s="2">
        <v>199.52</v>
      </c>
      <c r="K295" s="2">
        <v>46.54</v>
      </c>
      <c r="L295" s="2">
        <v>198.31</v>
      </c>
      <c r="M295" s="64" t="s">
        <v>77</v>
      </c>
      <c r="N295" s="1"/>
      <c r="O295" s="12">
        <f t="shared" si="44"/>
        <v>1.7775831873905412E-2</v>
      </c>
      <c r="P295" s="12">
        <f t="shared" si="45"/>
        <v>1.9086892488954454E-2</v>
      </c>
      <c r="Q295" s="12">
        <f t="shared" si="46"/>
        <v>1.5032268219738576E-2</v>
      </c>
      <c r="R295" s="12">
        <f t="shared" si="47"/>
        <v>2.3068988152918024E-2</v>
      </c>
      <c r="S295" s="12">
        <f t="shared" si="48"/>
        <v>7.1940958799330268E-3</v>
      </c>
      <c r="T295" s="12">
        <f t="shared" si="49"/>
        <v>-3.2190760059611634E-3</v>
      </c>
      <c r="U295" s="12">
        <f t="shared" si="50"/>
        <v>3.1809907061415954E-2</v>
      </c>
      <c r="V295" s="12">
        <f t="shared" si="51"/>
        <v>3.220219385464107E-2</v>
      </c>
      <c r="W295" s="12">
        <f t="shared" si="52"/>
        <v>5.8573853989813296E-2</v>
      </c>
      <c r="X295" s="12">
        <f t="shared" si="53"/>
        <v>3.0172413793103647E-3</v>
      </c>
      <c r="Y295" s="12">
        <f t="shared" si="54"/>
        <v>1.4580988437531861E-2</v>
      </c>
    </row>
    <row r="296" spans="1:25" x14ac:dyDescent="0.35">
      <c r="A296" s="6">
        <v>44552</v>
      </c>
      <c r="B296" s="8">
        <v>4696.6000000000004</v>
      </c>
      <c r="C296" s="2">
        <v>175.64</v>
      </c>
      <c r="D296" s="2">
        <v>129.75</v>
      </c>
      <c r="E296" s="2">
        <v>333.2</v>
      </c>
      <c r="F296" s="2">
        <v>494.13</v>
      </c>
      <c r="G296" s="2">
        <v>167.93</v>
      </c>
      <c r="H296" s="2">
        <v>217.96</v>
      </c>
      <c r="I296" s="2">
        <v>162.47</v>
      </c>
      <c r="J296" s="2">
        <v>201.69</v>
      </c>
      <c r="K296" s="2">
        <v>46.6</v>
      </c>
      <c r="L296" s="2">
        <v>202.15</v>
      </c>
      <c r="M296" s="64">
        <v>4.0599999999999996</v>
      </c>
      <c r="N296" s="1"/>
      <c r="O296" s="12">
        <f t="shared" si="44"/>
        <v>1.0195302417620455E-2</v>
      </c>
      <c r="P296" s="12">
        <f t="shared" si="45"/>
        <v>1.5318804555176424E-2</v>
      </c>
      <c r="Q296" s="12">
        <f t="shared" si="46"/>
        <v>6.047918120493101E-3</v>
      </c>
      <c r="R296" s="12">
        <f t="shared" si="47"/>
        <v>1.8057380304928206E-2</v>
      </c>
      <c r="S296" s="12">
        <f t="shared" si="48"/>
        <v>1.4203320949898401E-2</v>
      </c>
      <c r="T296" s="12">
        <f t="shared" si="49"/>
        <v>4.3059625620476272E-3</v>
      </c>
      <c r="U296" s="12">
        <f t="shared" si="50"/>
        <v>1.1978828117745532E-2</v>
      </c>
      <c r="V296" s="12">
        <f t="shared" si="51"/>
        <v>9.6948604810143113E-3</v>
      </c>
      <c r="W296" s="12">
        <f t="shared" si="52"/>
        <v>1.0876102646351082E-2</v>
      </c>
      <c r="X296" s="12">
        <f t="shared" si="53"/>
        <v>1.2892135797164528E-3</v>
      </c>
      <c r="Y296" s="12">
        <f t="shared" si="54"/>
        <v>1.9363622611063613E-2</v>
      </c>
    </row>
    <row r="297" spans="1:25" x14ac:dyDescent="0.35">
      <c r="A297" s="6">
        <v>44553</v>
      </c>
      <c r="B297" s="8">
        <v>4725.8</v>
      </c>
      <c r="C297" s="2">
        <v>176.28</v>
      </c>
      <c r="D297" s="2">
        <v>130.63</v>
      </c>
      <c r="E297" s="2">
        <v>334.69</v>
      </c>
      <c r="F297" s="2">
        <v>495.38</v>
      </c>
      <c r="G297" s="2">
        <v>168.25</v>
      </c>
      <c r="H297" s="2">
        <v>216.62</v>
      </c>
      <c r="I297" s="2">
        <v>164.19</v>
      </c>
      <c r="J297" s="2">
        <v>204.22</v>
      </c>
      <c r="K297" s="2">
        <v>46.5</v>
      </c>
      <c r="L297" s="2">
        <v>206.2</v>
      </c>
      <c r="M297" s="64" t="s">
        <v>77</v>
      </c>
      <c r="N297" s="1"/>
      <c r="O297" s="12">
        <f t="shared" si="44"/>
        <v>6.2172635523569664E-3</v>
      </c>
      <c r="P297" s="12">
        <f t="shared" si="45"/>
        <v>3.6438168982009245E-3</v>
      </c>
      <c r="Q297" s="12">
        <f t="shared" si="46"/>
        <v>6.7822736030829223E-3</v>
      </c>
      <c r="R297" s="12">
        <f t="shared" si="47"/>
        <v>4.4717887154861469E-3</v>
      </c>
      <c r="S297" s="12">
        <f t="shared" si="48"/>
        <v>2.5296986622953543E-3</v>
      </c>
      <c r="T297" s="12">
        <f t="shared" si="49"/>
        <v>1.9055558863811939E-3</v>
      </c>
      <c r="U297" s="12">
        <f t="shared" si="50"/>
        <v>-6.1479170489998625E-3</v>
      </c>
      <c r="V297" s="12">
        <f t="shared" si="51"/>
        <v>1.0586569828275882E-2</v>
      </c>
      <c r="W297" s="12">
        <f t="shared" si="52"/>
        <v>1.2544003173186491E-2</v>
      </c>
      <c r="X297" s="12">
        <f t="shared" si="53"/>
        <v>-2.1459227467811592E-3</v>
      </c>
      <c r="Y297" s="12">
        <f t="shared" si="54"/>
        <v>2.003462775166942E-2</v>
      </c>
    </row>
    <row r="298" spans="1:25" x14ac:dyDescent="0.35">
      <c r="A298" s="6">
        <v>44557</v>
      </c>
      <c r="B298" s="8">
        <v>4791.2</v>
      </c>
      <c r="C298" s="2">
        <v>180.33</v>
      </c>
      <c r="D298" s="2">
        <v>131.62</v>
      </c>
      <c r="E298" s="2">
        <v>342.45</v>
      </c>
      <c r="F298" s="2">
        <v>499.5</v>
      </c>
      <c r="G298" s="2">
        <v>169.67</v>
      </c>
      <c r="H298" s="2">
        <v>217.63</v>
      </c>
      <c r="I298" s="2">
        <v>164.39</v>
      </c>
      <c r="J298" s="2">
        <v>203.17</v>
      </c>
      <c r="K298" s="2">
        <v>46.92</v>
      </c>
      <c r="L298" s="2">
        <v>206.38</v>
      </c>
      <c r="M298" s="64" t="s">
        <v>77</v>
      </c>
      <c r="N298" s="1"/>
      <c r="O298" s="12">
        <f t="shared" si="44"/>
        <v>1.3838926742562041E-2</v>
      </c>
      <c r="P298" s="12">
        <f t="shared" si="45"/>
        <v>2.2974812797821764E-2</v>
      </c>
      <c r="Q298" s="12">
        <f t="shared" si="46"/>
        <v>7.5786572762766014E-3</v>
      </c>
      <c r="R298" s="12">
        <f t="shared" si="47"/>
        <v>2.3185634467716376E-2</v>
      </c>
      <c r="S298" s="12">
        <f t="shared" si="48"/>
        <v>8.3168476724937435E-3</v>
      </c>
      <c r="T298" s="12">
        <f t="shared" si="49"/>
        <v>8.4398216939078896E-3</v>
      </c>
      <c r="U298" s="12">
        <f t="shared" si="50"/>
        <v>4.6625427015047904E-3</v>
      </c>
      <c r="V298" s="12">
        <f t="shared" si="51"/>
        <v>1.2181009805711795E-3</v>
      </c>
      <c r="W298" s="12">
        <f t="shared" si="52"/>
        <v>-5.1415140534718518E-3</v>
      </c>
      <c r="X298" s="12">
        <f t="shared" si="53"/>
        <v>9.0322580645161299E-3</v>
      </c>
      <c r="Y298" s="12">
        <f t="shared" si="54"/>
        <v>8.7293889427741966E-4</v>
      </c>
    </row>
    <row r="299" spans="1:25" x14ac:dyDescent="0.35">
      <c r="A299" s="6">
        <v>44558</v>
      </c>
      <c r="B299" s="8">
        <v>4786.3999999999996</v>
      </c>
      <c r="C299" s="2">
        <v>179.29</v>
      </c>
      <c r="D299" s="2">
        <v>132.63</v>
      </c>
      <c r="E299" s="2">
        <v>341.25</v>
      </c>
      <c r="F299" s="2">
        <v>502.94</v>
      </c>
      <c r="G299" s="2">
        <v>170.35</v>
      </c>
      <c r="H299" s="2">
        <v>218.05</v>
      </c>
      <c r="I299" s="2">
        <v>164.41</v>
      </c>
      <c r="J299" s="2">
        <v>206.13</v>
      </c>
      <c r="K299" s="2">
        <v>47.59</v>
      </c>
      <c r="L299" s="2">
        <v>206.62</v>
      </c>
      <c r="M299" s="64" t="s">
        <v>77</v>
      </c>
      <c r="N299" s="1"/>
      <c r="O299" s="12">
        <f t="shared" si="44"/>
        <v>-1.0018367006178197E-3</v>
      </c>
      <c r="P299" s="12">
        <f t="shared" si="45"/>
        <v>-5.767204569400608E-3</v>
      </c>
      <c r="Q299" s="12">
        <f t="shared" si="46"/>
        <v>7.6736058349793357E-3</v>
      </c>
      <c r="R299" s="12">
        <f t="shared" si="47"/>
        <v>-3.504161191414723E-3</v>
      </c>
      <c r="S299" s="12">
        <f t="shared" si="48"/>
        <v>6.8868868868869892E-3</v>
      </c>
      <c r="T299" s="12">
        <f t="shared" si="49"/>
        <v>4.0077798078623772E-3</v>
      </c>
      <c r="U299" s="12">
        <f t="shared" si="50"/>
        <v>1.9298809906722614E-3</v>
      </c>
      <c r="V299" s="12">
        <f t="shared" si="51"/>
        <v>1.2166190157558709E-4</v>
      </c>
      <c r="W299" s="12">
        <f t="shared" si="52"/>
        <v>1.4569080080720553E-2</v>
      </c>
      <c r="X299" s="12">
        <f t="shared" si="53"/>
        <v>1.4279624893435594E-2</v>
      </c>
      <c r="Y299" s="12">
        <f t="shared" si="54"/>
        <v>1.1629033821107804E-3</v>
      </c>
    </row>
    <row r="300" spans="1:25" x14ac:dyDescent="0.35">
      <c r="A300" s="6">
        <v>44559</v>
      </c>
      <c r="B300" s="8">
        <v>4793.1000000000004</v>
      </c>
      <c r="C300" s="2">
        <v>179.38</v>
      </c>
      <c r="D300" s="2">
        <v>133.35</v>
      </c>
      <c r="E300" s="2">
        <v>341.95</v>
      </c>
      <c r="F300" s="2">
        <v>505.58</v>
      </c>
      <c r="G300" s="2">
        <v>171.55</v>
      </c>
      <c r="H300" s="2">
        <v>218.17</v>
      </c>
      <c r="I300" s="2">
        <v>163.83000000000001</v>
      </c>
      <c r="J300" s="2">
        <v>203.66</v>
      </c>
      <c r="K300" s="2">
        <v>47.57</v>
      </c>
      <c r="L300" s="2">
        <v>207.33</v>
      </c>
      <c r="M300" s="64" t="s">
        <v>77</v>
      </c>
      <c r="N300" s="1"/>
      <c r="O300" s="12">
        <f t="shared" si="44"/>
        <v>1.3997994317234141E-3</v>
      </c>
      <c r="P300" s="12">
        <f t="shared" si="45"/>
        <v>5.0198003234980249E-4</v>
      </c>
      <c r="Q300" s="12">
        <f t="shared" si="46"/>
        <v>5.4286360551911716E-3</v>
      </c>
      <c r="R300" s="12">
        <f t="shared" si="47"/>
        <v>2.0512820512819108E-3</v>
      </c>
      <c r="S300" s="12">
        <f t="shared" si="48"/>
        <v>5.2491350856960217E-3</v>
      </c>
      <c r="T300" s="12">
        <f t="shared" si="49"/>
        <v>7.0443205165835465E-3</v>
      </c>
      <c r="U300" s="12">
        <f t="shared" si="50"/>
        <v>5.5033249254754502E-4</v>
      </c>
      <c r="V300" s="12">
        <f t="shared" si="51"/>
        <v>-3.5277659509761472E-3</v>
      </c>
      <c r="W300" s="12">
        <f t="shared" si="52"/>
        <v>-1.1982729345558663E-2</v>
      </c>
      <c r="X300" s="12">
        <f t="shared" si="53"/>
        <v>-4.202563563774353E-4</v>
      </c>
      <c r="Y300" s="12">
        <f t="shared" si="54"/>
        <v>3.4362598006001388E-3</v>
      </c>
    </row>
    <row r="301" spans="1:25" x14ac:dyDescent="0.35">
      <c r="A301" s="6">
        <v>44560</v>
      </c>
      <c r="B301" s="8">
        <v>4778.7</v>
      </c>
      <c r="C301" s="2">
        <v>178.2</v>
      </c>
      <c r="D301" s="2">
        <v>133.91</v>
      </c>
      <c r="E301" s="2">
        <v>339.32</v>
      </c>
      <c r="F301" s="2">
        <v>504.43</v>
      </c>
      <c r="G301" s="2">
        <v>172.31</v>
      </c>
      <c r="H301" s="2">
        <v>217.87</v>
      </c>
      <c r="I301" s="2">
        <v>164.16</v>
      </c>
      <c r="J301" s="2">
        <v>202.71</v>
      </c>
      <c r="K301" s="2">
        <v>47.72</v>
      </c>
      <c r="L301" s="2">
        <v>206.08</v>
      </c>
      <c r="M301" s="64">
        <v>4.07</v>
      </c>
      <c r="N301" s="1"/>
      <c r="O301" s="12">
        <f t="shared" si="44"/>
        <v>-3.0043187081431055E-3</v>
      </c>
      <c r="P301" s="12">
        <f t="shared" si="45"/>
        <v>-6.5782138476976337E-3</v>
      </c>
      <c r="Q301" s="12">
        <f t="shared" si="46"/>
        <v>4.1994750656169089E-3</v>
      </c>
      <c r="R301" s="12">
        <f t="shared" si="47"/>
        <v>-7.6911829214797445E-3</v>
      </c>
      <c r="S301" s="12">
        <f t="shared" si="48"/>
        <v>-2.2746152933263986E-3</v>
      </c>
      <c r="T301" s="12">
        <f t="shared" si="49"/>
        <v>4.4301952783445397E-3</v>
      </c>
      <c r="U301" s="12">
        <f t="shared" si="50"/>
        <v>-1.3750744832010664E-3</v>
      </c>
      <c r="V301" s="12">
        <f t="shared" si="51"/>
        <v>2.0142830983336246E-3</v>
      </c>
      <c r="W301" s="12">
        <f t="shared" si="52"/>
        <v>-4.6646371403318287E-3</v>
      </c>
      <c r="X301" s="12">
        <f t="shared" si="53"/>
        <v>3.1532478452807045E-3</v>
      </c>
      <c r="Y301" s="12">
        <f t="shared" si="54"/>
        <v>-6.0290358365889807E-3</v>
      </c>
    </row>
    <row r="302" spans="1:25" x14ac:dyDescent="0.35">
      <c r="A302" s="6">
        <v>44561</v>
      </c>
      <c r="B302" s="8">
        <v>4766.2</v>
      </c>
      <c r="C302" s="2">
        <v>177.57</v>
      </c>
      <c r="D302" s="2">
        <v>133.66</v>
      </c>
      <c r="E302" s="2">
        <v>336.32</v>
      </c>
      <c r="F302" s="2">
        <v>502.14</v>
      </c>
      <c r="G302" s="2">
        <v>171.07</v>
      </c>
      <c r="H302" s="2">
        <v>216.71</v>
      </c>
      <c r="I302" s="2">
        <v>163.6</v>
      </c>
      <c r="J302" s="2">
        <v>201.32</v>
      </c>
      <c r="K302" s="2">
        <v>48.23</v>
      </c>
      <c r="L302" s="2">
        <v>206.74</v>
      </c>
      <c r="M302" s="64" t="s">
        <v>77</v>
      </c>
      <c r="N302" s="1"/>
      <c r="O302" s="12">
        <f t="shared" si="44"/>
        <v>-2.6157741645217447E-3</v>
      </c>
      <c r="P302" s="12">
        <f t="shared" si="45"/>
        <v>-3.5353535353535026E-3</v>
      </c>
      <c r="Q302" s="12">
        <f t="shared" si="46"/>
        <v>-1.8669255470091795E-3</v>
      </c>
      <c r="R302" s="12">
        <f t="shared" si="47"/>
        <v>-8.8412118354356251E-3</v>
      </c>
      <c r="S302" s="12">
        <f t="shared" si="48"/>
        <v>-4.5397775707234356E-3</v>
      </c>
      <c r="T302" s="12">
        <f t="shared" si="49"/>
        <v>-7.1963321919795709E-3</v>
      </c>
      <c r="U302" s="12">
        <f t="shared" si="50"/>
        <v>-5.3242759443704601E-3</v>
      </c>
      <c r="V302" s="12">
        <f t="shared" si="51"/>
        <v>-3.4113060428849762E-3</v>
      </c>
      <c r="W302" s="12">
        <f t="shared" si="52"/>
        <v>-6.8570864782201424E-3</v>
      </c>
      <c r="X302" s="12">
        <f t="shared" si="53"/>
        <v>1.0687342833193503E-2</v>
      </c>
      <c r="Y302" s="12">
        <f t="shared" si="54"/>
        <v>3.2026397515527716E-3</v>
      </c>
    </row>
    <row r="303" spans="1:25" x14ac:dyDescent="0.35">
      <c r="A303" s="6">
        <v>44564</v>
      </c>
      <c r="B303" s="8">
        <v>4796.6000000000004</v>
      </c>
      <c r="C303" s="2">
        <v>182.01</v>
      </c>
      <c r="D303" s="2">
        <v>136.04</v>
      </c>
      <c r="E303" s="2">
        <v>334.75</v>
      </c>
      <c r="F303" s="2">
        <v>502.28</v>
      </c>
      <c r="G303" s="2">
        <v>171.54</v>
      </c>
      <c r="H303" s="2">
        <v>221.43</v>
      </c>
      <c r="I303" s="2">
        <v>168.21</v>
      </c>
      <c r="J303" s="2">
        <v>207.86</v>
      </c>
      <c r="K303" s="2">
        <v>48.22</v>
      </c>
      <c r="L303" s="2">
        <v>207</v>
      </c>
      <c r="M303" s="64" t="s">
        <v>77</v>
      </c>
      <c r="N303" s="1"/>
      <c r="O303" s="12">
        <f t="shared" si="44"/>
        <v>6.3782468213673393E-3</v>
      </c>
      <c r="P303" s="12">
        <f t="shared" si="45"/>
        <v>2.5004223686433402E-2</v>
      </c>
      <c r="Q303" s="12">
        <f t="shared" si="46"/>
        <v>1.7806374382762113E-2</v>
      </c>
      <c r="R303" s="12">
        <f t="shared" si="47"/>
        <v>-4.6681731684110606E-3</v>
      </c>
      <c r="S303" s="12">
        <f t="shared" si="48"/>
        <v>2.788067072927447E-4</v>
      </c>
      <c r="T303" s="12">
        <f t="shared" si="49"/>
        <v>2.7474133395686273E-3</v>
      </c>
      <c r="U303" s="12">
        <f t="shared" si="50"/>
        <v>2.1780259332748741E-2</v>
      </c>
      <c r="V303" s="12">
        <f t="shared" si="51"/>
        <v>2.8178484107579616E-2</v>
      </c>
      <c r="W303" s="12">
        <f t="shared" si="52"/>
        <v>3.2485595072521356E-2</v>
      </c>
      <c r="X303" s="12">
        <f t="shared" si="53"/>
        <v>-2.0733982998133449E-4</v>
      </c>
      <c r="Y303" s="12">
        <f t="shared" si="54"/>
        <v>1.2576182644867817E-3</v>
      </c>
    </row>
    <row r="304" spans="1:25" x14ac:dyDescent="0.35">
      <c r="A304" s="6">
        <v>44565</v>
      </c>
      <c r="B304" s="8">
        <v>4793.5</v>
      </c>
      <c r="C304" s="2">
        <v>179.7</v>
      </c>
      <c r="D304" s="2">
        <v>138.02000000000001</v>
      </c>
      <c r="E304" s="2">
        <v>329.01</v>
      </c>
      <c r="F304" s="2">
        <v>490.9</v>
      </c>
      <c r="G304" s="2">
        <v>171.08</v>
      </c>
      <c r="H304" s="2">
        <v>222.46</v>
      </c>
      <c r="I304" s="2">
        <v>173.61</v>
      </c>
      <c r="J304" s="2">
        <v>213.63</v>
      </c>
      <c r="K304" s="2">
        <v>47.33</v>
      </c>
      <c r="L304" s="2">
        <v>218.08</v>
      </c>
      <c r="M304" s="64" t="s">
        <v>77</v>
      </c>
      <c r="N304" s="1"/>
      <c r="O304" s="12">
        <f t="shared" si="44"/>
        <v>-6.4629112287872825E-4</v>
      </c>
      <c r="P304" s="12">
        <f t="shared" si="45"/>
        <v>-1.2691610351079574E-2</v>
      </c>
      <c r="Q304" s="12">
        <f t="shared" si="46"/>
        <v>1.4554542781535007E-2</v>
      </c>
      <c r="R304" s="12">
        <f t="shared" si="47"/>
        <v>-1.7147124719940288E-2</v>
      </c>
      <c r="S304" s="12">
        <f t="shared" si="48"/>
        <v>-2.2656685514055863E-2</v>
      </c>
      <c r="T304" s="12">
        <f t="shared" si="49"/>
        <v>-2.6815902996384366E-3</v>
      </c>
      <c r="U304" s="12">
        <f t="shared" si="50"/>
        <v>4.651582893013595E-3</v>
      </c>
      <c r="V304" s="12">
        <f t="shared" si="51"/>
        <v>3.2102728731942198E-2</v>
      </c>
      <c r="W304" s="12">
        <f t="shared" si="52"/>
        <v>2.7759068603868009E-2</v>
      </c>
      <c r="X304" s="12">
        <f t="shared" si="53"/>
        <v>-1.8457071754458765E-2</v>
      </c>
      <c r="Y304" s="12">
        <f t="shared" si="54"/>
        <v>5.3526570048309186E-2</v>
      </c>
    </row>
    <row r="305" spans="1:25" x14ac:dyDescent="0.35">
      <c r="A305" s="6">
        <v>44566</v>
      </c>
      <c r="B305" s="8">
        <v>4700.6000000000004</v>
      </c>
      <c r="C305" s="2">
        <v>174.92</v>
      </c>
      <c r="D305" s="2">
        <v>138.22</v>
      </c>
      <c r="E305" s="2">
        <v>316.38</v>
      </c>
      <c r="F305" s="2">
        <v>489.69</v>
      </c>
      <c r="G305" s="2">
        <v>172.22</v>
      </c>
      <c r="H305" s="2">
        <v>220</v>
      </c>
      <c r="I305" s="2">
        <v>171.76</v>
      </c>
      <c r="J305" s="2">
        <v>213.07</v>
      </c>
      <c r="K305" s="2">
        <v>47.97</v>
      </c>
      <c r="L305" s="2">
        <v>219.75</v>
      </c>
      <c r="M305" s="64" t="s">
        <v>77</v>
      </c>
      <c r="N305" s="1"/>
      <c r="O305" s="12">
        <f t="shared" si="44"/>
        <v>-1.9380410973192763E-2</v>
      </c>
      <c r="P305" s="12">
        <f t="shared" si="45"/>
        <v>-2.6599888703394581E-2</v>
      </c>
      <c r="Q305" s="12">
        <f t="shared" si="46"/>
        <v>1.4490653528473896E-3</v>
      </c>
      <c r="R305" s="12">
        <f t="shared" si="47"/>
        <v>-3.8387890945563941E-2</v>
      </c>
      <c r="S305" s="12">
        <f t="shared" si="48"/>
        <v>-2.4648604603788593E-3</v>
      </c>
      <c r="T305" s="12">
        <f t="shared" si="49"/>
        <v>6.6635492167406163E-3</v>
      </c>
      <c r="U305" s="12">
        <f t="shared" si="50"/>
        <v>-1.1058167760496285E-2</v>
      </c>
      <c r="V305" s="12">
        <f t="shared" si="51"/>
        <v>-1.0656068198836577E-2</v>
      </c>
      <c r="W305" s="12">
        <f t="shared" si="52"/>
        <v>-2.6213546786499897E-3</v>
      </c>
      <c r="X305" s="12">
        <f t="shared" si="53"/>
        <v>1.3522079019649302E-2</v>
      </c>
      <c r="Y305" s="12">
        <f t="shared" si="54"/>
        <v>7.6577402787967319E-3</v>
      </c>
    </row>
    <row r="306" spans="1:25" x14ac:dyDescent="0.35">
      <c r="A306" s="6">
        <v>44567</v>
      </c>
      <c r="B306" s="8">
        <v>4696.1000000000004</v>
      </c>
      <c r="C306" s="2">
        <v>172</v>
      </c>
      <c r="D306" s="2">
        <v>135.34</v>
      </c>
      <c r="E306" s="2">
        <v>313.88</v>
      </c>
      <c r="F306" s="2">
        <v>469.65</v>
      </c>
      <c r="G306" s="2">
        <v>171.63</v>
      </c>
      <c r="H306" s="2">
        <v>219.75</v>
      </c>
      <c r="I306" s="2">
        <v>172.9</v>
      </c>
      <c r="J306" s="2">
        <v>211.34</v>
      </c>
      <c r="K306" s="2">
        <v>47.84</v>
      </c>
      <c r="L306" s="2">
        <v>221.99</v>
      </c>
      <c r="M306" s="64">
        <v>4.0599999999999996</v>
      </c>
      <c r="N306" s="1"/>
      <c r="O306" s="12">
        <f t="shared" si="44"/>
        <v>-9.5732459685993199E-4</v>
      </c>
      <c r="P306" s="12">
        <f t="shared" si="45"/>
        <v>-1.669334552938484E-2</v>
      </c>
      <c r="Q306" s="12">
        <f t="shared" si="46"/>
        <v>-2.0836347851251547E-2</v>
      </c>
      <c r="R306" s="12">
        <f t="shared" si="47"/>
        <v>-7.9018901321196156E-3</v>
      </c>
      <c r="S306" s="12">
        <f t="shared" si="48"/>
        <v>-4.0923849782515509E-2</v>
      </c>
      <c r="T306" s="12">
        <f t="shared" si="49"/>
        <v>-3.4258506561375413E-3</v>
      </c>
      <c r="U306" s="12">
        <f t="shared" si="50"/>
        <v>-1.136363636363602E-3</v>
      </c>
      <c r="V306" s="12">
        <f t="shared" si="51"/>
        <v>6.6371681415930972E-3</v>
      </c>
      <c r="W306" s="12">
        <f t="shared" si="52"/>
        <v>-8.1193973811423126E-3</v>
      </c>
      <c r="X306" s="12">
        <f t="shared" si="53"/>
        <v>-2.7100271002709064E-3</v>
      </c>
      <c r="Y306" s="12">
        <f t="shared" si="54"/>
        <v>1.0193401592718976E-2</v>
      </c>
    </row>
    <row r="307" spans="1:25" x14ac:dyDescent="0.35">
      <c r="A307" s="6">
        <v>44568</v>
      </c>
      <c r="B307" s="8">
        <v>4677</v>
      </c>
      <c r="C307" s="2">
        <v>172.17</v>
      </c>
      <c r="D307" s="2">
        <v>134.83000000000001</v>
      </c>
      <c r="E307" s="2">
        <v>314.04000000000002</v>
      </c>
      <c r="F307" s="2">
        <v>458.6</v>
      </c>
      <c r="G307" s="2">
        <v>173.95</v>
      </c>
      <c r="H307" s="2">
        <v>216.96</v>
      </c>
      <c r="I307" s="2">
        <v>174.38</v>
      </c>
      <c r="J307" s="2">
        <v>215.5</v>
      </c>
      <c r="K307" s="2">
        <v>48.3</v>
      </c>
      <c r="L307" s="2">
        <v>224.19</v>
      </c>
      <c r="M307" s="64" t="s">
        <v>77</v>
      </c>
      <c r="N307" s="1"/>
      <c r="O307" s="12">
        <f t="shared" si="44"/>
        <v>-4.0672047017739077E-3</v>
      </c>
      <c r="P307" s="12">
        <f t="shared" si="45"/>
        <v>9.8837209302327089E-4</v>
      </c>
      <c r="Q307" s="12">
        <f t="shared" si="46"/>
        <v>-3.7682872764888131E-3</v>
      </c>
      <c r="R307" s="12">
        <f t="shared" si="47"/>
        <v>5.0974894864297404E-4</v>
      </c>
      <c r="S307" s="12">
        <f t="shared" si="48"/>
        <v>-2.3528159267539595E-2</v>
      </c>
      <c r="T307" s="12">
        <f t="shared" si="49"/>
        <v>1.3517450329196379E-2</v>
      </c>
      <c r="U307" s="12">
        <f t="shared" si="50"/>
        <v>-1.2696245733788358E-2</v>
      </c>
      <c r="V307" s="12">
        <f t="shared" si="51"/>
        <v>8.5598611914401435E-3</v>
      </c>
      <c r="W307" s="12">
        <f t="shared" si="52"/>
        <v>1.9683921642850377E-2</v>
      </c>
      <c r="X307" s="12">
        <f t="shared" si="53"/>
        <v>9.6153846153845812E-3</v>
      </c>
      <c r="Y307" s="12">
        <f t="shared" si="54"/>
        <v>9.910356322356817E-3</v>
      </c>
    </row>
    <row r="308" spans="1:25" x14ac:dyDescent="0.35">
      <c r="A308" s="6">
        <v>44571</v>
      </c>
      <c r="B308" s="8">
        <v>4670.3</v>
      </c>
      <c r="C308" s="2">
        <v>172.19</v>
      </c>
      <c r="D308" s="2">
        <v>135.03</v>
      </c>
      <c r="E308" s="2">
        <v>314.27</v>
      </c>
      <c r="F308" s="2">
        <v>465</v>
      </c>
      <c r="G308" s="2">
        <v>173.09</v>
      </c>
      <c r="H308" s="2">
        <v>211.97</v>
      </c>
      <c r="I308" s="2">
        <v>173.74</v>
      </c>
      <c r="J308" s="2">
        <v>209.31</v>
      </c>
      <c r="K308" s="2">
        <v>48.2</v>
      </c>
      <c r="L308" s="2">
        <v>221.64</v>
      </c>
      <c r="M308" s="64" t="s">
        <v>77</v>
      </c>
      <c r="N308" s="1"/>
      <c r="O308" s="12">
        <f t="shared" si="44"/>
        <v>-1.4325422279238831E-3</v>
      </c>
      <c r="P308" s="12">
        <f t="shared" si="45"/>
        <v>1.1616425625837756E-4</v>
      </c>
      <c r="Q308" s="12">
        <f t="shared" si="46"/>
        <v>1.4833494029518057E-3</v>
      </c>
      <c r="R308" s="12">
        <f t="shared" si="47"/>
        <v>7.3239077824460708E-4</v>
      </c>
      <c r="S308" s="12">
        <f t="shared" si="48"/>
        <v>1.3955516790230993E-2</v>
      </c>
      <c r="T308" s="12">
        <f t="shared" si="49"/>
        <v>-4.9439494107501591E-3</v>
      </c>
      <c r="U308" s="12">
        <f t="shared" si="50"/>
        <v>-2.2999631268436627E-2</v>
      </c>
      <c r="V308" s="12">
        <f t="shared" si="51"/>
        <v>-3.6701456589057768E-3</v>
      </c>
      <c r="W308" s="12">
        <f t="shared" si="52"/>
        <v>-2.8723897911832941E-2</v>
      </c>
      <c r="X308" s="12">
        <f t="shared" si="53"/>
        <v>-2.0703933747411307E-3</v>
      </c>
      <c r="Y308" s="12">
        <f t="shared" si="54"/>
        <v>-1.1374280744011811E-2</v>
      </c>
    </row>
    <row r="309" spans="1:25" x14ac:dyDescent="0.35">
      <c r="A309" s="6">
        <v>44572</v>
      </c>
      <c r="B309" s="8">
        <v>4713.1000000000004</v>
      </c>
      <c r="C309" s="2">
        <v>175.08</v>
      </c>
      <c r="D309" s="2">
        <v>132.87</v>
      </c>
      <c r="E309" s="2">
        <v>314.98</v>
      </c>
      <c r="F309" s="2">
        <v>469</v>
      </c>
      <c r="G309" s="2">
        <v>171.25</v>
      </c>
      <c r="H309" s="2">
        <v>214.38</v>
      </c>
      <c r="I309" s="2">
        <v>175.38</v>
      </c>
      <c r="J309" s="2">
        <v>216.02</v>
      </c>
      <c r="K309" s="2">
        <v>48.07</v>
      </c>
      <c r="L309" s="2">
        <v>219.95</v>
      </c>
      <c r="M309" s="64" t="s">
        <v>77</v>
      </c>
      <c r="N309" s="1"/>
      <c r="O309" s="12">
        <f t="shared" si="44"/>
        <v>9.1642935143352311E-3</v>
      </c>
      <c r="P309" s="12">
        <f t="shared" si="45"/>
        <v>1.6783785353388758E-2</v>
      </c>
      <c r="Q309" s="12">
        <f t="shared" si="46"/>
        <v>-1.5996445234392365E-2</v>
      </c>
      <c r="R309" s="12">
        <f t="shared" si="47"/>
        <v>2.2592038692845762E-3</v>
      </c>
      <c r="S309" s="12">
        <f t="shared" si="48"/>
        <v>8.6021505376343566E-3</v>
      </c>
      <c r="T309" s="12">
        <f t="shared" si="49"/>
        <v>-1.0630307932289584E-2</v>
      </c>
      <c r="U309" s="12">
        <f t="shared" si="50"/>
        <v>1.1369533424541167E-2</v>
      </c>
      <c r="V309" s="12">
        <f t="shared" si="51"/>
        <v>9.4393921952342641E-3</v>
      </c>
      <c r="W309" s="12">
        <f t="shared" si="52"/>
        <v>3.2057713439396229E-2</v>
      </c>
      <c r="X309" s="12">
        <f t="shared" si="53"/>
        <v>-2.6970954356847487E-3</v>
      </c>
      <c r="Y309" s="12">
        <f t="shared" si="54"/>
        <v>-7.6249774408951865E-3</v>
      </c>
    </row>
    <row r="310" spans="1:25" x14ac:dyDescent="0.35">
      <c r="A310" s="6">
        <v>44573</v>
      </c>
      <c r="B310" s="8">
        <v>4726.3999999999996</v>
      </c>
      <c r="C310" s="2">
        <v>175.53</v>
      </c>
      <c r="D310" s="2">
        <v>133.59</v>
      </c>
      <c r="E310" s="2">
        <v>318.27</v>
      </c>
      <c r="F310" s="2">
        <v>473.72</v>
      </c>
      <c r="G310" s="2">
        <v>169.79</v>
      </c>
      <c r="H310" s="2">
        <v>215.71</v>
      </c>
      <c r="I310" s="2">
        <v>174.47</v>
      </c>
      <c r="J310" s="2">
        <v>217.45</v>
      </c>
      <c r="K310" s="2">
        <v>47.81</v>
      </c>
      <c r="L310" s="2">
        <v>222.4</v>
      </c>
      <c r="M310" s="64" t="s">
        <v>77</v>
      </c>
      <c r="N310" s="1"/>
      <c r="O310" s="12">
        <f t="shared" si="44"/>
        <v>2.8219218773204435E-3</v>
      </c>
      <c r="P310" s="12">
        <f t="shared" si="45"/>
        <v>2.5702535983549435E-3</v>
      </c>
      <c r="Q310" s="12">
        <f t="shared" si="46"/>
        <v>5.4188304357642991E-3</v>
      </c>
      <c r="R310" s="12">
        <f t="shared" si="47"/>
        <v>1.0445107625880912E-2</v>
      </c>
      <c r="S310" s="12">
        <f t="shared" si="48"/>
        <v>1.0063965884861359E-2</v>
      </c>
      <c r="T310" s="12">
        <f t="shared" si="49"/>
        <v>-8.5255474452554658E-3</v>
      </c>
      <c r="U310" s="12">
        <f t="shared" si="50"/>
        <v>6.2039369344155659E-3</v>
      </c>
      <c r="V310" s="12">
        <f t="shared" si="51"/>
        <v>-5.1887330368343143E-3</v>
      </c>
      <c r="W310" s="12">
        <f t="shared" si="52"/>
        <v>6.6197574298674233E-3</v>
      </c>
      <c r="X310" s="12">
        <f t="shared" si="53"/>
        <v>-5.4087788641563606E-3</v>
      </c>
      <c r="Y310" s="12">
        <f t="shared" si="54"/>
        <v>1.1138895203455457E-2</v>
      </c>
    </row>
    <row r="311" spans="1:25" x14ac:dyDescent="0.35">
      <c r="A311" s="6">
        <v>44574</v>
      </c>
      <c r="B311" s="8">
        <v>4659</v>
      </c>
      <c r="C311" s="2">
        <v>172.19</v>
      </c>
      <c r="D311" s="2">
        <v>134.76</v>
      </c>
      <c r="E311" s="2">
        <v>304.8</v>
      </c>
      <c r="F311" s="2">
        <v>467.43</v>
      </c>
      <c r="G311" s="2">
        <v>168.76</v>
      </c>
      <c r="H311" s="2">
        <v>215</v>
      </c>
      <c r="I311" s="2">
        <v>173.29</v>
      </c>
      <c r="J311" s="2">
        <v>223.9</v>
      </c>
      <c r="K311" s="2">
        <v>48.49</v>
      </c>
      <c r="L311" s="2">
        <v>227</v>
      </c>
      <c r="M311" s="64">
        <v>4.05</v>
      </c>
      <c r="N311" s="1"/>
      <c r="O311" s="12">
        <f t="shared" si="44"/>
        <v>-1.4260324983073724E-2</v>
      </c>
      <c r="P311" s="12">
        <f t="shared" si="45"/>
        <v>-1.9028086367002817E-2</v>
      </c>
      <c r="Q311" s="12">
        <f t="shared" si="46"/>
        <v>8.7581405793846212E-3</v>
      </c>
      <c r="R311" s="12">
        <f t="shared" si="47"/>
        <v>-4.2322556320105509E-2</v>
      </c>
      <c r="S311" s="12">
        <f t="shared" si="48"/>
        <v>-1.3277885670860412E-2</v>
      </c>
      <c r="T311" s="12">
        <f t="shared" si="49"/>
        <v>-6.0663172153837541E-3</v>
      </c>
      <c r="U311" s="12">
        <f t="shared" si="50"/>
        <v>-3.2914561216448313E-3</v>
      </c>
      <c r="V311" s="12">
        <f t="shared" si="51"/>
        <v>-6.763340402361484E-3</v>
      </c>
      <c r="W311" s="12">
        <f t="shared" si="52"/>
        <v>2.9661991262359244E-2</v>
      </c>
      <c r="X311" s="12">
        <f t="shared" si="53"/>
        <v>1.4222965906714125E-2</v>
      </c>
      <c r="Y311" s="12">
        <f t="shared" si="54"/>
        <v>2.0683453237410054E-2</v>
      </c>
    </row>
    <row r="312" spans="1:25" x14ac:dyDescent="0.35">
      <c r="A312" s="6">
        <v>44575</v>
      </c>
      <c r="B312" s="8">
        <v>4662.8999999999996</v>
      </c>
      <c r="C312" s="2">
        <v>173.07</v>
      </c>
      <c r="D312" s="2">
        <v>134.21</v>
      </c>
      <c r="E312" s="2">
        <v>310.2</v>
      </c>
      <c r="F312" s="2">
        <v>468.69</v>
      </c>
      <c r="G312" s="2">
        <v>167.84</v>
      </c>
      <c r="H312" s="2">
        <v>214.67</v>
      </c>
      <c r="I312" s="2">
        <v>168.4</v>
      </c>
      <c r="J312" s="2">
        <v>225.96</v>
      </c>
      <c r="K312" s="2">
        <v>48.35</v>
      </c>
      <c r="L312" s="2">
        <v>228.94</v>
      </c>
      <c r="M312" s="64" t="s">
        <v>77</v>
      </c>
      <c r="N312" s="1"/>
      <c r="O312" s="12">
        <f t="shared" si="44"/>
        <v>8.370895041853732E-4</v>
      </c>
      <c r="P312" s="12">
        <f t="shared" si="45"/>
        <v>5.110633602415815E-3</v>
      </c>
      <c r="Q312" s="12">
        <f t="shared" si="46"/>
        <v>-4.0813297714453745E-3</v>
      </c>
      <c r="R312" s="12">
        <f t="shared" si="47"/>
        <v>1.7716535433070835E-2</v>
      </c>
      <c r="S312" s="12">
        <f t="shared" si="48"/>
        <v>2.6955907836467841E-3</v>
      </c>
      <c r="T312" s="12">
        <f t="shared" si="49"/>
        <v>-5.4515287982933591E-3</v>
      </c>
      <c r="U312" s="12">
        <f t="shared" si="50"/>
        <v>-1.5348837209302468E-3</v>
      </c>
      <c r="V312" s="12">
        <f t="shared" si="51"/>
        <v>-2.8218593109815893E-2</v>
      </c>
      <c r="W312" s="12">
        <f t="shared" si="52"/>
        <v>9.200535953550748E-3</v>
      </c>
      <c r="X312" s="12">
        <f t="shared" si="53"/>
        <v>-2.8871932357187324E-3</v>
      </c>
      <c r="Y312" s="12">
        <f t="shared" si="54"/>
        <v>8.5462555066078139E-3</v>
      </c>
    </row>
    <row r="313" spans="1:25" x14ac:dyDescent="0.35">
      <c r="A313" s="6">
        <v>44579</v>
      </c>
      <c r="B313" s="8">
        <v>4577.1000000000004</v>
      </c>
      <c r="C313" s="2">
        <v>169.8</v>
      </c>
      <c r="D313" s="2">
        <v>132.94</v>
      </c>
      <c r="E313" s="2">
        <v>302.64999999999998</v>
      </c>
      <c r="F313" s="2">
        <v>460.99</v>
      </c>
      <c r="G313" s="2">
        <v>167.1</v>
      </c>
      <c r="H313" s="2">
        <v>215.71</v>
      </c>
      <c r="I313" s="2">
        <v>166.17</v>
      </c>
      <c r="J313" s="2">
        <v>225.01</v>
      </c>
      <c r="K313" s="2">
        <v>47.51</v>
      </c>
      <c r="L313" s="2">
        <v>229.87</v>
      </c>
      <c r="M313" s="64" t="s">
        <v>77</v>
      </c>
      <c r="N313" s="1"/>
      <c r="O313" s="12">
        <f t="shared" si="44"/>
        <v>-1.8400566171266619E-2</v>
      </c>
      <c r="P313" s="12">
        <f t="shared" si="45"/>
        <v>-1.889408909689716E-2</v>
      </c>
      <c r="Q313" s="12">
        <f t="shared" si="46"/>
        <v>-9.462782206989151E-3</v>
      </c>
      <c r="R313" s="12">
        <f t="shared" si="47"/>
        <v>-2.4339136041263698E-2</v>
      </c>
      <c r="S313" s="12">
        <f t="shared" si="48"/>
        <v>-1.6428769549168942E-2</v>
      </c>
      <c r="T313" s="12">
        <f t="shared" si="49"/>
        <v>-4.4089609151573006E-3</v>
      </c>
      <c r="U313" s="12">
        <f t="shared" si="50"/>
        <v>4.8446452694834718E-3</v>
      </c>
      <c r="V313" s="12">
        <f t="shared" si="51"/>
        <v>-1.3242280285035712E-2</v>
      </c>
      <c r="W313" s="12">
        <f t="shared" si="52"/>
        <v>-4.2042839440609159E-3</v>
      </c>
      <c r="X313" s="12">
        <f t="shared" si="53"/>
        <v>-1.7373319544984556E-2</v>
      </c>
      <c r="Y313" s="12">
        <f t="shared" si="54"/>
        <v>4.0621997029790524E-3</v>
      </c>
    </row>
    <row r="314" spans="1:25" x14ac:dyDescent="0.35">
      <c r="A314" s="6">
        <v>44580</v>
      </c>
      <c r="B314" s="8">
        <v>4532.8</v>
      </c>
      <c r="C314" s="2">
        <v>166.23</v>
      </c>
      <c r="D314" s="2">
        <v>131.58000000000001</v>
      </c>
      <c r="E314" s="2">
        <v>303.33</v>
      </c>
      <c r="F314" s="2">
        <v>462.52</v>
      </c>
      <c r="G314" s="2">
        <v>166.58</v>
      </c>
      <c r="H314" s="2">
        <v>214.68</v>
      </c>
      <c r="I314" s="2">
        <v>161.38999999999999</v>
      </c>
      <c r="J314" s="2">
        <v>217.08</v>
      </c>
      <c r="K314" s="2">
        <v>47.98</v>
      </c>
      <c r="L314" s="2">
        <v>221.66</v>
      </c>
      <c r="M314" s="64" t="s">
        <v>77</v>
      </c>
      <c r="N314" s="1"/>
      <c r="O314" s="12">
        <f t="shared" si="44"/>
        <v>-9.6786174652072621E-3</v>
      </c>
      <c r="P314" s="12">
        <f t="shared" si="45"/>
        <v>-2.102473498233226E-2</v>
      </c>
      <c r="Q314" s="12">
        <f t="shared" si="46"/>
        <v>-1.0230179028132835E-2</v>
      </c>
      <c r="R314" s="12">
        <f t="shared" si="47"/>
        <v>2.2468197587972583E-3</v>
      </c>
      <c r="S314" s="12">
        <f t="shared" si="48"/>
        <v>3.3189440118006619E-3</v>
      </c>
      <c r="T314" s="12">
        <f t="shared" si="49"/>
        <v>-3.111909036504934E-3</v>
      </c>
      <c r="U314" s="12">
        <f t="shared" si="50"/>
        <v>-4.7749293032312012E-3</v>
      </c>
      <c r="V314" s="12">
        <f t="shared" si="51"/>
        <v>-2.8765721851116366E-2</v>
      </c>
      <c r="W314" s="12">
        <f t="shared" si="52"/>
        <v>-3.5242878094306818E-2</v>
      </c>
      <c r="X314" s="12">
        <f t="shared" si="53"/>
        <v>9.892654178067728E-3</v>
      </c>
      <c r="Y314" s="12">
        <f t="shared" si="54"/>
        <v>-3.5715839387479908E-2</v>
      </c>
    </row>
    <row r="315" spans="1:25" x14ac:dyDescent="0.35">
      <c r="A315" s="6">
        <v>44581</v>
      </c>
      <c r="B315" s="8">
        <v>4482.7</v>
      </c>
      <c r="C315" s="2">
        <v>164.51</v>
      </c>
      <c r="D315" s="2">
        <v>130.82</v>
      </c>
      <c r="E315" s="2">
        <v>301.60000000000002</v>
      </c>
      <c r="F315" s="2">
        <v>463</v>
      </c>
      <c r="G315" s="2">
        <v>165.25</v>
      </c>
      <c r="H315" s="2">
        <v>214.35</v>
      </c>
      <c r="I315" s="2">
        <v>160.91999999999999</v>
      </c>
      <c r="J315" s="2">
        <v>214.19</v>
      </c>
      <c r="K315" s="2">
        <v>47.07</v>
      </c>
      <c r="L315" s="2">
        <v>216.63</v>
      </c>
      <c r="M315" s="64" t="s">
        <v>77</v>
      </c>
      <c r="N315" s="1"/>
      <c r="O315" s="12">
        <f t="shared" si="44"/>
        <v>-1.1052770914225296E-2</v>
      </c>
      <c r="P315" s="12">
        <f t="shared" si="45"/>
        <v>-1.034710942669792E-2</v>
      </c>
      <c r="Q315" s="12">
        <f t="shared" si="46"/>
        <v>-5.7759537923698367E-3</v>
      </c>
      <c r="R315" s="12">
        <f t="shared" si="47"/>
        <v>-5.7033593775754898E-3</v>
      </c>
      <c r="S315" s="12">
        <f t="shared" si="48"/>
        <v>1.0377929603044844E-3</v>
      </c>
      <c r="T315" s="12">
        <f t="shared" si="49"/>
        <v>-7.9841517589147593E-3</v>
      </c>
      <c r="U315" s="12">
        <f t="shared" si="50"/>
        <v>-1.5371716042482664E-3</v>
      </c>
      <c r="V315" s="12">
        <f t="shared" si="51"/>
        <v>-2.912200260239195E-3</v>
      </c>
      <c r="W315" s="12">
        <f t="shared" si="52"/>
        <v>-1.3313064308089206E-2</v>
      </c>
      <c r="X315" s="12">
        <f t="shared" si="53"/>
        <v>-1.8966235931638153E-2</v>
      </c>
      <c r="Y315" s="12">
        <f t="shared" si="54"/>
        <v>-2.2692411801858658E-2</v>
      </c>
    </row>
    <row r="316" spans="1:25" x14ac:dyDescent="0.35">
      <c r="A316" s="6">
        <v>44582</v>
      </c>
      <c r="B316" s="8">
        <v>4397.8999999999996</v>
      </c>
      <c r="C316" s="2">
        <v>162.41</v>
      </c>
      <c r="D316" s="2">
        <v>129.35</v>
      </c>
      <c r="E316" s="2">
        <v>296.02999999999997</v>
      </c>
      <c r="F316" s="2">
        <v>461.17</v>
      </c>
      <c r="G316" s="2">
        <v>164.87</v>
      </c>
      <c r="H316" s="2">
        <v>205.93</v>
      </c>
      <c r="I316" s="2">
        <v>158.74</v>
      </c>
      <c r="J316" s="2">
        <v>205.44</v>
      </c>
      <c r="K316" s="2">
        <v>46.73</v>
      </c>
      <c r="L316" s="2">
        <v>214.09</v>
      </c>
      <c r="M316" s="64">
        <v>4.07</v>
      </c>
      <c r="N316" s="1"/>
      <c r="O316" s="12">
        <f t="shared" si="44"/>
        <v>-1.8917170455305943E-2</v>
      </c>
      <c r="P316" s="12">
        <f t="shared" si="45"/>
        <v>-1.2765181447936258E-2</v>
      </c>
      <c r="Q316" s="12">
        <f t="shared" si="46"/>
        <v>-1.1236813942822166E-2</v>
      </c>
      <c r="R316" s="12">
        <f t="shared" si="47"/>
        <v>-1.8468169761273412E-2</v>
      </c>
      <c r="S316" s="12">
        <f t="shared" si="48"/>
        <v>-3.9524838012958696E-3</v>
      </c>
      <c r="T316" s="12">
        <f t="shared" si="49"/>
        <v>-2.2995461422087304E-3</v>
      </c>
      <c r="U316" s="12">
        <f t="shared" si="50"/>
        <v>-3.9281548868672633E-2</v>
      </c>
      <c r="V316" s="12">
        <f t="shared" si="51"/>
        <v>-1.3547104151130918E-2</v>
      </c>
      <c r="W316" s="12">
        <f t="shared" si="52"/>
        <v>-4.0851580372566421E-2</v>
      </c>
      <c r="X316" s="12">
        <f t="shared" si="53"/>
        <v>-7.2232844699384735E-3</v>
      </c>
      <c r="Y316" s="12">
        <f t="shared" si="54"/>
        <v>-1.1725061164197026E-2</v>
      </c>
    </row>
    <row r="317" spans="1:25" x14ac:dyDescent="0.35">
      <c r="A317" s="6">
        <v>44585</v>
      </c>
      <c r="B317" s="8">
        <v>4410.1000000000004</v>
      </c>
      <c r="C317" s="2">
        <v>161.62</v>
      </c>
      <c r="D317" s="2">
        <v>128.82</v>
      </c>
      <c r="E317" s="2">
        <v>296.37</v>
      </c>
      <c r="F317" s="2">
        <v>462.27</v>
      </c>
      <c r="G317" s="2">
        <v>162.97</v>
      </c>
      <c r="H317" s="2">
        <v>201.85</v>
      </c>
      <c r="I317" s="2">
        <v>158.93</v>
      </c>
      <c r="J317" s="2">
        <v>204.2</v>
      </c>
      <c r="K317" s="2">
        <v>46.73</v>
      </c>
      <c r="L317" s="2">
        <v>214.33</v>
      </c>
      <c r="M317" s="64" t="s">
        <v>77</v>
      </c>
      <c r="N317" s="1"/>
      <c r="O317" s="12">
        <f t="shared" si="44"/>
        <v>2.7740512517340221E-3</v>
      </c>
      <c r="P317" s="12">
        <f t="shared" si="45"/>
        <v>-4.8642324979988327E-3</v>
      </c>
      <c r="Q317" s="12">
        <f t="shared" si="46"/>
        <v>-4.0974101275609298E-3</v>
      </c>
      <c r="R317" s="12">
        <f t="shared" si="47"/>
        <v>1.1485322433537615E-3</v>
      </c>
      <c r="S317" s="12">
        <f t="shared" si="48"/>
        <v>2.3852375479758159E-3</v>
      </c>
      <c r="T317" s="12">
        <f t="shared" si="49"/>
        <v>-1.1524231212470482E-2</v>
      </c>
      <c r="U317" s="12">
        <f t="shared" si="50"/>
        <v>-1.981255766522616E-2</v>
      </c>
      <c r="V317" s="12">
        <f t="shared" si="51"/>
        <v>1.1969257906010444E-3</v>
      </c>
      <c r="W317" s="12">
        <f t="shared" si="52"/>
        <v>-6.0358255451713472E-3</v>
      </c>
      <c r="X317" s="12">
        <f t="shared" si="53"/>
        <v>0</v>
      </c>
      <c r="Y317" s="12">
        <f t="shared" si="54"/>
        <v>1.1210238684666862E-3</v>
      </c>
    </row>
    <row r="318" spans="1:25" x14ac:dyDescent="0.35">
      <c r="A318" s="6">
        <v>44586</v>
      </c>
      <c r="B318" s="8">
        <v>4356.3999999999996</v>
      </c>
      <c r="C318" s="2">
        <v>159.78</v>
      </c>
      <c r="D318" s="2">
        <v>136.1</v>
      </c>
      <c r="E318" s="2">
        <v>288.49</v>
      </c>
      <c r="F318" s="2">
        <v>456.84</v>
      </c>
      <c r="G318" s="2">
        <v>167.63</v>
      </c>
      <c r="H318" s="2">
        <v>202</v>
      </c>
      <c r="I318" s="2">
        <v>173.11</v>
      </c>
      <c r="J318" s="2">
        <v>204.1</v>
      </c>
      <c r="K318" s="2">
        <v>45.72</v>
      </c>
      <c r="L318" s="2">
        <v>214.31</v>
      </c>
      <c r="M318" s="64" t="s">
        <v>77</v>
      </c>
      <c r="N318" s="1"/>
      <c r="O318" s="12">
        <f t="shared" si="44"/>
        <v>-1.2176594635042504E-2</v>
      </c>
      <c r="P318" s="12">
        <f t="shared" si="45"/>
        <v>-1.1384729612671673E-2</v>
      </c>
      <c r="Q318" s="12">
        <f t="shared" si="46"/>
        <v>5.6512963825492868E-2</v>
      </c>
      <c r="R318" s="12">
        <f t="shared" si="47"/>
        <v>-2.6588386138947873E-2</v>
      </c>
      <c r="S318" s="12">
        <f t="shared" si="48"/>
        <v>-1.1746381984554466E-2</v>
      </c>
      <c r="T318" s="12">
        <f t="shared" si="49"/>
        <v>2.8594219795054387E-2</v>
      </c>
      <c r="U318" s="12">
        <f t="shared" si="50"/>
        <v>7.4312608372562039E-4</v>
      </c>
      <c r="V318" s="12">
        <f t="shared" si="51"/>
        <v>8.9221669917573854E-2</v>
      </c>
      <c r="W318" s="12">
        <f t="shared" si="52"/>
        <v>-4.8971596474045587E-4</v>
      </c>
      <c r="X318" s="12">
        <f t="shared" si="53"/>
        <v>-2.1613524502460901E-2</v>
      </c>
      <c r="Y318" s="12">
        <f t="shared" si="54"/>
        <v>-9.3314048430048757E-5</v>
      </c>
    </row>
    <row r="319" spans="1:25" x14ac:dyDescent="0.35">
      <c r="A319" s="6">
        <v>44587</v>
      </c>
      <c r="B319" s="8">
        <v>4349.8999999999996</v>
      </c>
      <c r="C319" s="2">
        <v>159.69</v>
      </c>
      <c r="D319" s="2">
        <v>134.26</v>
      </c>
      <c r="E319" s="2">
        <v>296.70999999999998</v>
      </c>
      <c r="F319" s="2">
        <v>458.43</v>
      </c>
      <c r="G319" s="2">
        <v>168.38</v>
      </c>
      <c r="H319" s="2">
        <v>205.87</v>
      </c>
      <c r="I319" s="2">
        <v>175.32</v>
      </c>
      <c r="J319" s="2">
        <v>194.27</v>
      </c>
      <c r="K319" s="2">
        <v>45.25</v>
      </c>
      <c r="L319" s="2">
        <v>214.29</v>
      </c>
      <c r="M319" s="64" t="s">
        <v>77</v>
      </c>
      <c r="N319" s="1"/>
      <c r="O319" s="12">
        <f t="shared" si="44"/>
        <v>-1.4920576622899917E-3</v>
      </c>
      <c r="P319" s="12">
        <f t="shared" si="45"/>
        <v>-5.6327450244086918E-4</v>
      </c>
      <c r="Q319" s="12">
        <f t="shared" si="46"/>
        <v>-1.3519470977222614E-2</v>
      </c>
      <c r="R319" s="12">
        <f t="shared" si="47"/>
        <v>2.8493188672050973E-2</v>
      </c>
      <c r="S319" s="12">
        <f t="shared" si="48"/>
        <v>3.4804307853955052E-3</v>
      </c>
      <c r="T319" s="12">
        <f t="shared" si="49"/>
        <v>4.4741394738412321E-3</v>
      </c>
      <c r="U319" s="12">
        <f t="shared" si="50"/>
        <v>1.9158415841584286E-2</v>
      </c>
      <c r="V319" s="12">
        <f t="shared" si="51"/>
        <v>1.2766449078620346E-2</v>
      </c>
      <c r="W319" s="12">
        <f t="shared" si="52"/>
        <v>-4.8162665360117485E-2</v>
      </c>
      <c r="X319" s="12">
        <f t="shared" si="53"/>
        <v>-1.0279965004374447E-2</v>
      </c>
      <c r="Y319" s="12">
        <f t="shared" si="54"/>
        <v>-9.3322756754332659E-5</v>
      </c>
    </row>
    <row r="320" spans="1:25" x14ac:dyDescent="0.35">
      <c r="A320" s="6">
        <v>44588</v>
      </c>
      <c r="B320" s="8">
        <v>4326.5</v>
      </c>
      <c r="C320" s="2">
        <v>159.22</v>
      </c>
      <c r="D320" s="2">
        <v>132.52000000000001</v>
      </c>
      <c r="E320" s="2">
        <v>299.83999999999997</v>
      </c>
      <c r="F320" s="2">
        <v>461.6</v>
      </c>
      <c r="G320" s="2">
        <v>170.59</v>
      </c>
      <c r="H320" s="2">
        <v>206.15</v>
      </c>
      <c r="I320" s="2">
        <v>171.9</v>
      </c>
      <c r="J320" s="2">
        <v>189.75</v>
      </c>
      <c r="K320" s="2">
        <v>45.28</v>
      </c>
      <c r="L320" s="2">
        <v>212.17</v>
      </c>
      <c r="M320" s="64" t="s">
        <v>77</v>
      </c>
      <c r="N320" s="1"/>
      <c r="O320" s="12">
        <f t="shared" si="44"/>
        <v>-5.379434009977202E-3</v>
      </c>
      <c r="P320" s="12">
        <f t="shared" si="45"/>
        <v>-2.9432024547560998E-3</v>
      </c>
      <c r="Q320" s="12">
        <f t="shared" si="46"/>
        <v>-1.2959928496946049E-2</v>
      </c>
      <c r="R320" s="12">
        <f t="shared" si="47"/>
        <v>1.0549020929527142E-2</v>
      </c>
      <c r="S320" s="12">
        <f t="shared" si="48"/>
        <v>6.9149052199899419E-3</v>
      </c>
      <c r="T320" s="12">
        <f t="shared" si="49"/>
        <v>1.3125074236845169E-2</v>
      </c>
      <c r="U320" s="12">
        <f t="shared" si="50"/>
        <v>1.3600816048962017E-3</v>
      </c>
      <c r="V320" s="12">
        <f t="shared" si="51"/>
        <v>-1.9507186858316206E-2</v>
      </c>
      <c r="W320" s="12">
        <f t="shared" si="52"/>
        <v>-2.3266587738714262E-2</v>
      </c>
      <c r="X320" s="12">
        <f t="shared" si="53"/>
        <v>6.6298342541437627E-4</v>
      </c>
      <c r="Y320" s="12">
        <f t="shared" si="54"/>
        <v>-9.8931354706239816E-3</v>
      </c>
    </row>
    <row r="321" spans="1:25" x14ac:dyDescent="0.35">
      <c r="A321" s="6">
        <v>44589</v>
      </c>
      <c r="B321" s="8">
        <v>4431.8999999999996</v>
      </c>
      <c r="C321" s="2">
        <v>170.33</v>
      </c>
      <c r="D321" s="2">
        <v>134.5</v>
      </c>
      <c r="E321" s="2">
        <v>308.26</v>
      </c>
      <c r="F321" s="2">
        <v>466.06</v>
      </c>
      <c r="G321" s="2">
        <v>171.79</v>
      </c>
      <c r="H321" s="2">
        <v>228</v>
      </c>
      <c r="I321" s="2">
        <v>177.06</v>
      </c>
      <c r="J321" s="2">
        <v>190.57</v>
      </c>
      <c r="K321" s="2">
        <v>45.84</v>
      </c>
      <c r="L321" s="2">
        <v>201.16</v>
      </c>
      <c r="M321" s="64">
        <v>4.0199999999999996</v>
      </c>
      <c r="N321" s="1"/>
      <c r="O321" s="12">
        <f t="shared" si="44"/>
        <v>2.4361493123772116E-2</v>
      </c>
      <c r="P321" s="12">
        <f t="shared" si="45"/>
        <v>6.9777666122346593E-2</v>
      </c>
      <c r="Q321" s="12">
        <f t="shared" si="46"/>
        <v>1.4941140959854993E-2</v>
      </c>
      <c r="R321" s="12">
        <f t="shared" si="47"/>
        <v>2.8081643543223178E-2</v>
      </c>
      <c r="S321" s="12">
        <f t="shared" si="48"/>
        <v>9.6620450606585973E-3</v>
      </c>
      <c r="T321" s="12">
        <f t="shared" si="49"/>
        <v>7.0344099888621781E-3</v>
      </c>
      <c r="U321" s="12">
        <f t="shared" si="50"/>
        <v>0.10599078341013812</v>
      </c>
      <c r="V321" s="12">
        <f t="shared" si="51"/>
        <v>3.0017452006980694E-2</v>
      </c>
      <c r="W321" s="12">
        <f t="shared" si="52"/>
        <v>4.3214756258234122E-3</v>
      </c>
      <c r="X321" s="12">
        <f t="shared" si="53"/>
        <v>1.2367491166077826E-2</v>
      </c>
      <c r="Y321" s="12">
        <f t="shared" si="54"/>
        <v>-5.1892350473676685E-2</v>
      </c>
    </row>
    <row r="322" spans="1:25" x14ac:dyDescent="0.35">
      <c r="A322" s="6">
        <v>44592</v>
      </c>
      <c r="B322" s="8">
        <v>4515.6000000000004</v>
      </c>
      <c r="C322" s="2">
        <v>174.78</v>
      </c>
      <c r="D322" s="2">
        <v>133.57</v>
      </c>
      <c r="E322" s="2">
        <v>310.98</v>
      </c>
      <c r="F322" s="2">
        <v>472.57</v>
      </c>
      <c r="G322" s="2">
        <v>172.29</v>
      </c>
      <c r="H322" s="2">
        <v>226.17</v>
      </c>
      <c r="I322" s="2">
        <v>179.82</v>
      </c>
      <c r="J322" s="2">
        <v>200.24</v>
      </c>
      <c r="K322" s="2">
        <v>46.6</v>
      </c>
      <c r="L322" s="2">
        <v>201.56</v>
      </c>
      <c r="M322" s="64" t="s">
        <v>77</v>
      </c>
      <c r="N322" s="1"/>
      <c r="O322" s="12">
        <f t="shared" si="44"/>
        <v>1.8885805185135274E-2</v>
      </c>
      <c r="P322" s="12">
        <f t="shared" si="45"/>
        <v>2.6125755885633595E-2</v>
      </c>
      <c r="Q322" s="12">
        <f t="shared" si="46"/>
        <v>-6.9144981412639916E-3</v>
      </c>
      <c r="R322" s="12">
        <f t="shared" si="47"/>
        <v>8.8237202361642897E-3</v>
      </c>
      <c r="S322" s="12">
        <f t="shared" si="48"/>
        <v>1.3968158606187941E-2</v>
      </c>
      <c r="T322" s="12">
        <f t="shared" si="49"/>
        <v>2.9105302986203174E-3</v>
      </c>
      <c r="U322" s="12">
        <f t="shared" si="50"/>
        <v>-8.0263157894737702E-3</v>
      </c>
      <c r="V322" s="12">
        <f t="shared" si="51"/>
        <v>1.558793629278199E-2</v>
      </c>
      <c r="W322" s="12">
        <f t="shared" si="52"/>
        <v>5.0742509314162909E-2</v>
      </c>
      <c r="X322" s="12">
        <f t="shared" si="53"/>
        <v>1.6579406631762605E-2</v>
      </c>
      <c r="Y322" s="12">
        <f t="shared" si="54"/>
        <v>1.9884668920262527E-3</v>
      </c>
    </row>
    <row r="323" spans="1:25" x14ac:dyDescent="0.35">
      <c r="A323" s="6">
        <v>44593</v>
      </c>
      <c r="B323" s="8">
        <v>4546.5</v>
      </c>
      <c r="C323" s="2">
        <v>174.61</v>
      </c>
      <c r="D323" s="2">
        <v>135.53</v>
      </c>
      <c r="E323" s="2">
        <v>308.76</v>
      </c>
      <c r="F323" s="2">
        <v>468.41</v>
      </c>
      <c r="G323" s="2">
        <v>170.88</v>
      </c>
      <c r="H323" s="2">
        <v>232.36</v>
      </c>
      <c r="I323" s="2">
        <v>183.54</v>
      </c>
      <c r="J323" s="2">
        <v>208.34</v>
      </c>
      <c r="K323" s="2">
        <v>46.97</v>
      </c>
      <c r="L323" s="2">
        <v>205.35</v>
      </c>
      <c r="M323" s="64" t="s">
        <v>77</v>
      </c>
      <c r="N323" s="1"/>
      <c r="O323" s="12">
        <f t="shared" si="44"/>
        <v>6.8429444592079669E-3</v>
      </c>
      <c r="P323" s="12">
        <f t="shared" si="45"/>
        <v>-9.7265133310442398E-4</v>
      </c>
      <c r="Q323" s="12">
        <f t="shared" si="46"/>
        <v>1.4673953732125433E-2</v>
      </c>
      <c r="R323" s="12">
        <f t="shared" si="47"/>
        <v>-7.1387227474436488E-3</v>
      </c>
      <c r="S323" s="12">
        <f t="shared" si="48"/>
        <v>-8.8029286666524431E-3</v>
      </c>
      <c r="T323" s="12">
        <f t="shared" si="49"/>
        <v>-8.1838760229845375E-3</v>
      </c>
      <c r="U323" s="12">
        <f t="shared" si="50"/>
        <v>2.7368793385506685E-2</v>
      </c>
      <c r="V323" s="12">
        <f t="shared" si="51"/>
        <v>2.0687354020687332E-2</v>
      </c>
      <c r="W323" s="12">
        <f t="shared" si="52"/>
        <v>4.0451458250099881E-2</v>
      </c>
      <c r="X323" s="12">
        <f t="shared" si="53"/>
        <v>7.9399141630900338E-3</v>
      </c>
      <c r="Y323" s="12">
        <f t="shared" si="54"/>
        <v>1.8803333994840132E-2</v>
      </c>
    </row>
    <row r="324" spans="1:25" x14ac:dyDescent="0.35">
      <c r="A324" s="6">
        <v>44594</v>
      </c>
      <c r="B324" s="8">
        <v>4589.3999999999996</v>
      </c>
      <c r="C324" s="2">
        <v>175.84</v>
      </c>
      <c r="D324" s="2">
        <v>137.25</v>
      </c>
      <c r="E324" s="2">
        <v>313.45999999999998</v>
      </c>
      <c r="F324" s="2">
        <v>479.78</v>
      </c>
      <c r="G324" s="2">
        <v>172.77</v>
      </c>
      <c r="H324" s="2">
        <v>235.42</v>
      </c>
      <c r="I324" s="2">
        <v>184.16</v>
      </c>
      <c r="J324" s="2">
        <v>207.52</v>
      </c>
      <c r="K324" s="2">
        <v>46.95</v>
      </c>
      <c r="L324" s="2">
        <v>204.94</v>
      </c>
      <c r="M324" s="64" t="s">
        <v>77</v>
      </c>
      <c r="N324" s="1"/>
      <c r="O324" s="12">
        <f t="shared" si="44"/>
        <v>9.4358297591552454E-3</v>
      </c>
      <c r="P324" s="12">
        <f t="shared" si="45"/>
        <v>7.0442700876238717E-3</v>
      </c>
      <c r="Q324" s="12">
        <f t="shared" si="46"/>
        <v>1.2690917140116609E-2</v>
      </c>
      <c r="R324" s="12">
        <f t="shared" si="47"/>
        <v>1.5222179038735462E-2</v>
      </c>
      <c r="S324" s="12">
        <f t="shared" si="48"/>
        <v>2.4273606455882613E-2</v>
      </c>
      <c r="T324" s="12">
        <f t="shared" si="49"/>
        <v>1.1060393258427004E-2</v>
      </c>
      <c r="U324" s="12">
        <f t="shared" si="50"/>
        <v>1.3169220175589524E-2</v>
      </c>
      <c r="V324" s="12">
        <f t="shared" si="51"/>
        <v>3.3780102429987746E-3</v>
      </c>
      <c r="W324" s="12">
        <f t="shared" si="52"/>
        <v>-3.9358740520303304E-3</v>
      </c>
      <c r="X324" s="12">
        <f t="shared" si="53"/>
        <v>-4.2580370449218918E-4</v>
      </c>
      <c r="Y324" s="12">
        <f t="shared" si="54"/>
        <v>-1.9965911857803276E-3</v>
      </c>
    </row>
    <row r="325" spans="1:25" x14ac:dyDescent="0.35">
      <c r="A325" s="6">
        <v>44595</v>
      </c>
      <c r="B325" s="8">
        <v>4477.3999999999996</v>
      </c>
      <c r="C325" s="2">
        <v>172.9</v>
      </c>
      <c r="D325" s="2">
        <v>137.78</v>
      </c>
      <c r="E325" s="2">
        <v>301.25</v>
      </c>
      <c r="F325" s="2">
        <v>488.77</v>
      </c>
      <c r="G325" s="2">
        <v>172.76</v>
      </c>
      <c r="H325" s="2">
        <v>231.54</v>
      </c>
      <c r="I325" s="2">
        <v>184.04</v>
      </c>
      <c r="J325" s="2">
        <v>206.39</v>
      </c>
      <c r="K325" s="2">
        <v>47</v>
      </c>
      <c r="L325" s="2">
        <v>200.59</v>
      </c>
      <c r="M325" s="64" t="s">
        <v>77</v>
      </c>
      <c r="N325" s="1"/>
      <c r="O325" s="12">
        <f t="shared" ref="O325:O388" si="55">(B325/B324)-1</f>
        <v>-2.4404061533098043E-2</v>
      </c>
      <c r="P325" s="12">
        <f t="shared" ref="P325:P388" si="56">(C325/C324)-1</f>
        <v>-1.671974522292996E-2</v>
      </c>
      <c r="Q325" s="12">
        <f t="shared" ref="Q325:Q388" si="57">(D325/D324)-1</f>
        <v>3.8615664845174091E-3</v>
      </c>
      <c r="R325" s="12">
        <f t="shared" ref="R325:R388" si="58">(E325/E324)-1</f>
        <v>-3.8952338416384791E-2</v>
      </c>
      <c r="S325" s="12">
        <f t="shared" ref="S325:S388" si="59">(F325/F324)-1</f>
        <v>1.87377548042853E-2</v>
      </c>
      <c r="T325" s="12">
        <f t="shared" ref="T325:T388" si="60">(G325/G324)-1</f>
        <v>-5.7880419054301413E-5</v>
      </c>
      <c r="U325" s="12">
        <f t="shared" ref="U325:U388" si="61">(H325/H324)-1</f>
        <v>-1.6481182567326447E-2</v>
      </c>
      <c r="V325" s="12">
        <f t="shared" ref="V325:V388" si="62">(I325/I324)-1</f>
        <v>-6.5160729800173289E-4</v>
      </c>
      <c r="W325" s="12">
        <f t="shared" ref="W325:W388" si="63">(J325/J324)-1</f>
        <v>-5.445258288357846E-3</v>
      </c>
      <c r="X325" s="12">
        <f t="shared" ref="X325:X388" si="64">(K325/K324)-1</f>
        <v>1.0649627263044081E-3</v>
      </c>
      <c r="Y325" s="12">
        <f t="shared" ref="Y325:Y388" si="65">(L325/L324)-1</f>
        <v>-2.1225724602322638E-2</v>
      </c>
    </row>
    <row r="326" spans="1:25" x14ac:dyDescent="0.35">
      <c r="A326" s="6">
        <v>44596</v>
      </c>
      <c r="B326" s="8">
        <v>4500.5</v>
      </c>
      <c r="C326" s="2">
        <v>172.39</v>
      </c>
      <c r="D326" s="2">
        <v>137.15</v>
      </c>
      <c r="E326" s="2">
        <v>305.94</v>
      </c>
      <c r="F326" s="2">
        <v>483.17</v>
      </c>
      <c r="G326" s="2">
        <v>171.63</v>
      </c>
      <c r="H326" s="2">
        <v>228.39</v>
      </c>
      <c r="I326" s="2">
        <v>185.85</v>
      </c>
      <c r="J326" s="2">
        <v>206.45</v>
      </c>
      <c r="K326" s="2">
        <v>46.44</v>
      </c>
      <c r="L326" s="2">
        <v>198.41</v>
      </c>
      <c r="M326" s="64">
        <v>4.04</v>
      </c>
      <c r="N326" s="1"/>
      <c r="O326" s="12">
        <f t="shared" si="55"/>
        <v>5.1592442042256437E-3</v>
      </c>
      <c r="P326" s="12">
        <f t="shared" si="56"/>
        <v>-2.9496818970504712E-3</v>
      </c>
      <c r="Q326" s="12">
        <f t="shared" si="57"/>
        <v>-4.5725068950500658E-3</v>
      </c>
      <c r="R326" s="12">
        <f t="shared" si="58"/>
        <v>1.5568464730290499E-2</v>
      </c>
      <c r="S326" s="12">
        <f t="shared" si="59"/>
        <v>-1.1457331669292192E-2</v>
      </c>
      <c r="T326" s="12">
        <f t="shared" si="60"/>
        <v>-6.5408659411900771E-3</v>
      </c>
      <c r="U326" s="12">
        <f t="shared" si="61"/>
        <v>-1.3604560767038087E-2</v>
      </c>
      <c r="V326" s="12">
        <f t="shared" si="62"/>
        <v>9.8348185177135061E-3</v>
      </c>
      <c r="W326" s="12">
        <f t="shared" si="63"/>
        <v>2.9071175929074045E-4</v>
      </c>
      <c r="X326" s="12">
        <f t="shared" si="64"/>
        <v>-1.191489361702136E-2</v>
      </c>
      <c r="Y326" s="12">
        <f t="shared" si="65"/>
        <v>-1.0867939578244168E-2</v>
      </c>
    </row>
    <row r="327" spans="1:25" x14ac:dyDescent="0.35">
      <c r="A327" s="6">
        <v>44599</v>
      </c>
      <c r="B327" s="8">
        <v>4483.8999999999996</v>
      </c>
      <c r="C327" s="2">
        <v>171.66</v>
      </c>
      <c r="D327" s="2">
        <v>137.24</v>
      </c>
      <c r="E327" s="2">
        <v>300.95</v>
      </c>
      <c r="F327" s="2">
        <v>483.7</v>
      </c>
      <c r="G327" s="2">
        <v>171.06</v>
      </c>
      <c r="H327" s="2">
        <v>227.16</v>
      </c>
      <c r="I327" s="2">
        <v>187.87</v>
      </c>
      <c r="J327" s="2">
        <v>211.92</v>
      </c>
      <c r="K327" s="2">
        <v>45.99</v>
      </c>
      <c r="L327" s="2">
        <v>199.82</v>
      </c>
      <c r="M327" s="64" t="s">
        <v>77</v>
      </c>
      <c r="N327" s="1"/>
      <c r="O327" s="12">
        <f t="shared" si="55"/>
        <v>-3.6884790578824989E-3</v>
      </c>
      <c r="P327" s="12">
        <f t="shared" si="56"/>
        <v>-4.2345843726433463E-3</v>
      </c>
      <c r="Q327" s="12">
        <f t="shared" si="57"/>
        <v>6.5621582209263174E-4</v>
      </c>
      <c r="R327" s="12">
        <f t="shared" si="58"/>
        <v>-1.6310387657710645E-2</v>
      </c>
      <c r="S327" s="12">
        <f t="shared" si="59"/>
        <v>1.09692240826198E-3</v>
      </c>
      <c r="T327" s="12">
        <f t="shared" si="60"/>
        <v>-3.3210977101905126E-3</v>
      </c>
      <c r="U327" s="12">
        <f t="shared" si="61"/>
        <v>-5.3855247602784262E-3</v>
      </c>
      <c r="V327" s="12">
        <f t="shared" si="62"/>
        <v>1.0868980360505764E-2</v>
      </c>
      <c r="W327" s="12">
        <f t="shared" si="63"/>
        <v>2.6495519496245956E-2</v>
      </c>
      <c r="X327" s="12">
        <f t="shared" si="64"/>
        <v>-9.6899224806200612E-3</v>
      </c>
      <c r="Y327" s="12">
        <f t="shared" si="65"/>
        <v>7.1064966483544989E-3</v>
      </c>
    </row>
    <row r="328" spans="1:25" x14ac:dyDescent="0.35">
      <c r="A328" s="6">
        <v>44600</v>
      </c>
      <c r="B328" s="8">
        <v>4521.5</v>
      </c>
      <c r="C328" s="2">
        <v>174.83</v>
      </c>
      <c r="D328" s="2">
        <v>137.02000000000001</v>
      </c>
      <c r="E328" s="2">
        <v>304.56</v>
      </c>
      <c r="F328" s="2">
        <v>493.41</v>
      </c>
      <c r="G328" s="2">
        <v>171.51</v>
      </c>
      <c r="H328" s="2">
        <v>227.94</v>
      </c>
      <c r="I328" s="2">
        <v>194</v>
      </c>
      <c r="J328" s="2">
        <v>213.27</v>
      </c>
      <c r="K328" s="2">
        <v>46</v>
      </c>
      <c r="L328" s="2">
        <v>201.5</v>
      </c>
      <c r="M328" s="64" t="s">
        <v>77</v>
      </c>
      <c r="N328" s="1"/>
      <c r="O328" s="12">
        <f t="shared" si="55"/>
        <v>8.3855572158166858E-3</v>
      </c>
      <c r="P328" s="12">
        <f t="shared" si="56"/>
        <v>1.846673657229414E-2</v>
      </c>
      <c r="Q328" s="12">
        <f t="shared" si="57"/>
        <v>-1.6030311862430535E-3</v>
      </c>
      <c r="R328" s="12">
        <f t="shared" si="58"/>
        <v>1.1995348064462563E-2</v>
      </c>
      <c r="S328" s="12">
        <f t="shared" si="59"/>
        <v>2.0074426297291836E-2</v>
      </c>
      <c r="T328" s="12">
        <f t="shared" si="60"/>
        <v>2.6306559102069471E-3</v>
      </c>
      <c r="U328" s="12">
        <f t="shared" si="61"/>
        <v>3.4337031167459564E-3</v>
      </c>
      <c r="V328" s="12">
        <f t="shared" si="62"/>
        <v>3.2628945547453103E-2</v>
      </c>
      <c r="W328" s="12">
        <f t="shared" si="63"/>
        <v>6.3703284258211923E-3</v>
      </c>
      <c r="X328" s="12">
        <f t="shared" si="64"/>
        <v>2.1743857360290164E-4</v>
      </c>
      <c r="Y328" s="12">
        <f t="shared" si="65"/>
        <v>8.4075668101291079E-3</v>
      </c>
    </row>
    <row r="329" spans="1:25" x14ac:dyDescent="0.35">
      <c r="A329" s="6">
        <v>44601</v>
      </c>
      <c r="B329" s="8">
        <v>4587.2</v>
      </c>
      <c r="C329" s="2">
        <v>176.28</v>
      </c>
      <c r="D329" s="2">
        <v>137.79</v>
      </c>
      <c r="E329" s="2">
        <v>311.20999999999998</v>
      </c>
      <c r="F329" s="2">
        <v>498.1</v>
      </c>
      <c r="G329" s="2">
        <v>171.49</v>
      </c>
      <c r="H329" s="2">
        <v>230.87</v>
      </c>
      <c r="I329" s="2">
        <v>196.4</v>
      </c>
      <c r="J329" s="2">
        <v>215.86</v>
      </c>
      <c r="K329" s="2">
        <v>45.9</v>
      </c>
      <c r="L329" s="2">
        <v>203.6</v>
      </c>
      <c r="M329" s="64" t="s">
        <v>77</v>
      </c>
      <c r="N329" s="1"/>
      <c r="O329" s="12">
        <f t="shared" si="55"/>
        <v>1.4530576136237983E-2</v>
      </c>
      <c r="P329" s="12">
        <f t="shared" si="56"/>
        <v>8.2937710919177565E-3</v>
      </c>
      <c r="Q329" s="12">
        <f t="shared" si="57"/>
        <v>5.6196175740765852E-3</v>
      </c>
      <c r="R329" s="12">
        <f t="shared" si="58"/>
        <v>2.1834778040451752E-2</v>
      </c>
      <c r="S329" s="12">
        <f t="shared" si="59"/>
        <v>9.5052795849293048E-3</v>
      </c>
      <c r="T329" s="12">
        <f t="shared" si="60"/>
        <v>-1.1661127631035217E-4</v>
      </c>
      <c r="U329" s="12">
        <f t="shared" si="61"/>
        <v>1.2854259892954412E-2</v>
      </c>
      <c r="V329" s="12">
        <f t="shared" si="62"/>
        <v>1.2371134020618513E-2</v>
      </c>
      <c r="W329" s="12">
        <f t="shared" si="63"/>
        <v>1.2144230318375859E-2</v>
      </c>
      <c r="X329" s="12">
        <f t="shared" si="64"/>
        <v>-2.1739130434782483E-3</v>
      </c>
      <c r="Y329" s="12">
        <f t="shared" si="65"/>
        <v>1.042183622828774E-2</v>
      </c>
    </row>
    <row r="330" spans="1:25" x14ac:dyDescent="0.35">
      <c r="A330" s="6">
        <v>44602</v>
      </c>
      <c r="B330" s="8">
        <v>4504.1000000000004</v>
      </c>
      <c r="C330" s="2">
        <v>172.12</v>
      </c>
      <c r="D330" s="2">
        <v>133.52000000000001</v>
      </c>
      <c r="E330" s="2">
        <v>302.38</v>
      </c>
      <c r="F330" s="2">
        <v>486.72</v>
      </c>
      <c r="G330" s="2">
        <v>169.42</v>
      </c>
      <c r="H330" s="2">
        <v>225.59</v>
      </c>
      <c r="I330" s="2">
        <v>195.51</v>
      </c>
      <c r="J330" s="2">
        <v>218.75</v>
      </c>
      <c r="K330" s="2">
        <v>45.36</v>
      </c>
      <c r="L330" s="2">
        <v>203.07</v>
      </c>
      <c r="M330" s="64" t="s">
        <v>77</v>
      </c>
      <c r="N330" s="1"/>
      <c r="O330" s="12">
        <f t="shared" si="55"/>
        <v>-1.8115626089989401E-2</v>
      </c>
      <c r="P330" s="12">
        <f t="shared" si="56"/>
        <v>-2.359882005899705E-2</v>
      </c>
      <c r="Q330" s="12">
        <f t="shared" si="57"/>
        <v>-3.0989186443137973E-2</v>
      </c>
      <c r="R330" s="12">
        <f t="shared" si="58"/>
        <v>-2.8373124256932614E-2</v>
      </c>
      <c r="S330" s="12">
        <f t="shared" si="59"/>
        <v>-2.2846817908050543E-2</v>
      </c>
      <c r="T330" s="12">
        <f t="shared" si="60"/>
        <v>-1.2070674674908299E-2</v>
      </c>
      <c r="U330" s="12">
        <f t="shared" si="61"/>
        <v>-2.2870013427469971E-2</v>
      </c>
      <c r="V330" s="12">
        <f t="shared" si="62"/>
        <v>-4.5315682281059644E-3</v>
      </c>
      <c r="W330" s="12">
        <f t="shared" si="63"/>
        <v>1.338830723617157E-2</v>
      </c>
      <c r="X330" s="12">
        <f t="shared" si="64"/>
        <v>-1.1764705882352899E-2</v>
      </c>
      <c r="Y330" s="12">
        <f t="shared" si="65"/>
        <v>-2.6031434184675684E-3</v>
      </c>
    </row>
    <row r="331" spans="1:25" x14ac:dyDescent="0.35">
      <c r="A331" s="6">
        <v>44603</v>
      </c>
      <c r="B331" s="8">
        <v>4418.6400000000003</v>
      </c>
      <c r="C331" s="2">
        <v>168.64</v>
      </c>
      <c r="D331" s="2">
        <v>132.69</v>
      </c>
      <c r="E331" s="2">
        <v>295.04000000000002</v>
      </c>
      <c r="F331" s="2">
        <v>478.13</v>
      </c>
      <c r="G331" s="2">
        <v>167.71</v>
      </c>
      <c r="H331" s="2">
        <v>224.69</v>
      </c>
      <c r="I331" s="2">
        <v>191.81</v>
      </c>
      <c r="J331" s="2">
        <v>212.3</v>
      </c>
      <c r="K331" s="2">
        <v>45.11</v>
      </c>
      <c r="L331" s="2">
        <v>201.24</v>
      </c>
      <c r="M331" s="64">
        <v>4</v>
      </c>
      <c r="N331" s="1"/>
      <c r="O331" s="12">
        <f t="shared" si="55"/>
        <v>-1.8973823849381732E-2</v>
      </c>
      <c r="P331" s="12">
        <f t="shared" si="56"/>
        <v>-2.0218452242621532E-2</v>
      </c>
      <c r="Q331" s="12">
        <f t="shared" si="57"/>
        <v>-6.2162971839425651E-3</v>
      </c>
      <c r="R331" s="12">
        <f t="shared" si="58"/>
        <v>-2.4274092201865161E-2</v>
      </c>
      <c r="S331" s="12">
        <f t="shared" si="59"/>
        <v>-1.7648750821827819E-2</v>
      </c>
      <c r="T331" s="12">
        <f t="shared" si="60"/>
        <v>-1.0093259355447914E-2</v>
      </c>
      <c r="U331" s="12">
        <f t="shared" si="61"/>
        <v>-3.9895385433751374E-3</v>
      </c>
      <c r="V331" s="12">
        <f t="shared" si="62"/>
        <v>-1.8924863178353957E-2</v>
      </c>
      <c r="W331" s="12">
        <f t="shared" si="63"/>
        <v>-2.9485714285714226E-2</v>
      </c>
      <c r="X331" s="12">
        <f t="shared" si="64"/>
        <v>-5.5114638447971709E-3</v>
      </c>
      <c r="Y331" s="12">
        <f t="shared" si="65"/>
        <v>-9.0116708524153877E-3</v>
      </c>
    </row>
    <row r="332" spans="1:25" x14ac:dyDescent="0.35">
      <c r="A332" s="6">
        <v>44606</v>
      </c>
      <c r="B332" s="8">
        <v>4401.67</v>
      </c>
      <c r="C332" s="2">
        <v>168.88</v>
      </c>
      <c r="D332" s="2">
        <v>130.15</v>
      </c>
      <c r="E332" s="2">
        <v>295</v>
      </c>
      <c r="F332" s="2">
        <v>474.4</v>
      </c>
      <c r="G332" s="2">
        <v>165.6</v>
      </c>
      <c r="H332" s="2">
        <v>225.34</v>
      </c>
      <c r="I332" s="2">
        <v>192.35</v>
      </c>
      <c r="J332" s="2">
        <v>210.04</v>
      </c>
      <c r="K332" s="2">
        <v>44.65</v>
      </c>
      <c r="L332" s="2">
        <v>199.89</v>
      </c>
      <c r="M332" s="64" t="s">
        <v>77</v>
      </c>
      <c r="N332" s="1"/>
      <c r="O332" s="12">
        <f t="shared" si="55"/>
        <v>-3.8405482229827426E-3</v>
      </c>
      <c r="P332" s="12">
        <f t="shared" si="56"/>
        <v>1.4231499051233776E-3</v>
      </c>
      <c r="Q332" s="12">
        <f t="shared" si="57"/>
        <v>-1.9142361896148818E-2</v>
      </c>
      <c r="R332" s="12">
        <f t="shared" si="58"/>
        <v>-1.3557483731030384E-4</v>
      </c>
      <c r="S332" s="12">
        <f t="shared" si="59"/>
        <v>-7.8012256080982612E-3</v>
      </c>
      <c r="T332" s="12">
        <f t="shared" si="60"/>
        <v>-1.2581241428656686E-2</v>
      </c>
      <c r="U332" s="12">
        <f t="shared" si="61"/>
        <v>2.8928746272642858E-3</v>
      </c>
      <c r="V332" s="12">
        <f t="shared" si="62"/>
        <v>2.8152859600645286E-3</v>
      </c>
      <c r="W332" s="12">
        <f t="shared" si="63"/>
        <v>-1.0645313235986942E-2</v>
      </c>
      <c r="X332" s="12">
        <f t="shared" si="64"/>
        <v>-1.0197295499889125E-2</v>
      </c>
      <c r="Y332" s="12">
        <f t="shared" si="65"/>
        <v>-6.7084078711986406E-3</v>
      </c>
    </row>
    <row r="333" spans="1:25" x14ac:dyDescent="0.35">
      <c r="A333" s="6">
        <v>44607</v>
      </c>
      <c r="B333" s="8">
        <v>4471.07</v>
      </c>
      <c r="C333" s="2">
        <v>172.79</v>
      </c>
      <c r="D333" s="2">
        <v>129.94</v>
      </c>
      <c r="E333" s="2">
        <v>300.47000000000003</v>
      </c>
      <c r="F333" s="2">
        <v>478.23</v>
      </c>
      <c r="G333" s="2">
        <v>167.31</v>
      </c>
      <c r="H333" s="2">
        <v>227.82</v>
      </c>
      <c r="I333" s="2">
        <v>197.98</v>
      </c>
      <c r="J333" s="2">
        <v>217.73</v>
      </c>
      <c r="K333" s="2">
        <v>44.79</v>
      </c>
      <c r="L333" s="2">
        <v>203.41</v>
      </c>
      <c r="M333" s="64" t="s">
        <v>77</v>
      </c>
      <c r="N333" s="1"/>
      <c r="O333" s="12">
        <f t="shared" si="55"/>
        <v>1.5766743077059386E-2</v>
      </c>
      <c r="P333" s="12">
        <f t="shared" si="56"/>
        <v>2.3152534343912734E-2</v>
      </c>
      <c r="Q333" s="12">
        <f t="shared" si="57"/>
        <v>-1.6135228582405681E-3</v>
      </c>
      <c r="R333" s="12">
        <f t="shared" si="58"/>
        <v>1.8542372881356073E-2</v>
      </c>
      <c r="S333" s="12">
        <f t="shared" si="59"/>
        <v>8.0733558178753828E-3</v>
      </c>
      <c r="T333" s="12">
        <f t="shared" si="60"/>
        <v>1.0326086956521818E-2</v>
      </c>
      <c r="U333" s="12">
        <f t="shared" si="61"/>
        <v>1.1005591550545812E-2</v>
      </c>
      <c r="V333" s="12">
        <f t="shared" si="62"/>
        <v>2.9269560696646657E-2</v>
      </c>
      <c r="W333" s="12">
        <f t="shared" si="63"/>
        <v>3.6612073890687435E-2</v>
      </c>
      <c r="X333" s="12">
        <f t="shared" si="64"/>
        <v>3.1354983202687148E-3</v>
      </c>
      <c r="Y333" s="12">
        <f t="shared" si="65"/>
        <v>1.7609685326929858E-2</v>
      </c>
    </row>
    <row r="334" spans="1:25" x14ac:dyDescent="0.35">
      <c r="A334" s="6">
        <v>44608</v>
      </c>
      <c r="B334" s="8">
        <v>4475.01</v>
      </c>
      <c r="C334" s="2">
        <v>172.55</v>
      </c>
      <c r="D334" s="2">
        <v>129.18</v>
      </c>
      <c r="E334" s="2">
        <v>299.5</v>
      </c>
      <c r="F334" s="2">
        <v>480.05</v>
      </c>
      <c r="G334" s="2">
        <v>167.21</v>
      </c>
      <c r="H334" s="2">
        <v>228.82</v>
      </c>
      <c r="I334" s="2">
        <v>198.38</v>
      </c>
      <c r="J334" s="2">
        <v>218.93</v>
      </c>
      <c r="K334" s="2">
        <v>44.51</v>
      </c>
      <c r="L334" s="2">
        <v>203.64</v>
      </c>
      <c r="M334" s="64" t="s">
        <v>77</v>
      </c>
      <c r="N334" s="1"/>
      <c r="O334" s="12">
        <f t="shared" si="55"/>
        <v>8.8122082633468324E-4</v>
      </c>
      <c r="P334" s="12">
        <f t="shared" si="56"/>
        <v>-1.3889692690548516E-3</v>
      </c>
      <c r="Q334" s="12">
        <f t="shared" si="57"/>
        <v>-5.8488533169154255E-3</v>
      </c>
      <c r="R334" s="12">
        <f t="shared" si="58"/>
        <v>-3.2282757014012731E-3</v>
      </c>
      <c r="S334" s="12">
        <f t="shared" si="59"/>
        <v>3.8057001861029338E-3</v>
      </c>
      <c r="T334" s="12">
        <f t="shared" si="60"/>
        <v>-5.9769290538513875E-4</v>
      </c>
      <c r="U334" s="12">
        <f t="shared" si="61"/>
        <v>4.3894302519533746E-3</v>
      </c>
      <c r="V334" s="12">
        <f t="shared" si="62"/>
        <v>2.0204061016264596E-3</v>
      </c>
      <c r="W334" s="12">
        <f t="shared" si="63"/>
        <v>5.5114132182061404E-3</v>
      </c>
      <c r="X334" s="12">
        <f t="shared" si="64"/>
        <v>-6.251395400759141E-3</v>
      </c>
      <c r="Y334" s="12">
        <f t="shared" si="65"/>
        <v>1.1307212034805669E-3</v>
      </c>
    </row>
    <row r="335" spans="1:25" x14ac:dyDescent="0.35">
      <c r="A335" s="6">
        <v>44609</v>
      </c>
      <c r="B335" s="8">
        <v>4380.26</v>
      </c>
      <c r="C335" s="2">
        <v>168.88</v>
      </c>
      <c r="D335" s="2">
        <v>124.97</v>
      </c>
      <c r="E335" s="2">
        <v>290.73</v>
      </c>
      <c r="F335" s="2">
        <v>470.34</v>
      </c>
      <c r="G335" s="2">
        <v>166.19</v>
      </c>
      <c r="H335" s="2">
        <v>224.61</v>
      </c>
      <c r="I335" s="2">
        <v>195.71</v>
      </c>
      <c r="J335" s="2">
        <v>213.58</v>
      </c>
      <c r="K335" s="2">
        <v>46.29</v>
      </c>
      <c r="L335" s="2">
        <v>194.74</v>
      </c>
      <c r="M335" s="64" t="s">
        <v>77</v>
      </c>
      <c r="N335" s="1"/>
      <c r="O335" s="12">
        <f t="shared" si="55"/>
        <v>-2.1173137043269175E-2</v>
      </c>
      <c r="P335" s="12">
        <f t="shared" si="56"/>
        <v>-2.1269197334106149E-2</v>
      </c>
      <c r="Q335" s="12">
        <f t="shared" si="57"/>
        <v>-3.259018423904636E-2</v>
      </c>
      <c r="R335" s="12">
        <f t="shared" si="58"/>
        <v>-2.9282136894824617E-2</v>
      </c>
      <c r="S335" s="12">
        <f t="shared" si="59"/>
        <v>-2.0227059681283244E-2</v>
      </c>
      <c r="T335" s="12">
        <f t="shared" si="60"/>
        <v>-6.1001136295676384E-3</v>
      </c>
      <c r="U335" s="12">
        <f t="shared" si="61"/>
        <v>-1.8398741368761407E-2</v>
      </c>
      <c r="V335" s="12">
        <f t="shared" si="62"/>
        <v>-1.3459018046173998E-2</v>
      </c>
      <c r="W335" s="12">
        <f t="shared" si="63"/>
        <v>-2.4437034668615465E-2</v>
      </c>
      <c r="X335" s="12">
        <f t="shared" si="64"/>
        <v>3.9991013255448182E-2</v>
      </c>
      <c r="Y335" s="12">
        <f t="shared" si="65"/>
        <v>-4.3704576703987308E-2</v>
      </c>
    </row>
    <row r="336" spans="1:25" x14ac:dyDescent="0.35">
      <c r="A336" s="6">
        <v>44610</v>
      </c>
      <c r="B336" s="8">
        <v>4348.87</v>
      </c>
      <c r="C336" s="2">
        <v>167.3</v>
      </c>
      <c r="D336" s="2">
        <v>124.35</v>
      </c>
      <c r="E336" s="2">
        <v>287.93</v>
      </c>
      <c r="F336" s="2">
        <v>467.81</v>
      </c>
      <c r="G336" s="2">
        <v>163.36000000000001</v>
      </c>
      <c r="H336" s="2">
        <v>222.69</v>
      </c>
      <c r="I336" s="2">
        <v>194.88</v>
      </c>
      <c r="J336" s="2">
        <v>209.03</v>
      </c>
      <c r="K336" s="2">
        <v>46</v>
      </c>
      <c r="L336" s="2">
        <v>191.95</v>
      </c>
      <c r="M336" s="64">
        <v>4.03</v>
      </c>
      <c r="N336" s="1"/>
      <c r="O336" s="12">
        <f t="shared" si="55"/>
        <v>-7.1662412733491943E-3</v>
      </c>
      <c r="P336" s="12">
        <f t="shared" si="56"/>
        <v>-9.3557555660823688E-3</v>
      </c>
      <c r="Q336" s="12">
        <f t="shared" si="57"/>
        <v>-4.961190685764616E-3</v>
      </c>
      <c r="R336" s="12">
        <f t="shared" si="58"/>
        <v>-9.6309290406907389E-3</v>
      </c>
      <c r="S336" s="12">
        <f t="shared" si="59"/>
        <v>-5.3790874686396872E-3</v>
      </c>
      <c r="T336" s="12">
        <f t="shared" si="60"/>
        <v>-1.702870208797147E-2</v>
      </c>
      <c r="U336" s="12">
        <f t="shared" si="61"/>
        <v>-8.5481501268867E-3</v>
      </c>
      <c r="V336" s="12">
        <f t="shared" si="62"/>
        <v>-4.2409687803383056E-3</v>
      </c>
      <c r="W336" s="12">
        <f t="shared" si="63"/>
        <v>-2.1303492836407978E-2</v>
      </c>
      <c r="X336" s="12">
        <f t="shared" si="64"/>
        <v>-6.2648520198747004E-3</v>
      </c>
      <c r="Y336" s="12">
        <f t="shared" si="65"/>
        <v>-1.4326794700626588E-2</v>
      </c>
    </row>
    <row r="337" spans="1:25" x14ac:dyDescent="0.35">
      <c r="A337" s="6">
        <v>44614</v>
      </c>
      <c r="B337" s="8">
        <v>4304.76</v>
      </c>
      <c r="C337" s="2">
        <v>164.32</v>
      </c>
      <c r="D337" s="2">
        <v>123.92</v>
      </c>
      <c r="E337" s="2">
        <v>287.72000000000003</v>
      </c>
      <c r="F337" s="2">
        <v>462.51</v>
      </c>
      <c r="G337" s="2">
        <v>161.13999999999999</v>
      </c>
      <c r="H337" s="2">
        <v>221.32</v>
      </c>
      <c r="I337" s="2">
        <v>192.44</v>
      </c>
      <c r="J337" s="2">
        <v>198.74</v>
      </c>
      <c r="K337" s="2">
        <v>45.48</v>
      </c>
      <c r="L337" s="2">
        <v>191.21</v>
      </c>
      <c r="M337" s="64" t="s">
        <v>77</v>
      </c>
      <c r="N337" s="1"/>
      <c r="O337" s="12">
        <f t="shared" si="55"/>
        <v>-1.0142864698185927E-2</v>
      </c>
      <c r="P337" s="12">
        <f t="shared" si="56"/>
        <v>-1.781231320980281E-2</v>
      </c>
      <c r="Q337" s="12">
        <f t="shared" si="57"/>
        <v>-3.4579815038198181E-3</v>
      </c>
      <c r="R337" s="12">
        <f t="shared" si="58"/>
        <v>-7.2934393776258322E-4</v>
      </c>
      <c r="S337" s="12">
        <f t="shared" si="59"/>
        <v>-1.132938586178156E-2</v>
      </c>
      <c r="T337" s="12">
        <f t="shared" si="60"/>
        <v>-1.3589618021547678E-2</v>
      </c>
      <c r="U337" s="12">
        <f t="shared" si="61"/>
        <v>-6.1520499348870494E-3</v>
      </c>
      <c r="V337" s="12">
        <f t="shared" si="62"/>
        <v>-1.2520525451559905E-2</v>
      </c>
      <c r="W337" s="12">
        <f t="shared" si="63"/>
        <v>-4.9227383629144139E-2</v>
      </c>
      <c r="X337" s="12">
        <f t="shared" si="64"/>
        <v>-1.1304347826087024E-2</v>
      </c>
      <c r="Y337" s="12">
        <f t="shared" si="65"/>
        <v>-3.8551706173481914E-3</v>
      </c>
    </row>
    <row r="338" spans="1:25" x14ac:dyDescent="0.35">
      <c r="A338" s="6">
        <v>44615</v>
      </c>
      <c r="B338" s="8">
        <v>4225.5</v>
      </c>
      <c r="C338" s="2">
        <v>160.07</v>
      </c>
      <c r="D338" s="2">
        <v>122.07</v>
      </c>
      <c r="E338" s="2">
        <v>280.27</v>
      </c>
      <c r="F338" s="2">
        <v>459.62</v>
      </c>
      <c r="G338" s="2">
        <v>161.22</v>
      </c>
      <c r="H338" s="2">
        <v>215.95</v>
      </c>
      <c r="I338" s="2">
        <v>188.95</v>
      </c>
      <c r="J338" s="2">
        <v>196.42</v>
      </c>
      <c r="K338" s="2">
        <v>45.02</v>
      </c>
      <c r="L338" s="2">
        <v>186.67</v>
      </c>
      <c r="M338" s="64" t="s">
        <v>77</v>
      </c>
      <c r="N338" s="1"/>
      <c r="O338" s="12">
        <f t="shared" si="55"/>
        <v>-1.8412176288573612E-2</v>
      </c>
      <c r="P338" s="12">
        <f t="shared" si="56"/>
        <v>-2.5864167478091504E-2</v>
      </c>
      <c r="Q338" s="12">
        <f t="shared" si="57"/>
        <v>-1.4928986442866443E-2</v>
      </c>
      <c r="R338" s="12">
        <f t="shared" si="58"/>
        <v>-2.589322952870865E-2</v>
      </c>
      <c r="S338" s="12">
        <f t="shared" si="59"/>
        <v>-6.2485135456530339E-3</v>
      </c>
      <c r="T338" s="12">
        <f t="shared" si="60"/>
        <v>4.9646270323955299E-4</v>
      </c>
      <c r="U338" s="12">
        <f t="shared" si="61"/>
        <v>-2.4263509849991038E-2</v>
      </c>
      <c r="V338" s="12">
        <f t="shared" si="62"/>
        <v>-1.8135522760340916E-2</v>
      </c>
      <c r="W338" s="12">
        <f t="shared" si="63"/>
        <v>-1.1673543322934576E-2</v>
      </c>
      <c r="X338" s="12">
        <f t="shared" si="64"/>
        <v>-1.0114335971855626E-2</v>
      </c>
      <c r="Y338" s="12">
        <f t="shared" si="65"/>
        <v>-2.3743528058156049E-2</v>
      </c>
    </row>
    <row r="339" spans="1:25" x14ac:dyDescent="0.35">
      <c r="A339" s="6">
        <v>44616</v>
      </c>
      <c r="B339" s="8">
        <v>4288.7</v>
      </c>
      <c r="C339" s="2">
        <v>162.74</v>
      </c>
      <c r="D339" s="2">
        <v>121.97</v>
      </c>
      <c r="E339" s="2">
        <v>294.58999999999997</v>
      </c>
      <c r="F339" s="2">
        <v>455.89</v>
      </c>
      <c r="G339" s="2">
        <v>158.13999999999999</v>
      </c>
      <c r="H339" s="2">
        <v>217.3</v>
      </c>
      <c r="I339" s="2">
        <v>188.35</v>
      </c>
      <c r="J339" s="2">
        <v>198.43</v>
      </c>
      <c r="K339" s="2">
        <v>44.84</v>
      </c>
      <c r="L339" s="2">
        <v>184.69</v>
      </c>
      <c r="M339" s="64" t="s">
        <v>77</v>
      </c>
      <c r="N339" s="1"/>
      <c r="O339" s="12">
        <f t="shared" si="55"/>
        <v>1.4956809844988816E-2</v>
      </c>
      <c r="P339" s="12">
        <f t="shared" si="56"/>
        <v>1.6680202411445189E-2</v>
      </c>
      <c r="Q339" s="12">
        <f t="shared" si="57"/>
        <v>-8.1920209715735659E-4</v>
      </c>
      <c r="R339" s="12">
        <f t="shared" si="58"/>
        <v>5.1093588325543227E-2</v>
      </c>
      <c r="S339" s="12">
        <f t="shared" si="59"/>
        <v>-8.1153996779949056E-3</v>
      </c>
      <c r="T339" s="12">
        <f t="shared" si="60"/>
        <v>-1.9104329487656724E-2</v>
      </c>
      <c r="U339" s="12">
        <f t="shared" si="61"/>
        <v>6.2514470942349742E-3</v>
      </c>
      <c r="V339" s="12">
        <f t="shared" si="62"/>
        <v>-3.1754432389520248E-3</v>
      </c>
      <c r="W339" s="12">
        <f t="shared" si="63"/>
        <v>1.0233173811220908E-2</v>
      </c>
      <c r="X339" s="12">
        <f t="shared" si="64"/>
        <v>-3.998223011994706E-3</v>
      </c>
      <c r="Y339" s="12">
        <f t="shared" si="65"/>
        <v>-1.0606953447259815E-2</v>
      </c>
    </row>
    <row r="340" spans="1:25" x14ac:dyDescent="0.35">
      <c r="A340" s="6">
        <v>44617</v>
      </c>
      <c r="B340" s="8">
        <v>4384.6499999999996</v>
      </c>
      <c r="C340" s="2">
        <v>164.85</v>
      </c>
      <c r="D340" s="2">
        <v>124.18</v>
      </c>
      <c r="E340" s="2">
        <v>297.31</v>
      </c>
      <c r="F340" s="2">
        <v>475.75</v>
      </c>
      <c r="G340" s="2">
        <v>166</v>
      </c>
      <c r="H340" s="2">
        <v>219.27</v>
      </c>
      <c r="I340" s="2">
        <v>193.71</v>
      </c>
      <c r="J340" s="2">
        <v>201.48</v>
      </c>
      <c r="K340" s="2">
        <v>45.46</v>
      </c>
      <c r="L340" s="2">
        <v>187.06</v>
      </c>
      <c r="M340" s="64" t="s">
        <v>77</v>
      </c>
      <c r="N340" s="1"/>
      <c r="O340" s="12">
        <f t="shared" si="55"/>
        <v>2.2372746986266234E-2</v>
      </c>
      <c r="P340" s="12">
        <f t="shared" si="56"/>
        <v>1.2965466388103586E-2</v>
      </c>
      <c r="Q340" s="12">
        <f t="shared" si="57"/>
        <v>1.8119209641715317E-2</v>
      </c>
      <c r="R340" s="12">
        <f t="shared" si="58"/>
        <v>9.233171526528583E-3</v>
      </c>
      <c r="S340" s="12">
        <f t="shared" si="59"/>
        <v>4.3563140231196229E-2</v>
      </c>
      <c r="T340" s="12">
        <f t="shared" si="60"/>
        <v>4.9702794991779431E-2</v>
      </c>
      <c r="U340" s="12">
        <f t="shared" si="61"/>
        <v>9.0658076392085007E-3</v>
      </c>
      <c r="V340" s="12">
        <f t="shared" si="62"/>
        <v>2.8457658614281955E-2</v>
      </c>
      <c r="W340" s="12">
        <f t="shared" si="63"/>
        <v>1.5370659678475951E-2</v>
      </c>
      <c r="X340" s="12">
        <f t="shared" si="64"/>
        <v>1.3826940231935758E-2</v>
      </c>
      <c r="Y340" s="12">
        <f t="shared" si="65"/>
        <v>1.2832313606583989E-2</v>
      </c>
    </row>
    <row r="341" spans="1:25" x14ac:dyDescent="0.35">
      <c r="A341" s="6">
        <v>44620</v>
      </c>
      <c r="B341" s="8">
        <v>4373.9399999999996</v>
      </c>
      <c r="C341" s="2">
        <v>165.12</v>
      </c>
      <c r="D341" s="2">
        <v>122.51</v>
      </c>
      <c r="E341" s="2">
        <v>298.79000000000002</v>
      </c>
      <c r="F341" s="2">
        <v>475.87</v>
      </c>
      <c r="G341" s="2">
        <v>164.57</v>
      </c>
      <c r="H341" s="2">
        <v>216.12</v>
      </c>
      <c r="I341" s="2">
        <v>194.54</v>
      </c>
      <c r="J341" s="2">
        <v>205.34</v>
      </c>
      <c r="K341" s="2">
        <v>45.05</v>
      </c>
      <c r="L341" s="2">
        <v>187.58</v>
      </c>
      <c r="M341" s="64">
        <v>4.3</v>
      </c>
      <c r="N341" s="1"/>
      <c r="O341" s="12">
        <f t="shared" si="55"/>
        <v>-2.4426122951660689E-3</v>
      </c>
      <c r="P341" s="12">
        <f t="shared" si="56"/>
        <v>1.6378525932667642E-3</v>
      </c>
      <c r="Q341" s="12">
        <f t="shared" si="57"/>
        <v>-1.3448220325334215E-2</v>
      </c>
      <c r="R341" s="12">
        <f t="shared" si="58"/>
        <v>4.9779691231375267E-3</v>
      </c>
      <c r="S341" s="12">
        <f t="shared" si="59"/>
        <v>2.5223331581702979E-4</v>
      </c>
      <c r="T341" s="12">
        <f t="shared" si="60"/>
        <v>-8.6144578313253062E-3</v>
      </c>
      <c r="U341" s="12">
        <f t="shared" si="61"/>
        <v>-1.4365850321521489E-2</v>
      </c>
      <c r="V341" s="12">
        <f t="shared" si="62"/>
        <v>4.2847555624385691E-3</v>
      </c>
      <c r="W341" s="12">
        <f t="shared" si="63"/>
        <v>1.9158229104625946E-2</v>
      </c>
      <c r="X341" s="12">
        <f t="shared" si="64"/>
        <v>-9.0189177298725109E-3</v>
      </c>
      <c r="Y341" s="12">
        <f t="shared" si="65"/>
        <v>2.7798567304608834E-3</v>
      </c>
    </row>
    <row r="342" spans="1:25" x14ac:dyDescent="0.35">
      <c r="A342" s="6">
        <v>44621</v>
      </c>
      <c r="B342" s="8">
        <v>4306.26</v>
      </c>
      <c r="C342" s="2">
        <v>163.19999999999999</v>
      </c>
      <c r="D342" s="2">
        <v>121.35</v>
      </c>
      <c r="E342" s="2">
        <v>294.95</v>
      </c>
      <c r="F342" s="2">
        <v>476.25</v>
      </c>
      <c r="G342" s="2">
        <v>164</v>
      </c>
      <c r="H342" s="2">
        <v>208.97</v>
      </c>
      <c r="I342" s="2">
        <v>178.06</v>
      </c>
      <c r="J342" s="2">
        <v>194.91</v>
      </c>
      <c r="K342" s="2">
        <v>45.33</v>
      </c>
      <c r="L342" s="2">
        <v>182.83</v>
      </c>
      <c r="M342" s="64" t="s">
        <v>77</v>
      </c>
      <c r="N342" s="1"/>
      <c r="O342" s="12">
        <f t="shared" si="55"/>
        <v>-1.5473463284818578E-2</v>
      </c>
      <c r="P342" s="12">
        <f t="shared" si="56"/>
        <v>-1.1627906976744318E-2</v>
      </c>
      <c r="Q342" s="12">
        <f t="shared" si="57"/>
        <v>-9.4686148069546006E-3</v>
      </c>
      <c r="R342" s="12">
        <f t="shared" si="58"/>
        <v>-1.2851835737474615E-2</v>
      </c>
      <c r="S342" s="12">
        <f t="shared" si="59"/>
        <v>7.9853741568070014E-4</v>
      </c>
      <c r="T342" s="12">
        <f t="shared" si="60"/>
        <v>-3.4635717323934223E-3</v>
      </c>
      <c r="U342" s="12">
        <f t="shared" si="61"/>
        <v>-3.3083472145104542E-2</v>
      </c>
      <c r="V342" s="12">
        <f t="shared" si="62"/>
        <v>-8.4712655495013833E-2</v>
      </c>
      <c r="W342" s="12">
        <f t="shared" si="63"/>
        <v>-5.0793805395928704E-2</v>
      </c>
      <c r="X342" s="12">
        <f t="shared" si="64"/>
        <v>6.2153163152054436E-3</v>
      </c>
      <c r="Y342" s="12">
        <f t="shared" si="65"/>
        <v>-2.5322529054270126E-2</v>
      </c>
    </row>
    <row r="343" spans="1:25" x14ac:dyDescent="0.35">
      <c r="A343" s="6">
        <v>44622</v>
      </c>
      <c r="B343" s="8">
        <v>4386.54</v>
      </c>
      <c r="C343" s="2">
        <v>166.56</v>
      </c>
      <c r="D343" s="2">
        <v>123.86</v>
      </c>
      <c r="E343" s="2">
        <v>300.19</v>
      </c>
      <c r="F343" s="2">
        <v>485.38</v>
      </c>
      <c r="G343" s="2">
        <v>166.04</v>
      </c>
      <c r="H343" s="2">
        <v>208.48</v>
      </c>
      <c r="I343" s="2">
        <v>180.31</v>
      </c>
      <c r="J343" s="2">
        <v>197.81</v>
      </c>
      <c r="K343" s="2">
        <v>45.39</v>
      </c>
      <c r="L343" s="2">
        <v>192.61</v>
      </c>
      <c r="M343" s="64" t="s">
        <v>77</v>
      </c>
      <c r="N343" s="1"/>
      <c r="O343" s="12">
        <f t="shared" si="55"/>
        <v>1.8642627244987553E-2</v>
      </c>
      <c r="P343" s="12">
        <f t="shared" si="56"/>
        <v>2.0588235294117796E-2</v>
      </c>
      <c r="Q343" s="12">
        <f t="shared" si="57"/>
        <v>2.0683971981870775E-2</v>
      </c>
      <c r="R343" s="12">
        <f t="shared" si="58"/>
        <v>1.7765723003899003E-2</v>
      </c>
      <c r="S343" s="12">
        <f t="shared" si="59"/>
        <v>1.9170603674540709E-2</v>
      </c>
      <c r="T343" s="12">
        <f t="shared" si="60"/>
        <v>1.2439024390243913E-2</v>
      </c>
      <c r="U343" s="12">
        <f t="shared" si="61"/>
        <v>-2.3448341867253752E-3</v>
      </c>
      <c r="V343" s="12">
        <f t="shared" si="62"/>
        <v>1.2636190048298301E-2</v>
      </c>
      <c r="W343" s="12">
        <f t="shared" si="63"/>
        <v>1.4878661946539529E-2</v>
      </c>
      <c r="X343" s="12">
        <f t="shared" si="64"/>
        <v>1.323626737260053E-3</v>
      </c>
      <c r="Y343" s="12">
        <f t="shared" si="65"/>
        <v>5.3492315265547319E-2</v>
      </c>
    </row>
    <row r="344" spans="1:25" x14ac:dyDescent="0.35">
      <c r="A344" s="6">
        <v>44623</v>
      </c>
      <c r="B344" s="8">
        <v>4363.49</v>
      </c>
      <c r="C344" s="2">
        <v>166.23</v>
      </c>
      <c r="D344" s="2">
        <v>125.93</v>
      </c>
      <c r="E344" s="2">
        <v>295.92</v>
      </c>
      <c r="F344" s="2">
        <v>486.59</v>
      </c>
      <c r="G344" s="2">
        <v>168.48</v>
      </c>
      <c r="H344" s="2">
        <v>207.23</v>
      </c>
      <c r="I344" s="2">
        <v>179.89</v>
      </c>
      <c r="J344" s="2">
        <v>188.85</v>
      </c>
      <c r="K344" s="2">
        <v>46.43</v>
      </c>
      <c r="L344" s="2">
        <v>194.85</v>
      </c>
      <c r="M344" s="64" t="s">
        <v>77</v>
      </c>
      <c r="N344" s="1"/>
      <c r="O344" s="12">
        <f t="shared" si="55"/>
        <v>-5.2547110022934662E-3</v>
      </c>
      <c r="P344" s="12">
        <f t="shared" si="56"/>
        <v>-1.9812680115274262E-3</v>
      </c>
      <c r="Q344" s="12">
        <f t="shared" si="57"/>
        <v>1.6712417245277056E-2</v>
      </c>
      <c r="R344" s="12">
        <f t="shared" si="58"/>
        <v>-1.4224324594423465E-2</v>
      </c>
      <c r="S344" s="12">
        <f t="shared" si="59"/>
        <v>2.4928921669620241E-3</v>
      </c>
      <c r="T344" s="12">
        <f t="shared" si="60"/>
        <v>1.4695254155625115E-2</v>
      </c>
      <c r="U344" s="12">
        <f t="shared" si="61"/>
        <v>-5.9957789716039711E-3</v>
      </c>
      <c r="V344" s="12">
        <f t="shared" si="62"/>
        <v>-2.3293217236981523E-3</v>
      </c>
      <c r="W344" s="12">
        <f t="shared" si="63"/>
        <v>-4.5295991102573208E-2</v>
      </c>
      <c r="X344" s="12">
        <f t="shared" si="64"/>
        <v>2.2912535800837075E-2</v>
      </c>
      <c r="Y344" s="12">
        <f t="shared" si="65"/>
        <v>1.1629718083173257E-2</v>
      </c>
    </row>
    <row r="345" spans="1:25" x14ac:dyDescent="0.35">
      <c r="A345" s="6">
        <v>44624</v>
      </c>
      <c r="B345" s="8">
        <v>4328.87</v>
      </c>
      <c r="C345" s="2">
        <v>163.16999999999999</v>
      </c>
      <c r="D345" s="2">
        <v>126.62</v>
      </c>
      <c r="E345" s="2">
        <v>289.86</v>
      </c>
      <c r="F345" s="2">
        <v>498.65</v>
      </c>
      <c r="G345" s="2">
        <v>169.48</v>
      </c>
      <c r="H345" s="2">
        <v>200.29</v>
      </c>
      <c r="I345" s="2">
        <v>172.95</v>
      </c>
      <c r="J345" s="2">
        <v>180.84</v>
      </c>
      <c r="K345" s="2">
        <v>47.61</v>
      </c>
      <c r="L345" s="2">
        <v>195.66</v>
      </c>
      <c r="M345" s="64" t="s">
        <v>77</v>
      </c>
      <c r="N345" s="1"/>
      <c r="O345" s="12">
        <f t="shared" si="55"/>
        <v>-7.93401612012401E-3</v>
      </c>
      <c r="P345" s="12">
        <f t="shared" si="56"/>
        <v>-1.840822956145105E-2</v>
      </c>
      <c r="Q345" s="12">
        <f t="shared" si="57"/>
        <v>5.4792344953544792E-3</v>
      </c>
      <c r="R345" s="12">
        <f t="shared" si="58"/>
        <v>-2.0478507704785098E-2</v>
      </c>
      <c r="S345" s="12">
        <f t="shared" si="59"/>
        <v>2.4784726361002152E-2</v>
      </c>
      <c r="T345" s="12">
        <f t="shared" si="60"/>
        <v>5.9354226020893464E-3</v>
      </c>
      <c r="U345" s="12">
        <f t="shared" si="61"/>
        <v>-3.3489359648699479E-2</v>
      </c>
      <c r="V345" s="12">
        <f t="shared" si="62"/>
        <v>-3.857913169158933E-2</v>
      </c>
      <c r="W345" s="12">
        <f t="shared" si="63"/>
        <v>-4.2414614773629844E-2</v>
      </c>
      <c r="X345" s="12">
        <f t="shared" si="64"/>
        <v>2.5414602627611416E-2</v>
      </c>
      <c r="Y345" s="12">
        <f t="shared" si="65"/>
        <v>4.1570438799076737E-3</v>
      </c>
    </row>
    <row r="346" spans="1:25" x14ac:dyDescent="0.35">
      <c r="A346" s="6">
        <v>44627</v>
      </c>
      <c r="B346" s="8">
        <v>4201.09</v>
      </c>
      <c r="C346" s="2">
        <v>159.30000000000001</v>
      </c>
      <c r="D346" s="2">
        <v>126.07</v>
      </c>
      <c r="E346" s="2">
        <v>278.91000000000003</v>
      </c>
      <c r="F346" s="2">
        <v>486.87</v>
      </c>
      <c r="G346" s="2">
        <v>172.21</v>
      </c>
      <c r="H346" s="2">
        <v>190.7</v>
      </c>
      <c r="I346" s="2">
        <v>159.13</v>
      </c>
      <c r="J346" s="2">
        <v>169.17</v>
      </c>
      <c r="K346" s="2">
        <v>47.22</v>
      </c>
      <c r="L346" s="2">
        <v>196.7</v>
      </c>
      <c r="M346" s="64">
        <v>4.3</v>
      </c>
      <c r="N346" s="1"/>
      <c r="O346" s="12">
        <f t="shared" si="55"/>
        <v>-2.9518095946517109E-2</v>
      </c>
      <c r="P346" s="12">
        <f t="shared" si="56"/>
        <v>-2.3717595146166448E-2</v>
      </c>
      <c r="Q346" s="12">
        <f t="shared" si="57"/>
        <v>-4.3437055757384879E-3</v>
      </c>
      <c r="R346" s="12">
        <f t="shared" si="58"/>
        <v>-3.777685779341744E-2</v>
      </c>
      <c r="S346" s="12">
        <f t="shared" si="59"/>
        <v>-2.3623784217386867E-2</v>
      </c>
      <c r="T346" s="12">
        <f t="shared" si="60"/>
        <v>1.6108095350483964E-2</v>
      </c>
      <c r="U346" s="12">
        <f t="shared" si="61"/>
        <v>-4.7880573168905149E-2</v>
      </c>
      <c r="V346" s="12">
        <f t="shared" si="62"/>
        <v>-7.9907487713211878E-2</v>
      </c>
      <c r="W346" s="12">
        <f t="shared" si="63"/>
        <v>-6.4532183145321942E-2</v>
      </c>
      <c r="X346" s="12">
        <f t="shared" si="64"/>
        <v>-8.1915563957152271E-3</v>
      </c>
      <c r="Y346" s="12">
        <f t="shared" si="65"/>
        <v>5.3153429418377751E-3</v>
      </c>
    </row>
    <row r="347" spans="1:25" x14ac:dyDescent="0.35">
      <c r="A347" s="6">
        <v>44628</v>
      </c>
      <c r="B347" s="8">
        <v>4170.7</v>
      </c>
      <c r="C347" s="2">
        <v>157.44</v>
      </c>
      <c r="D347" s="2">
        <v>125.68</v>
      </c>
      <c r="E347" s="2">
        <v>275.85000000000002</v>
      </c>
      <c r="F347" s="2">
        <v>473.46</v>
      </c>
      <c r="G347" s="2">
        <v>168.72</v>
      </c>
      <c r="H347" s="2">
        <v>191.71</v>
      </c>
      <c r="I347" s="2">
        <v>160.05000000000001</v>
      </c>
      <c r="J347" s="2">
        <v>173.8</v>
      </c>
      <c r="K347" s="2">
        <v>46.25</v>
      </c>
      <c r="L347" s="2">
        <v>210</v>
      </c>
      <c r="M347" s="64" t="s">
        <v>77</v>
      </c>
      <c r="N347" s="1"/>
      <c r="O347" s="12">
        <f t="shared" si="55"/>
        <v>-7.2338369327961116E-3</v>
      </c>
      <c r="P347" s="12">
        <f t="shared" si="56"/>
        <v>-1.167608286252364E-2</v>
      </c>
      <c r="Q347" s="12">
        <f t="shared" si="57"/>
        <v>-3.0935194733083815E-3</v>
      </c>
      <c r="R347" s="12">
        <f t="shared" si="58"/>
        <v>-1.0971281058405946E-2</v>
      </c>
      <c r="S347" s="12">
        <f t="shared" si="59"/>
        <v>-2.7543286708977766E-2</v>
      </c>
      <c r="T347" s="12">
        <f t="shared" si="60"/>
        <v>-2.026595435805123E-2</v>
      </c>
      <c r="U347" s="12">
        <f t="shared" si="61"/>
        <v>5.2962768746722677E-3</v>
      </c>
      <c r="V347" s="12">
        <f t="shared" si="62"/>
        <v>5.7814365613022556E-3</v>
      </c>
      <c r="W347" s="12">
        <f t="shared" si="63"/>
        <v>2.7368918839037804E-2</v>
      </c>
      <c r="X347" s="12">
        <f t="shared" si="64"/>
        <v>-2.0542143159678061E-2</v>
      </c>
      <c r="Y347" s="12">
        <f t="shared" si="65"/>
        <v>6.7615658362989439E-2</v>
      </c>
    </row>
    <row r="348" spans="1:25" x14ac:dyDescent="0.35">
      <c r="A348" s="6">
        <v>44629</v>
      </c>
      <c r="B348" s="8">
        <v>4277.88</v>
      </c>
      <c r="C348" s="2">
        <v>162.94999999999999</v>
      </c>
      <c r="D348" s="2">
        <v>126.22</v>
      </c>
      <c r="E348" s="2">
        <v>288.5</v>
      </c>
      <c r="F348" s="2">
        <v>485.57</v>
      </c>
      <c r="G348" s="2">
        <v>169.36</v>
      </c>
      <c r="H348" s="2">
        <v>199.76</v>
      </c>
      <c r="I348" s="2">
        <v>168.65</v>
      </c>
      <c r="J348" s="2">
        <v>178.56</v>
      </c>
      <c r="K348" s="2">
        <v>46.49</v>
      </c>
      <c r="L348" s="2">
        <v>209.78</v>
      </c>
      <c r="M348" s="64" t="s">
        <v>77</v>
      </c>
      <c r="N348" s="1"/>
      <c r="O348" s="12">
        <f t="shared" si="55"/>
        <v>2.5698324022346508E-2</v>
      </c>
      <c r="P348" s="12">
        <f t="shared" si="56"/>
        <v>3.4997459349593418E-2</v>
      </c>
      <c r="Q348" s="12">
        <f t="shared" si="57"/>
        <v>4.2966263526416082E-3</v>
      </c>
      <c r="R348" s="12">
        <f t="shared" si="58"/>
        <v>4.5858256298712874E-2</v>
      </c>
      <c r="S348" s="12">
        <f t="shared" si="59"/>
        <v>2.5577662315718452E-2</v>
      </c>
      <c r="T348" s="12">
        <f t="shared" si="60"/>
        <v>3.7932669511617778E-3</v>
      </c>
      <c r="U348" s="12">
        <f t="shared" si="61"/>
        <v>4.1990506494183899E-2</v>
      </c>
      <c r="V348" s="12">
        <f t="shared" si="62"/>
        <v>5.3733208372383601E-2</v>
      </c>
      <c r="W348" s="12">
        <f t="shared" si="63"/>
        <v>2.7387802071346279E-2</v>
      </c>
      <c r="X348" s="12">
        <f t="shared" si="64"/>
        <v>5.1891891891893138E-3</v>
      </c>
      <c r="Y348" s="12">
        <f t="shared" si="65"/>
        <v>-1.047619047619075E-3</v>
      </c>
    </row>
    <row r="349" spans="1:25" x14ac:dyDescent="0.35">
      <c r="A349" s="6">
        <v>44630</v>
      </c>
      <c r="B349" s="8">
        <v>4259.5200000000004</v>
      </c>
      <c r="C349" s="2">
        <v>158.52000000000001</v>
      </c>
      <c r="D349" s="2">
        <v>124.35</v>
      </c>
      <c r="E349" s="2">
        <v>285.58999999999997</v>
      </c>
      <c r="F349" s="2">
        <v>491.44</v>
      </c>
      <c r="G349" s="2">
        <v>169.66</v>
      </c>
      <c r="H349" s="2">
        <v>197.97</v>
      </c>
      <c r="I349" s="2">
        <v>169.6</v>
      </c>
      <c r="J349" s="2">
        <v>178.39</v>
      </c>
      <c r="K349" s="2">
        <v>47.54</v>
      </c>
      <c r="L349" s="2">
        <v>211.79</v>
      </c>
      <c r="M349" s="64" t="s">
        <v>77</v>
      </c>
      <c r="N349" s="1"/>
      <c r="O349" s="12">
        <f t="shared" si="55"/>
        <v>-4.2918454935622075E-3</v>
      </c>
      <c r="P349" s="12">
        <f t="shared" si="56"/>
        <v>-2.7186253451979003E-2</v>
      </c>
      <c r="Q349" s="12">
        <f t="shared" si="57"/>
        <v>-1.4815401679607043E-2</v>
      </c>
      <c r="R349" s="12">
        <f t="shared" si="58"/>
        <v>-1.0086655112651721E-2</v>
      </c>
      <c r="S349" s="12">
        <f t="shared" si="59"/>
        <v>1.2088885227670598E-2</v>
      </c>
      <c r="T349" s="12">
        <f t="shared" si="60"/>
        <v>1.7713745866791974E-3</v>
      </c>
      <c r="U349" s="12">
        <f t="shared" si="61"/>
        <v>-8.9607529034841926E-3</v>
      </c>
      <c r="V349" s="12">
        <f t="shared" si="62"/>
        <v>5.6329676845536802E-3</v>
      </c>
      <c r="W349" s="12">
        <f t="shared" si="63"/>
        <v>-9.5206093189970087E-4</v>
      </c>
      <c r="X349" s="12">
        <f t="shared" si="64"/>
        <v>2.2585502258550161E-2</v>
      </c>
      <c r="Y349" s="12">
        <f t="shared" si="65"/>
        <v>9.5814662980264753E-3</v>
      </c>
    </row>
    <row r="350" spans="1:25" x14ac:dyDescent="0.35">
      <c r="A350" s="6">
        <v>44631</v>
      </c>
      <c r="B350" s="8">
        <v>4204.3100000000004</v>
      </c>
      <c r="C350" s="2">
        <v>154.72999999999999</v>
      </c>
      <c r="D350" s="2">
        <v>123.96</v>
      </c>
      <c r="E350" s="2">
        <v>280.07</v>
      </c>
      <c r="F350" s="2">
        <v>482.87</v>
      </c>
      <c r="G350" s="2">
        <v>169.35</v>
      </c>
      <c r="H350" s="2">
        <v>196.71</v>
      </c>
      <c r="I350" s="2">
        <v>167.9</v>
      </c>
      <c r="J350" s="2">
        <v>176.23</v>
      </c>
      <c r="K350" s="2">
        <v>47.36</v>
      </c>
      <c r="L350" s="2">
        <v>214.83</v>
      </c>
      <c r="M350" s="64" t="s">
        <v>77</v>
      </c>
      <c r="N350" s="1"/>
      <c r="O350" s="12">
        <f t="shared" si="55"/>
        <v>-1.2961554353542182E-2</v>
      </c>
      <c r="P350" s="12">
        <f t="shared" si="56"/>
        <v>-2.3908655059298622E-2</v>
      </c>
      <c r="Q350" s="12">
        <f t="shared" si="57"/>
        <v>-3.1363088057900779E-3</v>
      </c>
      <c r="R350" s="12">
        <f t="shared" si="58"/>
        <v>-1.9328407857417962E-2</v>
      </c>
      <c r="S350" s="12">
        <f t="shared" si="59"/>
        <v>-1.7438547940745508E-2</v>
      </c>
      <c r="T350" s="12">
        <f t="shared" si="60"/>
        <v>-1.8271837793233381E-3</v>
      </c>
      <c r="U350" s="12">
        <f t="shared" si="61"/>
        <v>-6.3646006970752289E-3</v>
      </c>
      <c r="V350" s="12">
        <f t="shared" si="62"/>
        <v>-1.0023584905660354E-2</v>
      </c>
      <c r="W350" s="12">
        <f t="shared" si="63"/>
        <v>-1.2108302034867457E-2</v>
      </c>
      <c r="X350" s="12">
        <f t="shared" si="64"/>
        <v>-3.786285233487563E-3</v>
      </c>
      <c r="Y350" s="12">
        <f t="shared" si="65"/>
        <v>1.435384106898363E-2</v>
      </c>
    </row>
    <row r="351" spans="1:25" x14ac:dyDescent="0.35">
      <c r="A351" s="6">
        <v>44634</v>
      </c>
      <c r="B351" s="8">
        <v>4173.1099999999997</v>
      </c>
      <c r="C351" s="2">
        <v>150.62</v>
      </c>
      <c r="D351" s="2">
        <v>123.94</v>
      </c>
      <c r="E351" s="2">
        <v>276.44</v>
      </c>
      <c r="F351" s="2">
        <v>487.92</v>
      </c>
      <c r="G351" s="2">
        <v>171.69</v>
      </c>
      <c r="H351" s="2">
        <v>200.33</v>
      </c>
      <c r="I351" s="2">
        <v>172.79</v>
      </c>
      <c r="J351" s="2">
        <v>175.52</v>
      </c>
      <c r="K351" s="2">
        <v>48.02</v>
      </c>
      <c r="L351" s="2">
        <v>215.44</v>
      </c>
      <c r="M351" s="64">
        <v>4.3</v>
      </c>
      <c r="N351" s="1"/>
      <c r="O351" s="12">
        <f t="shared" si="55"/>
        <v>-7.4209561140831104E-3</v>
      </c>
      <c r="P351" s="12">
        <f t="shared" si="56"/>
        <v>-2.6562399017643568E-2</v>
      </c>
      <c r="Q351" s="12">
        <f t="shared" si="57"/>
        <v>-1.6134236850595673E-4</v>
      </c>
      <c r="R351" s="12">
        <f t="shared" si="58"/>
        <v>-1.2961045452922426E-2</v>
      </c>
      <c r="S351" s="12">
        <f t="shared" si="59"/>
        <v>1.0458301406175652E-2</v>
      </c>
      <c r="T351" s="12">
        <f t="shared" si="60"/>
        <v>1.3817537643932676E-2</v>
      </c>
      <c r="U351" s="12">
        <f t="shared" si="61"/>
        <v>1.8402724823344041E-2</v>
      </c>
      <c r="V351" s="12">
        <f t="shared" si="62"/>
        <v>2.9124478856462188E-2</v>
      </c>
      <c r="W351" s="12">
        <f t="shared" si="63"/>
        <v>-4.0288259660669068E-3</v>
      </c>
      <c r="X351" s="12">
        <f t="shared" si="64"/>
        <v>1.3935810810810967E-2</v>
      </c>
      <c r="Y351" s="12">
        <f t="shared" si="65"/>
        <v>2.8394544523575593E-3</v>
      </c>
    </row>
    <row r="352" spans="1:25" x14ac:dyDescent="0.35">
      <c r="A352" s="6">
        <v>44635</v>
      </c>
      <c r="B352" s="8">
        <v>4262.45</v>
      </c>
      <c r="C352" s="2">
        <v>155.09</v>
      </c>
      <c r="D352" s="2">
        <v>125.64</v>
      </c>
      <c r="E352" s="2">
        <v>287.14999999999998</v>
      </c>
      <c r="F352" s="2">
        <v>497.91</v>
      </c>
      <c r="G352" s="2">
        <v>176.14</v>
      </c>
      <c r="H352" s="2">
        <v>206.14</v>
      </c>
      <c r="I352" s="2">
        <v>176.04</v>
      </c>
      <c r="J352" s="2">
        <v>179.89</v>
      </c>
      <c r="K352" s="2">
        <v>48.59</v>
      </c>
      <c r="L352" s="2">
        <v>216.46</v>
      </c>
      <c r="M352" s="64" t="s">
        <v>77</v>
      </c>
      <c r="N352" s="1"/>
      <c r="O352" s="12">
        <f t="shared" si="55"/>
        <v>2.1408493905025416E-2</v>
      </c>
      <c r="P352" s="12">
        <f t="shared" si="56"/>
        <v>2.96773336874252E-2</v>
      </c>
      <c r="Q352" s="12">
        <f t="shared" si="57"/>
        <v>1.3716314345651126E-2</v>
      </c>
      <c r="R352" s="12">
        <f t="shared" si="58"/>
        <v>3.8742584285920811E-2</v>
      </c>
      <c r="S352" s="12">
        <f t="shared" si="59"/>
        <v>2.0474667978357175E-2</v>
      </c>
      <c r="T352" s="12">
        <f t="shared" si="60"/>
        <v>2.5918807152425893E-2</v>
      </c>
      <c r="U352" s="12">
        <f t="shared" si="61"/>
        <v>2.9002146458343647E-2</v>
      </c>
      <c r="V352" s="12">
        <f t="shared" si="62"/>
        <v>1.8808958851785462E-2</v>
      </c>
      <c r="W352" s="12">
        <f t="shared" si="63"/>
        <v>2.4897447584320664E-2</v>
      </c>
      <c r="X352" s="12">
        <f t="shared" si="64"/>
        <v>1.1870054144106579E-2</v>
      </c>
      <c r="Y352" s="12">
        <f t="shared" si="65"/>
        <v>4.7344968436688895E-3</v>
      </c>
    </row>
    <row r="353" spans="1:25" x14ac:dyDescent="0.35">
      <c r="A353" s="6">
        <v>44636</v>
      </c>
      <c r="B353" s="8">
        <v>4357.8599999999997</v>
      </c>
      <c r="C353" s="2">
        <v>159.59</v>
      </c>
      <c r="D353" s="2">
        <v>127.04</v>
      </c>
      <c r="E353" s="2">
        <v>294.39</v>
      </c>
      <c r="F353" s="2">
        <v>498.26</v>
      </c>
      <c r="G353" s="2">
        <v>174.52</v>
      </c>
      <c r="H353" s="2">
        <v>211.87</v>
      </c>
      <c r="I353" s="2">
        <v>180.61</v>
      </c>
      <c r="J353" s="2">
        <v>188.99</v>
      </c>
      <c r="K353" s="2">
        <v>48.45</v>
      </c>
      <c r="L353" s="2">
        <v>216.08</v>
      </c>
      <c r="M353" s="64" t="s">
        <v>77</v>
      </c>
      <c r="N353" s="1"/>
      <c r="O353" s="12">
        <f t="shared" si="55"/>
        <v>2.2383840279651235E-2</v>
      </c>
      <c r="P353" s="12">
        <f t="shared" si="56"/>
        <v>2.9015410406860509E-2</v>
      </c>
      <c r="Q353" s="12">
        <f t="shared" si="57"/>
        <v>1.1142948105698824E-2</v>
      </c>
      <c r="R353" s="12">
        <f t="shared" si="58"/>
        <v>2.5213303151663036E-2</v>
      </c>
      <c r="S353" s="12">
        <f t="shared" si="59"/>
        <v>7.0293828201872799E-4</v>
      </c>
      <c r="T353" s="12">
        <f t="shared" si="60"/>
        <v>-9.1972294765526597E-3</v>
      </c>
      <c r="U353" s="12">
        <f t="shared" si="61"/>
        <v>2.7796643058116022E-2</v>
      </c>
      <c r="V353" s="12">
        <f t="shared" si="62"/>
        <v>2.5960009088843661E-2</v>
      </c>
      <c r="W353" s="12">
        <f t="shared" si="63"/>
        <v>5.0586469509144694E-2</v>
      </c>
      <c r="X353" s="12">
        <f t="shared" si="64"/>
        <v>-2.8812512862729234E-3</v>
      </c>
      <c r="Y353" s="12">
        <f t="shared" si="65"/>
        <v>-1.7555206504665799E-3</v>
      </c>
    </row>
    <row r="354" spans="1:25" x14ac:dyDescent="0.35">
      <c r="A354" s="6">
        <v>44637</v>
      </c>
      <c r="B354" s="8">
        <v>4411.67</v>
      </c>
      <c r="C354" s="2">
        <v>160.62</v>
      </c>
      <c r="D354" s="2">
        <v>127.96</v>
      </c>
      <c r="E354" s="2">
        <v>295.22000000000003</v>
      </c>
      <c r="F354" s="2">
        <v>507.02</v>
      </c>
      <c r="G354" s="2">
        <v>176.8</v>
      </c>
      <c r="H354" s="2">
        <v>213.45</v>
      </c>
      <c r="I354" s="2">
        <v>186.97</v>
      </c>
      <c r="J354" s="2">
        <v>190.19</v>
      </c>
      <c r="K354" s="2">
        <v>48.34</v>
      </c>
      <c r="L354" s="2">
        <v>221.7</v>
      </c>
      <c r="M354" s="64" t="s">
        <v>77</v>
      </c>
      <c r="N354" s="1"/>
      <c r="O354" s="12">
        <f t="shared" si="55"/>
        <v>1.2347803738532281E-2</v>
      </c>
      <c r="P354" s="12">
        <f t="shared" si="56"/>
        <v>6.454038473588497E-3</v>
      </c>
      <c r="Q354" s="12">
        <f t="shared" si="57"/>
        <v>7.2418136020149237E-3</v>
      </c>
      <c r="R354" s="12">
        <f t="shared" si="58"/>
        <v>2.819389245558801E-3</v>
      </c>
      <c r="S354" s="12">
        <f t="shared" si="59"/>
        <v>1.7581182515152616E-2</v>
      </c>
      <c r="T354" s="12">
        <f t="shared" si="60"/>
        <v>1.3064405225762021E-2</v>
      </c>
      <c r="U354" s="12">
        <f t="shared" si="61"/>
        <v>7.457403124557338E-3</v>
      </c>
      <c r="V354" s="12">
        <f t="shared" si="62"/>
        <v>3.521399701013217E-2</v>
      </c>
      <c r="W354" s="12">
        <f t="shared" si="63"/>
        <v>6.3495423038255616E-3</v>
      </c>
      <c r="X354" s="12">
        <f t="shared" si="64"/>
        <v>-2.2703818369452788E-3</v>
      </c>
      <c r="Y354" s="12">
        <f t="shared" si="65"/>
        <v>2.6008885597926579E-2</v>
      </c>
    </row>
    <row r="355" spans="1:25" x14ac:dyDescent="0.35">
      <c r="A355" s="6">
        <v>44638</v>
      </c>
      <c r="B355" s="8">
        <v>4463.12</v>
      </c>
      <c r="C355" s="2">
        <v>163.98</v>
      </c>
      <c r="D355" s="2">
        <v>128.76</v>
      </c>
      <c r="E355" s="2">
        <v>300.43</v>
      </c>
      <c r="F355" s="2">
        <v>506.12</v>
      </c>
      <c r="G355" s="2">
        <v>174.84</v>
      </c>
      <c r="H355" s="2">
        <v>219.11</v>
      </c>
      <c r="I355" s="2">
        <v>190.72</v>
      </c>
      <c r="J355" s="2">
        <v>192.83</v>
      </c>
      <c r="K355" s="2">
        <v>48.48</v>
      </c>
      <c r="L355" s="2">
        <v>220.91</v>
      </c>
      <c r="M355" s="64" t="s">
        <v>77</v>
      </c>
      <c r="N355" s="1"/>
      <c r="O355" s="12">
        <f t="shared" si="55"/>
        <v>1.1662250349640857E-2</v>
      </c>
      <c r="P355" s="12">
        <f t="shared" si="56"/>
        <v>2.0918939110945001E-2</v>
      </c>
      <c r="Q355" s="12">
        <f t="shared" si="57"/>
        <v>6.251953735542326E-3</v>
      </c>
      <c r="R355" s="12">
        <f t="shared" si="58"/>
        <v>1.7647855836325332E-2</v>
      </c>
      <c r="S355" s="12">
        <f t="shared" si="59"/>
        <v>-1.7750779061969091E-3</v>
      </c>
      <c r="T355" s="12">
        <f t="shared" si="60"/>
        <v>-1.1085972850678805E-2</v>
      </c>
      <c r="U355" s="12">
        <f t="shared" si="61"/>
        <v>2.6516748653080402E-2</v>
      </c>
      <c r="V355" s="12">
        <f t="shared" si="62"/>
        <v>2.0056693587206409E-2</v>
      </c>
      <c r="W355" s="12">
        <f t="shared" si="63"/>
        <v>1.3880855986119212E-2</v>
      </c>
      <c r="X355" s="12">
        <f t="shared" si="64"/>
        <v>2.8961522548611729E-3</v>
      </c>
      <c r="Y355" s="12">
        <f t="shared" si="65"/>
        <v>-3.5633739287325161E-3</v>
      </c>
    </row>
    <row r="356" spans="1:25" x14ac:dyDescent="0.35">
      <c r="A356" s="6">
        <v>44641</v>
      </c>
      <c r="B356" s="8">
        <v>4461.18</v>
      </c>
      <c r="C356" s="2">
        <v>165.38</v>
      </c>
      <c r="D356" s="2">
        <v>128.1</v>
      </c>
      <c r="E356" s="2">
        <v>299.16000000000003</v>
      </c>
      <c r="F356" s="2">
        <v>507.66</v>
      </c>
      <c r="G356" s="2">
        <v>175.83</v>
      </c>
      <c r="H356" s="2">
        <v>217.04</v>
      </c>
      <c r="I356" s="2">
        <v>189.09</v>
      </c>
      <c r="J356" s="2">
        <v>185.9</v>
      </c>
      <c r="K356" s="2">
        <v>48.08</v>
      </c>
      <c r="L356" s="2">
        <v>223.71</v>
      </c>
      <c r="M356" s="64">
        <v>4.33</v>
      </c>
      <c r="N356" s="1"/>
      <c r="O356" s="12">
        <f t="shared" si="55"/>
        <v>-4.3467350194470455E-4</v>
      </c>
      <c r="P356" s="12">
        <f t="shared" si="56"/>
        <v>8.5376265398220408E-3</v>
      </c>
      <c r="Q356" s="12">
        <f t="shared" si="57"/>
        <v>-5.1258154706430581E-3</v>
      </c>
      <c r="R356" s="12">
        <f t="shared" si="58"/>
        <v>-4.2272742402555963E-3</v>
      </c>
      <c r="S356" s="12">
        <f t="shared" si="59"/>
        <v>3.0427566585000676E-3</v>
      </c>
      <c r="T356" s="12">
        <f t="shared" si="60"/>
        <v>5.6623198352780957E-3</v>
      </c>
      <c r="U356" s="12">
        <f t="shared" si="61"/>
        <v>-9.4473095705354115E-3</v>
      </c>
      <c r="V356" s="12">
        <f t="shared" si="62"/>
        <v>-8.5465604026845332E-3</v>
      </c>
      <c r="W356" s="12">
        <f t="shared" si="63"/>
        <v>-3.593839132915011E-2</v>
      </c>
      <c r="X356" s="12">
        <f t="shared" si="64"/>
        <v>-8.2508250825081841E-3</v>
      </c>
      <c r="Y356" s="12">
        <f t="shared" si="65"/>
        <v>1.2674844959485787E-2</v>
      </c>
    </row>
    <row r="357" spans="1:25" x14ac:dyDescent="0.35">
      <c r="A357" s="6">
        <v>44642</v>
      </c>
      <c r="B357" s="8">
        <v>4511.6099999999997</v>
      </c>
      <c r="C357" s="2">
        <v>168.82</v>
      </c>
      <c r="D357" s="2">
        <v>129.06</v>
      </c>
      <c r="E357" s="2">
        <v>304.06</v>
      </c>
      <c r="F357" s="2">
        <v>505.32</v>
      </c>
      <c r="G357" s="2">
        <v>175</v>
      </c>
      <c r="H357" s="2">
        <v>218.47</v>
      </c>
      <c r="I357" s="2">
        <v>191.33</v>
      </c>
      <c r="J357" s="2">
        <v>191.04</v>
      </c>
      <c r="K357" s="2">
        <v>47.93</v>
      </c>
      <c r="L357" s="2">
        <v>222.71</v>
      </c>
      <c r="M357" s="64" t="s">
        <v>77</v>
      </c>
      <c r="N357" s="1"/>
      <c r="O357" s="12">
        <f t="shared" si="55"/>
        <v>1.1304184094790948E-2</v>
      </c>
      <c r="P357" s="12">
        <f t="shared" si="56"/>
        <v>2.0800580481315833E-2</v>
      </c>
      <c r="Q357" s="12">
        <f t="shared" si="57"/>
        <v>7.494145199063329E-3</v>
      </c>
      <c r="R357" s="12">
        <f t="shared" si="58"/>
        <v>1.6379195079555986E-2</v>
      </c>
      <c r="S357" s="12">
        <f t="shared" si="59"/>
        <v>-4.6093842335421797E-3</v>
      </c>
      <c r="T357" s="12">
        <f t="shared" si="60"/>
        <v>-4.7204686344765046E-3</v>
      </c>
      <c r="U357" s="12">
        <f t="shared" si="61"/>
        <v>6.5886472539624652E-3</v>
      </c>
      <c r="V357" s="12">
        <f t="shared" si="62"/>
        <v>1.1846210799090429E-2</v>
      </c>
      <c r="W357" s="12">
        <f t="shared" si="63"/>
        <v>2.7649273803119989E-2</v>
      </c>
      <c r="X357" s="12">
        <f t="shared" si="64"/>
        <v>-3.1198003327786994E-3</v>
      </c>
      <c r="Y357" s="12">
        <f t="shared" si="65"/>
        <v>-4.4700728621877017E-3</v>
      </c>
    </row>
    <row r="358" spans="1:25" x14ac:dyDescent="0.35">
      <c r="A358" s="6">
        <v>44643</v>
      </c>
      <c r="B358" s="8">
        <v>4456.24</v>
      </c>
      <c r="C358" s="2">
        <v>170.21</v>
      </c>
      <c r="D358" s="2">
        <v>128.30000000000001</v>
      </c>
      <c r="E358" s="2">
        <v>299.49</v>
      </c>
      <c r="F358" s="2">
        <v>503.23</v>
      </c>
      <c r="G358" s="2">
        <v>174.34</v>
      </c>
      <c r="H358" s="2">
        <v>214.68</v>
      </c>
      <c r="I358" s="2">
        <v>186.02</v>
      </c>
      <c r="J358" s="2">
        <v>186.04</v>
      </c>
      <c r="K358" s="2">
        <v>47.32</v>
      </c>
      <c r="L358" s="2">
        <v>222.17</v>
      </c>
      <c r="M358" s="64" t="s">
        <v>77</v>
      </c>
      <c r="N358" s="1"/>
      <c r="O358" s="12">
        <f t="shared" si="55"/>
        <v>-1.2272780670315009E-2</v>
      </c>
      <c r="P358" s="12">
        <f t="shared" si="56"/>
        <v>8.2336216088141345E-3</v>
      </c>
      <c r="Q358" s="12">
        <f t="shared" si="57"/>
        <v>-5.8887339222066792E-3</v>
      </c>
      <c r="R358" s="12">
        <f t="shared" si="58"/>
        <v>-1.5029928303624263E-2</v>
      </c>
      <c r="S358" s="12">
        <f t="shared" si="59"/>
        <v>-4.135993034116936E-3</v>
      </c>
      <c r="T358" s="12">
        <f t="shared" si="60"/>
        <v>-3.7714285714285367E-3</v>
      </c>
      <c r="U358" s="12">
        <f t="shared" si="61"/>
        <v>-1.7347919622831443E-2</v>
      </c>
      <c r="V358" s="12">
        <f t="shared" si="62"/>
        <v>-2.775309674384574E-2</v>
      </c>
      <c r="W358" s="12">
        <f t="shared" si="63"/>
        <v>-2.6172529313232884E-2</v>
      </c>
      <c r="X358" s="12">
        <f t="shared" si="64"/>
        <v>-1.2726893386188154E-2</v>
      </c>
      <c r="Y358" s="12">
        <f t="shared" si="65"/>
        <v>-2.424677832158495E-3</v>
      </c>
    </row>
    <row r="359" spans="1:25" x14ac:dyDescent="0.35">
      <c r="A359" s="6">
        <v>44644</v>
      </c>
      <c r="B359" s="8">
        <v>4520.16</v>
      </c>
      <c r="C359" s="2">
        <v>174.07</v>
      </c>
      <c r="D359" s="2">
        <v>129.25</v>
      </c>
      <c r="E359" s="2">
        <v>304.10000000000002</v>
      </c>
      <c r="F359" s="2">
        <v>513.46</v>
      </c>
      <c r="G359" s="2">
        <v>175.24</v>
      </c>
      <c r="H359" s="2">
        <v>217.31</v>
      </c>
      <c r="I359" s="2">
        <v>188.89</v>
      </c>
      <c r="J359" s="2">
        <v>189.05</v>
      </c>
      <c r="K359" s="2">
        <v>47.61</v>
      </c>
      <c r="L359" s="2">
        <v>222.21</v>
      </c>
      <c r="M359" s="64" t="s">
        <v>77</v>
      </c>
      <c r="N359" s="1"/>
      <c r="O359" s="12">
        <f t="shared" si="55"/>
        <v>1.4343931206577842E-2</v>
      </c>
      <c r="P359" s="12">
        <f t="shared" si="56"/>
        <v>2.2677868515363242E-2</v>
      </c>
      <c r="Q359" s="12">
        <f t="shared" si="57"/>
        <v>7.4045206547155296E-3</v>
      </c>
      <c r="R359" s="12">
        <f t="shared" si="58"/>
        <v>1.5392834485291607E-2</v>
      </c>
      <c r="S359" s="12">
        <f t="shared" si="59"/>
        <v>2.0328676748206709E-2</v>
      </c>
      <c r="T359" s="12">
        <f t="shared" si="60"/>
        <v>5.1623264884708142E-3</v>
      </c>
      <c r="U359" s="12">
        <f t="shared" si="61"/>
        <v>1.2250791876280864E-2</v>
      </c>
      <c r="V359" s="12">
        <f t="shared" si="62"/>
        <v>1.5428448553918894E-2</v>
      </c>
      <c r="W359" s="12">
        <f t="shared" si="63"/>
        <v>1.6179316276069722E-2</v>
      </c>
      <c r="X359" s="12">
        <f t="shared" si="64"/>
        <v>6.128486897717611E-3</v>
      </c>
      <c r="Y359" s="12">
        <f t="shared" si="65"/>
        <v>1.8004230994295156E-4</v>
      </c>
    </row>
    <row r="360" spans="1:25" x14ac:dyDescent="0.35">
      <c r="A360" s="6">
        <v>44645</v>
      </c>
      <c r="B360" s="8">
        <v>4543.0600000000004</v>
      </c>
      <c r="C360" s="2">
        <v>174.72</v>
      </c>
      <c r="D360" s="2">
        <v>131.35</v>
      </c>
      <c r="E360" s="2">
        <v>303.68</v>
      </c>
      <c r="F360" s="2">
        <v>513.03</v>
      </c>
      <c r="G360" s="2">
        <v>176.92</v>
      </c>
      <c r="H360" s="2">
        <v>218.43</v>
      </c>
      <c r="I360" s="2">
        <v>190.28</v>
      </c>
      <c r="J360" s="2">
        <v>188.95</v>
      </c>
      <c r="K360" s="2">
        <v>47.82</v>
      </c>
      <c r="L360" s="2">
        <v>223.36</v>
      </c>
      <c r="M360" s="64" t="s">
        <v>77</v>
      </c>
      <c r="N360" s="1"/>
      <c r="O360" s="12">
        <f t="shared" si="55"/>
        <v>5.0661923471737591E-3</v>
      </c>
      <c r="P360" s="12">
        <f t="shared" si="56"/>
        <v>3.7341299477222645E-3</v>
      </c>
      <c r="Q360" s="12">
        <f t="shared" si="57"/>
        <v>1.6247582205028976E-2</v>
      </c>
      <c r="R360" s="12">
        <f t="shared" si="58"/>
        <v>-1.3811246300559077E-3</v>
      </c>
      <c r="S360" s="12">
        <f t="shared" si="59"/>
        <v>-8.3745569275128773E-4</v>
      </c>
      <c r="T360" s="12">
        <f t="shared" si="60"/>
        <v>9.5868523168225472E-3</v>
      </c>
      <c r="U360" s="12">
        <f t="shared" si="61"/>
        <v>5.1539275689107544E-3</v>
      </c>
      <c r="V360" s="12">
        <f t="shared" si="62"/>
        <v>7.3587802424692761E-3</v>
      </c>
      <c r="W360" s="12">
        <f t="shared" si="63"/>
        <v>-5.289605924360119E-4</v>
      </c>
      <c r="X360" s="12">
        <f t="shared" si="64"/>
        <v>4.4108380592313701E-3</v>
      </c>
      <c r="Y360" s="12">
        <f t="shared" si="65"/>
        <v>5.1752846406551978E-3</v>
      </c>
    </row>
    <row r="361" spans="1:25" x14ac:dyDescent="0.35">
      <c r="A361" s="6">
        <v>44648</v>
      </c>
      <c r="B361" s="8">
        <v>4575.5200000000004</v>
      </c>
      <c r="C361" s="2">
        <v>175.6</v>
      </c>
      <c r="D361" s="2">
        <v>131.47</v>
      </c>
      <c r="E361" s="2">
        <v>310.7</v>
      </c>
      <c r="F361" s="2">
        <v>513.20000000000005</v>
      </c>
      <c r="G361" s="2">
        <v>177.83</v>
      </c>
      <c r="H361" s="2">
        <v>220.77</v>
      </c>
      <c r="I361" s="2">
        <v>189.7</v>
      </c>
      <c r="J361" s="2">
        <v>188.16</v>
      </c>
      <c r="K361" s="2">
        <v>48.67</v>
      </c>
      <c r="L361" s="2">
        <v>221.85</v>
      </c>
      <c r="M361" s="64">
        <v>4.3499999999999996</v>
      </c>
      <c r="N361" s="1"/>
      <c r="O361" s="12">
        <f t="shared" si="55"/>
        <v>7.1449639670178033E-3</v>
      </c>
      <c r="P361" s="12">
        <f t="shared" si="56"/>
        <v>5.0366300366300187E-3</v>
      </c>
      <c r="Q361" s="12">
        <f t="shared" si="57"/>
        <v>9.1358964598398096E-4</v>
      </c>
      <c r="R361" s="12">
        <f t="shared" si="58"/>
        <v>2.3116438356164393E-2</v>
      </c>
      <c r="S361" s="12">
        <f t="shared" si="59"/>
        <v>3.3136463754579459E-4</v>
      </c>
      <c r="T361" s="12">
        <f t="shared" si="60"/>
        <v>5.1435677142213088E-3</v>
      </c>
      <c r="U361" s="12">
        <f t="shared" si="61"/>
        <v>1.0712814173877261E-2</v>
      </c>
      <c r="V361" s="12">
        <f t="shared" si="62"/>
        <v>-3.0481395837713698E-3</v>
      </c>
      <c r="W361" s="12">
        <f t="shared" si="63"/>
        <v>-4.1810002646202049E-3</v>
      </c>
      <c r="X361" s="12">
        <f t="shared" si="64"/>
        <v>1.7774989544123931E-2</v>
      </c>
      <c r="Y361" s="12">
        <f t="shared" si="65"/>
        <v>-6.7603868194843209E-3</v>
      </c>
    </row>
    <row r="362" spans="1:25" x14ac:dyDescent="0.35">
      <c r="A362" s="6">
        <v>44649</v>
      </c>
      <c r="B362" s="8">
        <v>4631.6000000000004</v>
      </c>
      <c r="C362" s="2">
        <v>178.96</v>
      </c>
      <c r="D362" s="2">
        <v>131.94</v>
      </c>
      <c r="E362" s="2">
        <v>315.41000000000003</v>
      </c>
      <c r="F362" s="2">
        <v>510.73</v>
      </c>
      <c r="G362" s="2">
        <v>177.74</v>
      </c>
      <c r="H362" s="2">
        <v>228.12</v>
      </c>
      <c r="I362" s="2">
        <v>190.94</v>
      </c>
      <c r="J362" s="2">
        <v>193.8</v>
      </c>
      <c r="K362" s="2">
        <v>49.08</v>
      </c>
      <c r="L362" s="2">
        <v>221.04</v>
      </c>
      <c r="M362" s="64" t="s">
        <v>77</v>
      </c>
      <c r="N362" s="1"/>
      <c r="O362" s="12">
        <f t="shared" si="55"/>
        <v>1.2256530405287291E-2</v>
      </c>
      <c r="P362" s="12">
        <f t="shared" si="56"/>
        <v>1.9134396355353189E-2</v>
      </c>
      <c r="Q362" s="12">
        <f t="shared" si="57"/>
        <v>3.5749600669354731E-3</v>
      </c>
      <c r="R362" s="12">
        <f t="shared" si="58"/>
        <v>1.5159317669777961E-2</v>
      </c>
      <c r="S362" s="12">
        <f t="shared" si="59"/>
        <v>-4.812938425565183E-3</v>
      </c>
      <c r="T362" s="12">
        <f t="shared" si="60"/>
        <v>-5.0610133273354396E-4</v>
      </c>
      <c r="U362" s="12">
        <f t="shared" si="61"/>
        <v>3.3292566924853828E-2</v>
      </c>
      <c r="V362" s="12">
        <f t="shared" si="62"/>
        <v>6.5366367949393211E-3</v>
      </c>
      <c r="W362" s="12">
        <f t="shared" si="63"/>
        <v>2.9974489795918435E-2</v>
      </c>
      <c r="X362" s="12">
        <f t="shared" si="64"/>
        <v>8.4240805424284915E-3</v>
      </c>
      <c r="Y362" s="12">
        <f t="shared" si="65"/>
        <v>-3.6511156186612714E-3</v>
      </c>
    </row>
    <row r="363" spans="1:25" x14ac:dyDescent="0.35">
      <c r="A363" s="6">
        <v>44650</v>
      </c>
      <c r="B363" s="8">
        <v>4602.45</v>
      </c>
      <c r="C363" s="2">
        <v>177.77</v>
      </c>
      <c r="D363" s="2">
        <v>132.13</v>
      </c>
      <c r="E363" s="2">
        <v>313.86</v>
      </c>
      <c r="F363" s="2">
        <v>520.82000000000005</v>
      </c>
      <c r="G363" s="2">
        <v>179.59</v>
      </c>
      <c r="H363" s="2">
        <v>223.95</v>
      </c>
      <c r="I363" s="2">
        <v>189.76</v>
      </c>
      <c r="J363" s="2">
        <v>194.91</v>
      </c>
      <c r="K363" s="2">
        <v>49.96</v>
      </c>
      <c r="L363" s="2">
        <v>223.08</v>
      </c>
      <c r="M363" s="64" t="s">
        <v>77</v>
      </c>
      <c r="N363" s="1"/>
      <c r="O363" s="12">
        <f t="shared" si="55"/>
        <v>-6.2937213921756552E-3</v>
      </c>
      <c r="P363" s="12">
        <f t="shared" si="56"/>
        <v>-6.6495306213678607E-3</v>
      </c>
      <c r="Q363" s="12">
        <f t="shared" si="57"/>
        <v>1.4400485068970514E-3</v>
      </c>
      <c r="R363" s="12">
        <f t="shared" si="58"/>
        <v>-4.9142386100631263E-3</v>
      </c>
      <c r="S363" s="12">
        <f t="shared" si="59"/>
        <v>1.9756035478628586E-2</v>
      </c>
      <c r="T363" s="12">
        <f t="shared" si="60"/>
        <v>1.0408461798132151E-2</v>
      </c>
      <c r="U363" s="12">
        <f t="shared" si="61"/>
        <v>-1.8279852709100597E-2</v>
      </c>
      <c r="V363" s="12">
        <f t="shared" si="62"/>
        <v>-6.1799518173248913E-3</v>
      </c>
      <c r="W363" s="12">
        <f t="shared" si="63"/>
        <v>5.7275541795664964E-3</v>
      </c>
      <c r="X363" s="12">
        <f t="shared" si="64"/>
        <v>1.7929910350448219E-2</v>
      </c>
      <c r="Y363" s="12">
        <f t="shared" si="65"/>
        <v>9.229098805646041E-3</v>
      </c>
    </row>
    <row r="364" spans="1:25" x14ac:dyDescent="0.35">
      <c r="A364" s="6">
        <v>44651</v>
      </c>
      <c r="B364" s="8">
        <v>4530.41</v>
      </c>
      <c r="C364" s="2">
        <v>174.61</v>
      </c>
      <c r="D364" s="2">
        <v>130.02000000000001</v>
      </c>
      <c r="E364" s="2">
        <v>308.31</v>
      </c>
      <c r="F364" s="2">
        <v>509.97</v>
      </c>
      <c r="G364" s="2">
        <v>177.23</v>
      </c>
      <c r="H364" s="2">
        <v>221.77</v>
      </c>
      <c r="I364" s="2">
        <v>187</v>
      </c>
      <c r="J364" s="2">
        <v>191.5</v>
      </c>
      <c r="K364" s="2">
        <v>49.64</v>
      </c>
      <c r="L364" s="2">
        <v>222.82</v>
      </c>
      <c r="M364" s="64" t="s">
        <v>77</v>
      </c>
      <c r="N364" s="1"/>
      <c r="O364" s="12">
        <f t="shared" si="55"/>
        <v>-1.5652532890091164E-2</v>
      </c>
      <c r="P364" s="12">
        <f t="shared" si="56"/>
        <v>-1.7775777690273942E-2</v>
      </c>
      <c r="Q364" s="12">
        <f t="shared" si="57"/>
        <v>-1.5969121319912127E-2</v>
      </c>
      <c r="R364" s="12">
        <f t="shared" si="58"/>
        <v>-1.7683043395144371E-2</v>
      </c>
      <c r="S364" s="12">
        <f t="shared" si="59"/>
        <v>-2.0832533312852841E-2</v>
      </c>
      <c r="T364" s="12">
        <f t="shared" si="60"/>
        <v>-1.314104348794487E-2</v>
      </c>
      <c r="U364" s="12">
        <f t="shared" si="61"/>
        <v>-9.7343156954676768E-3</v>
      </c>
      <c r="V364" s="12">
        <f t="shared" si="62"/>
        <v>-1.4544688026981389E-2</v>
      </c>
      <c r="W364" s="12">
        <f t="shared" si="63"/>
        <v>-1.7495254219896395E-2</v>
      </c>
      <c r="X364" s="12">
        <f t="shared" si="64"/>
        <v>-6.4051240992794023E-3</v>
      </c>
      <c r="Y364" s="12">
        <f t="shared" si="65"/>
        <v>-1.1655011655012926E-3</v>
      </c>
    </row>
    <row r="365" spans="1:25" x14ac:dyDescent="0.35">
      <c r="A365" s="6">
        <v>44652</v>
      </c>
      <c r="B365" s="8">
        <v>4545.8599999999997</v>
      </c>
      <c r="C365" s="2">
        <v>174.31</v>
      </c>
      <c r="D365" s="2">
        <v>130.15</v>
      </c>
      <c r="E365" s="2">
        <v>309.42</v>
      </c>
      <c r="F365" s="2">
        <v>512.59</v>
      </c>
      <c r="G365" s="2">
        <v>178.19</v>
      </c>
      <c r="H365" s="2">
        <v>226.36</v>
      </c>
      <c r="I365" s="2">
        <v>187.17</v>
      </c>
      <c r="J365" s="2">
        <v>190.76</v>
      </c>
      <c r="K365" s="2">
        <v>50.34</v>
      </c>
      <c r="L365" s="2">
        <v>219.77</v>
      </c>
      <c r="M365" s="64" t="s">
        <v>77</v>
      </c>
      <c r="N365" s="1"/>
      <c r="O365" s="12">
        <f t="shared" si="55"/>
        <v>3.4102873691344016E-3</v>
      </c>
      <c r="P365" s="12">
        <f t="shared" si="56"/>
        <v>-1.7181146555180771E-3</v>
      </c>
      <c r="Q365" s="12">
        <f t="shared" si="57"/>
        <v>9.9984617751114335E-4</v>
      </c>
      <c r="R365" s="12">
        <f t="shared" si="58"/>
        <v>3.6002724530506125E-3</v>
      </c>
      <c r="S365" s="12">
        <f t="shared" si="59"/>
        <v>5.137557111202673E-3</v>
      </c>
      <c r="T365" s="12">
        <f t="shared" si="60"/>
        <v>5.41669017660662E-3</v>
      </c>
      <c r="U365" s="12">
        <f t="shared" si="61"/>
        <v>2.0697118636425094E-2</v>
      </c>
      <c r="V365" s="12">
        <f t="shared" si="62"/>
        <v>9.0909090909074841E-4</v>
      </c>
      <c r="W365" s="12">
        <f t="shared" si="63"/>
        <v>-3.8642297650131052E-3</v>
      </c>
      <c r="X365" s="12">
        <f t="shared" si="64"/>
        <v>1.4101531023368308E-2</v>
      </c>
      <c r="Y365" s="12">
        <f t="shared" si="65"/>
        <v>-1.3688178799030504E-2</v>
      </c>
    </row>
    <row r="366" spans="1:25" x14ac:dyDescent="0.35">
      <c r="A366" s="6">
        <v>44655</v>
      </c>
      <c r="B366" s="8">
        <v>4582.6400000000003</v>
      </c>
      <c r="C366" s="2">
        <v>178.44</v>
      </c>
      <c r="D366" s="2">
        <v>130.27000000000001</v>
      </c>
      <c r="E366" s="2">
        <v>314.97000000000003</v>
      </c>
      <c r="F366" s="2">
        <v>510.02</v>
      </c>
      <c r="G366" s="2">
        <v>176.47</v>
      </c>
      <c r="H366" s="2">
        <v>227.74</v>
      </c>
      <c r="I366" s="2">
        <v>187.66</v>
      </c>
      <c r="J366" s="2">
        <v>191.18</v>
      </c>
      <c r="K366" s="2">
        <v>50.35</v>
      </c>
      <c r="L366" s="2">
        <v>220.81</v>
      </c>
      <c r="M366" s="64">
        <v>4.33</v>
      </c>
      <c r="N366" s="1"/>
      <c r="O366" s="12">
        <f t="shared" si="55"/>
        <v>8.0908782936564005E-3</v>
      </c>
      <c r="P366" s="12">
        <f t="shared" si="56"/>
        <v>2.3693419769376334E-2</v>
      </c>
      <c r="Q366" s="12">
        <f t="shared" si="57"/>
        <v>9.2201306185168974E-4</v>
      </c>
      <c r="R366" s="12">
        <f t="shared" si="58"/>
        <v>1.7936784952491847E-2</v>
      </c>
      <c r="S366" s="12">
        <f t="shared" si="59"/>
        <v>-5.0137536822802975E-3</v>
      </c>
      <c r="T366" s="12">
        <f t="shared" si="60"/>
        <v>-9.6526179920309874E-3</v>
      </c>
      <c r="U366" s="12">
        <f t="shared" si="61"/>
        <v>6.0964834776462418E-3</v>
      </c>
      <c r="V366" s="12">
        <f t="shared" si="62"/>
        <v>2.6179409093338712E-3</v>
      </c>
      <c r="W366" s="12">
        <f t="shared" si="63"/>
        <v>2.201719438037486E-3</v>
      </c>
      <c r="X366" s="12">
        <f t="shared" si="64"/>
        <v>1.9864918553835764E-4</v>
      </c>
      <c r="Y366" s="12">
        <f t="shared" si="65"/>
        <v>4.7322200482322607E-3</v>
      </c>
    </row>
    <row r="367" spans="1:25" x14ac:dyDescent="0.35">
      <c r="A367" s="6">
        <v>44656</v>
      </c>
      <c r="B367" s="8">
        <v>4525.12</v>
      </c>
      <c r="C367" s="2">
        <v>175.06</v>
      </c>
      <c r="D367" s="2">
        <v>128.88999999999999</v>
      </c>
      <c r="E367" s="2">
        <v>310.88</v>
      </c>
      <c r="F367" s="2">
        <v>517.76</v>
      </c>
      <c r="G367" s="2">
        <v>177.61</v>
      </c>
      <c r="H367" s="2">
        <v>226.09</v>
      </c>
      <c r="I367" s="2">
        <v>185.4</v>
      </c>
      <c r="J367" s="2">
        <v>182.65</v>
      </c>
      <c r="K367" s="2">
        <v>50.49</v>
      </c>
      <c r="L367" s="2">
        <v>216.02</v>
      </c>
      <c r="M367" s="64" t="s">
        <v>77</v>
      </c>
      <c r="N367" s="1"/>
      <c r="O367" s="12">
        <f t="shared" si="55"/>
        <v>-1.2551716914267819E-2</v>
      </c>
      <c r="P367" s="12">
        <f t="shared" si="56"/>
        <v>-1.8941941268773799E-2</v>
      </c>
      <c r="Q367" s="12">
        <f t="shared" si="57"/>
        <v>-1.0593382973823728E-2</v>
      </c>
      <c r="R367" s="12">
        <f t="shared" si="58"/>
        <v>-1.2985363685430462E-2</v>
      </c>
      <c r="S367" s="12">
        <f t="shared" si="59"/>
        <v>1.5175875455864407E-2</v>
      </c>
      <c r="T367" s="12">
        <f t="shared" si="60"/>
        <v>6.4600215334051914E-3</v>
      </c>
      <c r="U367" s="12">
        <f t="shared" si="61"/>
        <v>-7.2451040660402866E-3</v>
      </c>
      <c r="V367" s="12">
        <f t="shared" si="62"/>
        <v>-1.2043056591708345E-2</v>
      </c>
      <c r="W367" s="12">
        <f t="shared" si="63"/>
        <v>-4.4617637828224699E-2</v>
      </c>
      <c r="X367" s="12">
        <f t="shared" si="64"/>
        <v>2.7805362462760552E-3</v>
      </c>
      <c r="Y367" s="12">
        <f t="shared" si="65"/>
        <v>-2.169285811331001E-2</v>
      </c>
    </row>
    <row r="368" spans="1:25" x14ac:dyDescent="0.35">
      <c r="A368" s="6">
        <v>44657</v>
      </c>
      <c r="B368" s="8">
        <v>4481.1499999999996</v>
      </c>
      <c r="C368" s="2">
        <v>171.83</v>
      </c>
      <c r="D368" s="2">
        <v>129.38999999999999</v>
      </c>
      <c r="E368" s="2">
        <v>299.5</v>
      </c>
      <c r="F368" s="2">
        <v>531.75</v>
      </c>
      <c r="G368" s="2">
        <v>182.23</v>
      </c>
      <c r="H368" s="2">
        <v>219.01</v>
      </c>
      <c r="I368" s="2">
        <v>183.71</v>
      </c>
      <c r="J368" s="2">
        <v>178.72</v>
      </c>
      <c r="K368" s="2">
        <v>51.66</v>
      </c>
      <c r="L368" s="2">
        <v>216.21</v>
      </c>
      <c r="M368" s="64" t="s">
        <v>77</v>
      </c>
      <c r="N368" s="1"/>
      <c r="O368" s="12">
        <f t="shared" si="55"/>
        <v>-9.7168693868892042E-3</v>
      </c>
      <c r="P368" s="12">
        <f t="shared" si="56"/>
        <v>-1.8450816862789821E-2</v>
      </c>
      <c r="Q368" s="12">
        <f t="shared" si="57"/>
        <v>3.8792769027853335E-3</v>
      </c>
      <c r="R368" s="12">
        <f t="shared" si="58"/>
        <v>-3.66057642820381E-2</v>
      </c>
      <c r="S368" s="12">
        <f t="shared" si="59"/>
        <v>2.7020241038318904E-2</v>
      </c>
      <c r="T368" s="12">
        <f t="shared" si="60"/>
        <v>2.6012048871121962E-2</v>
      </c>
      <c r="U368" s="12">
        <f t="shared" si="61"/>
        <v>-3.1314963067804902E-2</v>
      </c>
      <c r="V368" s="12">
        <f t="shared" si="62"/>
        <v>-9.1154261057173613E-3</v>
      </c>
      <c r="W368" s="12">
        <f t="shared" si="63"/>
        <v>-2.1516561730084871E-2</v>
      </c>
      <c r="X368" s="12">
        <f t="shared" si="64"/>
        <v>2.3172905525846499E-2</v>
      </c>
      <c r="Y368" s="12">
        <f t="shared" si="65"/>
        <v>8.7954818998237094E-4</v>
      </c>
    </row>
    <row r="369" spans="1:25" x14ac:dyDescent="0.35">
      <c r="A369" s="6">
        <v>44658</v>
      </c>
      <c r="B369" s="8">
        <v>4500.21</v>
      </c>
      <c r="C369" s="2">
        <v>172.14</v>
      </c>
      <c r="D369" s="2">
        <v>128.55000000000001</v>
      </c>
      <c r="E369" s="2">
        <v>301.37</v>
      </c>
      <c r="F369" s="2">
        <v>536.95000000000005</v>
      </c>
      <c r="G369" s="2">
        <v>181.76</v>
      </c>
      <c r="H369" s="2">
        <v>216.15</v>
      </c>
      <c r="I369" s="2">
        <v>182.39</v>
      </c>
      <c r="J369" s="2">
        <v>177.97</v>
      </c>
      <c r="K369" s="2">
        <v>52.18</v>
      </c>
      <c r="L369" s="2">
        <v>215.9</v>
      </c>
      <c r="M369" s="64" t="s">
        <v>77</v>
      </c>
      <c r="N369" s="1"/>
      <c r="O369" s="12">
        <f t="shared" si="55"/>
        <v>4.2533724601945266E-3</v>
      </c>
      <c r="P369" s="12">
        <f t="shared" si="56"/>
        <v>1.8041087120990174E-3</v>
      </c>
      <c r="Q369" s="12">
        <f t="shared" si="57"/>
        <v>-6.4920009274285206E-3</v>
      </c>
      <c r="R369" s="12">
        <f t="shared" si="58"/>
        <v>6.2437395659431516E-3</v>
      </c>
      <c r="S369" s="12">
        <f t="shared" si="59"/>
        <v>9.7790314997650007E-3</v>
      </c>
      <c r="T369" s="12">
        <f t="shared" si="60"/>
        <v>-2.5791582066618801E-3</v>
      </c>
      <c r="U369" s="12">
        <f t="shared" si="61"/>
        <v>-1.3058764439979886E-2</v>
      </c>
      <c r="V369" s="12">
        <f t="shared" si="62"/>
        <v>-7.1852376027435882E-3</v>
      </c>
      <c r="W369" s="12">
        <f t="shared" si="63"/>
        <v>-4.1965085049239237E-3</v>
      </c>
      <c r="X369" s="12">
        <f t="shared" si="64"/>
        <v>1.0065814943863716E-2</v>
      </c>
      <c r="Y369" s="12">
        <f t="shared" si="65"/>
        <v>-1.4337912214976711E-3</v>
      </c>
    </row>
    <row r="370" spans="1:25" x14ac:dyDescent="0.35">
      <c r="A370" s="6">
        <v>44659</v>
      </c>
      <c r="B370" s="8">
        <v>4488.28</v>
      </c>
      <c r="C370" s="2">
        <v>170.09</v>
      </c>
      <c r="D370" s="2">
        <v>127.73</v>
      </c>
      <c r="E370" s="2">
        <v>296.97000000000003</v>
      </c>
      <c r="F370" s="2">
        <v>545.96</v>
      </c>
      <c r="G370" s="2">
        <v>182.12</v>
      </c>
      <c r="H370" s="2">
        <v>216.98</v>
      </c>
      <c r="I370" s="2">
        <v>183.7</v>
      </c>
      <c r="J370" s="2">
        <v>175.2</v>
      </c>
      <c r="K370" s="2">
        <v>52.47</v>
      </c>
      <c r="L370" s="2">
        <v>217.03</v>
      </c>
      <c r="M370" s="64" t="s">
        <v>77</v>
      </c>
      <c r="N370" s="1"/>
      <c r="O370" s="12">
        <f t="shared" si="55"/>
        <v>-2.6509873983658894E-3</v>
      </c>
      <c r="P370" s="12">
        <f t="shared" si="56"/>
        <v>-1.1908911351225626E-2</v>
      </c>
      <c r="Q370" s="12">
        <f t="shared" si="57"/>
        <v>-6.3788409179308392E-3</v>
      </c>
      <c r="R370" s="12">
        <f t="shared" si="58"/>
        <v>-1.4599993363639263E-2</v>
      </c>
      <c r="S370" s="12">
        <f t="shared" si="59"/>
        <v>1.6779960890213275E-2</v>
      </c>
      <c r="T370" s="12">
        <f t="shared" si="60"/>
        <v>1.980633802816989E-3</v>
      </c>
      <c r="U370" s="12">
        <f t="shared" si="61"/>
        <v>3.8399259773305161E-3</v>
      </c>
      <c r="V370" s="12">
        <f t="shared" si="62"/>
        <v>7.1824113164098424E-3</v>
      </c>
      <c r="W370" s="12">
        <f t="shared" si="63"/>
        <v>-1.5564420969826465E-2</v>
      </c>
      <c r="X370" s="12">
        <f t="shared" si="64"/>
        <v>5.5576849367573455E-3</v>
      </c>
      <c r="Y370" s="12">
        <f t="shared" si="65"/>
        <v>5.2339045854561395E-3</v>
      </c>
    </row>
    <row r="371" spans="1:25" x14ac:dyDescent="0.35">
      <c r="A371" s="6">
        <v>44662</v>
      </c>
      <c r="B371" s="8">
        <v>4412.53</v>
      </c>
      <c r="C371" s="2">
        <v>165.75</v>
      </c>
      <c r="D371" s="2">
        <v>126.37</v>
      </c>
      <c r="E371" s="2">
        <v>285.26</v>
      </c>
      <c r="F371" s="2">
        <v>537.44000000000005</v>
      </c>
      <c r="G371" s="2">
        <v>179.84</v>
      </c>
      <c r="H371" s="2">
        <v>214.75</v>
      </c>
      <c r="I371" s="2">
        <v>177.57</v>
      </c>
      <c r="J371" s="2">
        <v>175.03</v>
      </c>
      <c r="K371" s="2">
        <v>51.43</v>
      </c>
      <c r="L371" s="2">
        <v>216.05</v>
      </c>
      <c r="M371" s="64">
        <v>4.5</v>
      </c>
      <c r="N371" s="1"/>
      <c r="O371" s="12">
        <f t="shared" si="55"/>
        <v>-1.6877289295676778E-2</v>
      </c>
      <c r="P371" s="12">
        <f t="shared" si="56"/>
        <v>-2.551590334528786E-2</v>
      </c>
      <c r="Q371" s="12">
        <f t="shared" si="57"/>
        <v>-1.0647459484850907E-2</v>
      </c>
      <c r="R371" s="12">
        <f t="shared" si="58"/>
        <v>-3.9431592416742545E-2</v>
      </c>
      <c r="S371" s="12">
        <f t="shared" si="59"/>
        <v>-1.5605538867316304E-2</v>
      </c>
      <c r="T371" s="12">
        <f t="shared" si="60"/>
        <v>-1.2519218097957419E-2</v>
      </c>
      <c r="U371" s="12">
        <f t="shared" si="61"/>
        <v>-1.0277444925799517E-2</v>
      </c>
      <c r="V371" s="12">
        <f t="shared" si="62"/>
        <v>-3.3369624387588392E-2</v>
      </c>
      <c r="W371" s="12">
        <f t="shared" si="63"/>
        <v>-9.7031963470317617E-4</v>
      </c>
      <c r="X371" s="12">
        <f t="shared" si="64"/>
        <v>-1.9820850009529267E-2</v>
      </c>
      <c r="Y371" s="12">
        <f t="shared" si="65"/>
        <v>-4.5155047689259264E-3</v>
      </c>
    </row>
    <row r="372" spans="1:25" x14ac:dyDescent="0.35">
      <c r="A372" s="6">
        <v>44663</v>
      </c>
      <c r="B372" s="8">
        <v>4397.45</v>
      </c>
      <c r="C372" s="2">
        <v>167.66</v>
      </c>
      <c r="D372" s="2">
        <v>125.98</v>
      </c>
      <c r="E372" s="2">
        <v>282.06</v>
      </c>
      <c r="F372" s="2">
        <v>533.71</v>
      </c>
      <c r="G372" s="2">
        <v>179.9</v>
      </c>
      <c r="H372" s="2">
        <v>211.4</v>
      </c>
      <c r="I372" s="2">
        <v>175.54</v>
      </c>
      <c r="J372" s="2">
        <v>176.28</v>
      </c>
      <c r="K372" s="2">
        <v>51.08</v>
      </c>
      <c r="L372" s="2">
        <v>216.7</v>
      </c>
      <c r="M372" s="64" t="s">
        <v>77</v>
      </c>
      <c r="N372" s="1"/>
      <c r="O372" s="12">
        <f t="shared" si="55"/>
        <v>-3.4175405039739148E-3</v>
      </c>
      <c r="P372" s="12">
        <f t="shared" si="56"/>
        <v>1.1523378582201982E-2</v>
      </c>
      <c r="Q372" s="12">
        <f t="shared" si="57"/>
        <v>-3.0861755163409388E-3</v>
      </c>
      <c r="R372" s="12">
        <f t="shared" si="58"/>
        <v>-1.1217836359812106E-2</v>
      </c>
      <c r="S372" s="12">
        <f t="shared" si="59"/>
        <v>-6.940309615957152E-3</v>
      </c>
      <c r="T372" s="12">
        <f t="shared" si="60"/>
        <v>3.3362989323837411E-4</v>
      </c>
      <c r="U372" s="12">
        <f t="shared" si="61"/>
        <v>-1.5599534342258359E-2</v>
      </c>
      <c r="V372" s="12">
        <f t="shared" si="62"/>
        <v>-1.143211128005861E-2</v>
      </c>
      <c r="W372" s="12">
        <f t="shared" si="63"/>
        <v>7.1416328629376746E-3</v>
      </c>
      <c r="X372" s="12">
        <f t="shared" si="64"/>
        <v>-6.8053665175967781E-3</v>
      </c>
      <c r="Y372" s="12">
        <f t="shared" si="65"/>
        <v>3.0085628326774749E-3</v>
      </c>
    </row>
    <row r="373" spans="1:25" x14ac:dyDescent="0.35">
      <c r="A373" s="6">
        <v>44664</v>
      </c>
      <c r="B373" s="8">
        <v>4446.59</v>
      </c>
      <c r="C373" s="2">
        <v>170.4</v>
      </c>
      <c r="D373" s="2">
        <v>126.14</v>
      </c>
      <c r="E373" s="2">
        <v>287.62</v>
      </c>
      <c r="F373" s="2">
        <v>537</v>
      </c>
      <c r="G373" s="2">
        <v>180.66</v>
      </c>
      <c r="H373" s="2">
        <v>213.27</v>
      </c>
      <c r="I373" s="2">
        <v>179.59</v>
      </c>
      <c r="J373" s="2">
        <v>182.87</v>
      </c>
      <c r="K373" s="2">
        <v>52.41</v>
      </c>
      <c r="L373" s="2">
        <v>218.27</v>
      </c>
      <c r="M373" s="64" t="s">
        <v>77</v>
      </c>
      <c r="N373" s="1"/>
      <c r="O373" s="12">
        <f t="shared" si="55"/>
        <v>1.1174658040455254E-2</v>
      </c>
      <c r="P373" s="12">
        <f t="shared" si="56"/>
        <v>1.6342598115233198E-2</v>
      </c>
      <c r="Q373" s="12">
        <f t="shared" si="57"/>
        <v>1.2700428639467187E-3</v>
      </c>
      <c r="R373" s="12">
        <f t="shared" si="58"/>
        <v>1.9712117989080236E-2</v>
      </c>
      <c r="S373" s="12">
        <f t="shared" si="59"/>
        <v>6.1643963950459568E-3</v>
      </c>
      <c r="T373" s="12">
        <f t="shared" si="60"/>
        <v>4.2245692051139372E-3</v>
      </c>
      <c r="U373" s="12">
        <f t="shared" si="61"/>
        <v>8.84578997161789E-3</v>
      </c>
      <c r="V373" s="12">
        <f t="shared" si="62"/>
        <v>2.3071664577874129E-2</v>
      </c>
      <c r="W373" s="12">
        <f t="shared" si="63"/>
        <v>3.7383707737689953E-2</v>
      </c>
      <c r="X373" s="12">
        <f t="shared" si="64"/>
        <v>2.603758809710266E-2</v>
      </c>
      <c r="Y373" s="12">
        <f t="shared" si="65"/>
        <v>7.2450392247347395E-3</v>
      </c>
    </row>
    <row r="374" spans="1:25" x14ac:dyDescent="0.35">
      <c r="A374" s="6">
        <v>44665</v>
      </c>
      <c r="B374" s="8">
        <v>4392.59</v>
      </c>
      <c r="C374" s="2">
        <v>165.29</v>
      </c>
      <c r="D374" s="2">
        <v>126.56</v>
      </c>
      <c r="E374" s="2">
        <v>279.83</v>
      </c>
      <c r="F374" s="2">
        <v>534.82000000000005</v>
      </c>
      <c r="G374" s="2">
        <v>179.9</v>
      </c>
      <c r="H374" s="2">
        <v>212.79</v>
      </c>
      <c r="I374" s="2">
        <v>181.16</v>
      </c>
      <c r="J374" s="2">
        <v>181.94</v>
      </c>
      <c r="K374" s="2">
        <v>52.36</v>
      </c>
      <c r="L374" s="2">
        <v>227.81</v>
      </c>
      <c r="M374" s="64" t="s">
        <v>77</v>
      </c>
      <c r="N374" s="1"/>
      <c r="O374" s="12">
        <f t="shared" si="55"/>
        <v>-1.2144137417661627E-2</v>
      </c>
      <c r="P374" s="12">
        <f t="shared" si="56"/>
        <v>-2.9988262910798147E-2</v>
      </c>
      <c r="Q374" s="12">
        <f t="shared" si="57"/>
        <v>3.3296337402886067E-3</v>
      </c>
      <c r="R374" s="12">
        <f t="shared" si="58"/>
        <v>-2.7084347402823283E-2</v>
      </c>
      <c r="S374" s="12">
        <f t="shared" si="59"/>
        <v>-4.0595903165734359E-3</v>
      </c>
      <c r="T374" s="12">
        <f t="shared" si="60"/>
        <v>-4.2067972987932523E-3</v>
      </c>
      <c r="U374" s="12">
        <f t="shared" si="61"/>
        <v>-2.2506681671121687E-3</v>
      </c>
      <c r="V374" s="12">
        <f t="shared" si="62"/>
        <v>8.7421348627427786E-3</v>
      </c>
      <c r="W374" s="12">
        <f t="shared" si="63"/>
        <v>-5.0855799201618979E-3</v>
      </c>
      <c r="X374" s="12">
        <f t="shared" si="64"/>
        <v>-9.5401640908221452E-4</v>
      </c>
      <c r="Y374" s="12">
        <f t="shared" si="65"/>
        <v>4.3707334952123533E-2</v>
      </c>
    </row>
    <row r="375" spans="1:25" x14ac:dyDescent="0.35">
      <c r="A375" s="6">
        <v>44669</v>
      </c>
      <c r="B375" s="8">
        <v>4391.6899999999996</v>
      </c>
      <c r="C375" s="2">
        <v>165.07</v>
      </c>
      <c r="D375" s="2">
        <v>126.17</v>
      </c>
      <c r="E375" s="2">
        <v>280.52</v>
      </c>
      <c r="F375" s="2">
        <v>534.08000000000004</v>
      </c>
      <c r="G375" s="2">
        <v>177.66</v>
      </c>
      <c r="H375" s="2">
        <v>213.17</v>
      </c>
      <c r="I375" s="2">
        <v>184.48</v>
      </c>
      <c r="J375" s="2">
        <v>179.85</v>
      </c>
      <c r="K375" s="2">
        <v>51.96</v>
      </c>
      <c r="L375" s="2">
        <v>229.92</v>
      </c>
      <c r="M375" s="64" t="s">
        <v>77</v>
      </c>
      <c r="N375" s="1"/>
      <c r="O375" s="12">
        <f t="shared" si="55"/>
        <v>-2.0489050878880199E-4</v>
      </c>
      <c r="P375" s="12">
        <f t="shared" si="56"/>
        <v>-1.3309940105269424E-3</v>
      </c>
      <c r="Q375" s="12">
        <f t="shared" si="57"/>
        <v>-3.0815423514538587E-3</v>
      </c>
      <c r="R375" s="12">
        <f t="shared" si="58"/>
        <v>2.4657827966980683E-3</v>
      </c>
      <c r="S375" s="12">
        <f t="shared" si="59"/>
        <v>-1.3836430948730438E-3</v>
      </c>
      <c r="T375" s="12">
        <f t="shared" si="60"/>
        <v>-1.2451361867704347E-2</v>
      </c>
      <c r="U375" s="12">
        <f t="shared" si="61"/>
        <v>1.7857982048028465E-3</v>
      </c>
      <c r="V375" s="12">
        <f t="shared" si="62"/>
        <v>1.8326341355707543E-2</v>
      </c>
      <c r="W375" s="12">
        <f t="shared" si="63"/>
        <v>-1.1487303506650615E-2</v>
      </c>
      <c r="X375" s="12">
        <f t="shared" si="64"/>
        <v>-7.6394194041252694E-3</v>
      </c>
      <c r="Y375" s="12">
        <f t="shared" si="65"/>
        <v>9.2621043852332274E-3</v>
      </c>
    </row>
    <row r="376" spans="1:25" x14ac:dyDescent="0.35">
      <c r="A376" s="6">
        <v>44670</v>
      </c>
      <c r="B376" s="8">
        <v>4462.21</v>
      </c>
      <c r="C376" s="2">
        <v>167.4</v>
      </c>
      <c r="D376" s="2">
        <v>129.15</v>
      </c>
      <c r="E376" s="2">
        <v>285.3</v>
      </c>
      <c r="F376" s="2">
        <v>537.70000000000005</v>
      </c>
      <c r="G376" s="2">
        <v>183.08</v>
      </c>
      <c r="H376" s="2">
        <v>215.7</v>
      </c>
      <c r="I376" s="2">
        <v>187.17</v>
      </c>
      <c r="J376" s="2">
        <v>185.98</v>
      </c>
      <c r="K376" s="2">
        <v>52.55</v>
      </c>
      <c r="L376" s="2">
        <v>232.16</v>
      </c>
      <c r="M376" s="64">
        <v>4.5</v>
      </c>
      <c r="N376" s="1"/>
      <c r="O376" s="12">
        <f t="shared" si="55"/>
        <v>1.6057599693967584E-2</v>
      </c>
      <c r="P376" s="12">
        <f t="shared" si="56"/>
        <v>1.4115223844429758E-2</v>
      </c>
      <c r="Q376" s="12">
        <f t="shared" si="57"/>
        <v>2.3618926844733323E-2</v>
      </c>
      <c r="R376" s="12">
        <f t="shared" si="58"/>
        <v>1.7039783259660712E-2</v>
      </c>
      <c r="S376" s="12">
        <f t="shared" si="59"/>
        <v>6.7780107849011451E-3</v>
      </c>
      <c r="T376" s="12">
        <f t="shared" si="60"/>
        <v>3.050771135877528E-2</v>
      </c>
      <c r="U376" s="12">
        <f t="shared" si="61"/>
        <v>1.1868461791058715E-2</v>
      </c>
      <c r="V376" s="12">
        <f t="shared" si="62"/>
        <v>1.458152645273203E-2</v>
      </c>
      <c r="W376" s="12">
        <f t="shared" si="63"/>
        <v>3.4083958854601137E-2</v>
      </c>
      <c r="X376" s="12">
        <f t="shared" si="64"/>
        <v>1.1354888375673555E-2</v>
      </c>
      <c r="Y376" s="12">
        <f t="shared" si="65"/>
        <v>9.7425191370912323E-3</v>
      </c>
    </row>
    <row r="377" spans="1:25" x14ac:dyDescent="0.35">
      <c r="A377" s="6">
        <v>44671</v>
      </c>
      <c r="B377" s="8">
        <v>4459.45</v>
      </c>
      <c r="C377" s="2">
        <v>167.23</v>
      </c>
      <c r="D377" s="2">
        <v>138.32</v>
      </c>
      <c r="E377" s="2">
        <v>286.36</v>
      </c>
      <c r="F377" s="2">
        <v>546.01</v>
      </c>
      <c r="G377" s="2">
        <v>183.89</v>
      </c>
      <c r="H377" s="2">
        <v>217.79</v>
      </c>
      <c r="I377" s="2">
        <v>188.46</v>
      </c>
      <c r="J377" s="2">
        <v>183.55</v>
      </c>
      <c r="K377" s="2">
        <v>53.21</v>
      </c>
      <c r="L377" s="2">
        <v>235.08</v>
      </c>
      <c r="M377" s="64" t="s">
        <v>77</v>
      </c>
      <c r="N377" s="1"/>
      <c r="O377" s="12">
        <f t="shared" si="55"/>
        <v>-6.1852759058855789E-4</v>
      </c>
      <c r="P377" s="12">
        <f t="shared" si="56"/>
        <v>-1.0155316606930143E-3</v>
      </c>
      <c r="Q377" s="12">
        <f t="shared" si="57"/>
        <v>7.1002710027100235E-2</v>
      </c>
      <c r="R377" s="12">
        <f t="shared" si="58"/>
        <v>3.7153873116018143E-3</v>
      </c>
      <c r="S377" s="12">
        <f t="shared" si="59"/>
        <v>1.5454714524827828E-2</v>
      </c>
      <c r="T377" s="12">
        <f t="shared" si="60"/>
        <v>4.4242953899933379E-3</v>
      </c>
      <c r="U377" s="12">
        <f t="shared" si="61"/>
        <v>9.6893834028743964E-3</v>
      </c>
      <c r="V377" s="12">
        <f t="shared" si="62"/>
        <v>6.8921301490625364E-3</v>
      </c>
      <c r="W377" s="12">
        <f t="shared" si="63"/>
        <v>-1.3065921066781283E-2</v>
      </c>
      <c r="X377" s="12">
        <f t="shared" si="64"/>
        <v>1.2559467174120043E-2</v>
      </c>
      <c r="Y377" s="12">
        <f t="shared" si="65"/>
        <v>1.2577532736044228E-2</v>
      </c>
    </row>
    <row r="378" spans="1:25" x14ac:dyDescent="0.35">
      <c r="A378" s="6">
        <v>44672</v>
      </c>
      <c r="B378" s="8">
        <v>4393.66</v>
      </c>
      <c r="C378" s="2">
        <v>166.42</v>
      </c>
      <c r="D378" s="2">
        <v>139.85</v>
      </c>
      <c r="E378" s="2">
        <v>280.81</v>
      </c>
      <c r="F378" s="2">
        <v>537.44000000000005</v>
      </c>
      <c r="G378" s="2">
        <v>183.36</v>
      </c>
      <c r="H378" s="2">
        <v>216.45</v>
      </c>
      <c r="I378" s="2">
        <v>185.74</v>
      </c>
      <c r="J378" s="2">
        <v>181.02</v>
      </c>
      <c r="K378" s="2">
        <v>53.29</v>
      </c>
      <c r="L378" s="2">
        <v>232.57</v>
      </c>
      <c r="M378" s="64" t="s">
        <v>77</v>
      </c>
      <c r="N378" s="1"/>
      <c r="O378" s="12">
        <f t="shared" si="55"/>
        <v>-1.475294038502506E-2</v>
      </c>
      <c r="P378" s="12">
        <f t="shared" si="56"/>
        <v>-4.8436285355498709E-3</v>
      </c>
      <c r="Q378" s="12">
        <f t="shared" si="57"/>
        <v>1.1061307113938712E-2</v>
      </c>
      <c r="R378" s="12">
        <f t="shared" si="58"/>
        <v>-1.9381198491409402E-2</v>
      </c>
      <c r="S378" s="12">
        <f t="shared" si="59"/>
        <v>-1.569568322924475E-2</v>
      </c>
      <c r="T378" s="12">
        <f t="shared" si="60"/>
        <v>-2.8821578117351754E-3</v>
      </c>
      <c r="U378" s="12">
        <f t="shared" si="61"/>
        <v>-6.1527159190045699E-3</v>
      </c>
      <c r="V378" s="12">
        <f t="shared" si="62"/>
        <v>-1.4432770879762247E-2</v>
      </c>
      <c r="W378" s="12">
        <f t="shared" si="63"/>
        <v>-1.3783710160719109E-2</v>
      </c>
      <c r="X378" s="12">
        <f t="shared" si="64"/>
        <v>1.5034767900770074E-3</v>
      </c>
      <c r="Y378" s="12">
        <f t="shared" si="65"/>
        <v>-1.0677216266802847E-2</v>
      </c>
    </row>
    <row r="379" spans="1:25" x14ac:dyDescent="0.35">
      <c r="A379" s="6">
        <v>44673</v>
      </c>
      <c r="B379" s="8">
        <v>4271.78</v>
      </c>
      <c r="C379" s="2">
        <v>161.79</v>
      </c>
      <c r="D379" s="2">
        <v>138.25</v>
      </c>
      <c r="E379" s="2">
        <v>274.02999999999997</v>
      </c>
      <c r="F379" s="2">
        <v>520.94000000000005</v>
      </c>
      <c r="G379" s="2">
        <v>181.54</v>
      </c>
      <c r="H379" s="2">
        <v>208.17</v>
      </c>
      <c r="I379" s="2">
        <v>180.54</v>
      </c>
      <c r="J379" s="2">
        <v>176.92</v>
      </c>
      <c r="K379" s="2">
        <v>52.29</v>
      </c>
      <c r="L379" s="2">
        <v>216.3</v>
      </c>
      <c r="M379" s="64" t="s">
        <v>77</v>
      </c>
      <c r="N379" s="1"/>
      <c r="O379" s="12">
        <f t="shared" si="55"/>
        <v>-2.773997077607282E-2</v>
      </c>
      <c r="P379" s="12">
        <f t="shared" si="56"/>
        <v>-2.7821175339502457E-2</v>
      </c>
      <c r="Q379" s="12">
        <f t="shared" si="57"/>
        <v>-1.1440829460135804E-2</v>
      </c>
      <c r="R379" s="12">
        <f t="shared" si="58"/>
        <v>-2.4144439300594844E-2</v>
      </c>
      <c r="S379" s="12">
        <f t="shared" si="59"/>
        <v>-3.0701101518309071E-2</v>
      </c>
      <c r="T379" s="12">
        <f t="shared" si="60"/>
        <v>-9.9258289703316738E-3</v>
      </c>
      <c r="U379" s="12">
        <f t="shared" si="61"/>
        <v>-3.8253638253638256E-2</v>
      </c>
      <c r="V379" s="12">
        <f t="shared" si="62"/>
        <v>-2.7996123613653556E-2</v>
      </c>
      <c r="W379" s="12">
        <f t="shared" si="63"/>
        <v>-2.2649431002099374E-2</v>
      </c>
      <c r="X379" s="12">
        <f t="shared" si="64"/>
        <v>-1.8765246762994958E-2</v>
      </c>
      <c r="Y379" s="12">
        <f t="shared" si="65"/>
        <v>-6.9957432170959177E-2</v>
      </c>
    </row>
    <row r="380" spans="1:25" x14ac:dyDescent="0.35">
      <c r="A380" s="6">
        <v>44676</v>
      </c>
      <c r="B380" s="8">
        <v>4296.12</v>
      </c>
      <c r="C380" s="2">
        <v>162.88</v>
      </c>
      <c r="D380" s="2">
        <v>139.1</v>
      </c>
      <c r="E380" s="2">
        <v>280.72000000000003</v>
      </c>
      <c r="F380" s="2">
        <v>524.27</v>
      </c>
      <c r="G380" s="2">
        <v>186.01</v>
      </c>
      <c r="H380" s="2">
        <v>209.95</v>
      </c>
      <c r="I380" s="2">
        <v>184.1</v>
      </c>
      <c r="J380" s="2">
        <v>175.91</v>
      </c>
      <c r="K380" s="2">
        <v>52.31</v>
      </c>
      <c r="L380" s="2">
        <v>216.7</v>
      </c>
      <c r="M380" s="64" t="s">
        <v>77</v>
      </c>
      <c r="N380" s="1"/>
      <c r="O380" s="12">
        <f t="shared" si="55"/>
        <v>5.6978589721381478E-3</v>
      </c>
      <c r="P380" s="12">
        <f t="shared" si="56"/>
        <v>6.7371283762902578E-3</v>
      </c>
      <c r="Q380" s="12">
        <f t="shared" si="57"/>
        <v>6.1482820976490604E-3</v>
      </c>
      <c r="R380" s="12">
        <f t="shared" si="58"/>
        <v>2.4413385395759768E-2</v>
      </c>
      <c r="S380" s="12">
        <f t="shared" si="59"/>
        <v>6.3922908588318617E-3</v>
      </c>
      <c r="T380" s="12">
        <f t="shared" si="60"/>
        <v>2.4622672689214475E-2</v>
      </c>
      <c r="U380" s="12">
        <f t="shared" si="61"/>
        <v>8.5507037517413842E-3</v>
      </c>
      <c r="V380" s="12">
        <f t="shared" si="62"/>
        <v>1.9718621912041767E-2</v>
      </c>
      <c r="W380" s="12">
        <f t="shared" si="63"/>
        <v>-5.7087949355640877E-3</v>
      </c>
      <c r="X380" s="12">
        <f t="shared" si="64"/>
        <v>3.8248231019322176E-4</v>
      </c>
      <c r="Y380" s="12">
        <f t="shared" si="65"/>
        <v>1.8492834026813121E-3</v>
      </c>
    </row>
    <row r="381" spans="1:25" x14ac:dyDescent="0.35">
      <c r="A381" s="6">
        <v>44677</v>
      </c>
      <c r="B381" s="8">
        <v>4175.2</v>
      </c>
      <c r="C381" s="2">
        <v>156.80000000000001</v>
      </c>
      <c r="D381" s="2">
        <v>136.19</v>
      </c>
      <c r="E381" s="2">
        <v>270.22000000000003</v>
      </c>
      <c r="F381" s="2">
        <v>513.78</v>
      </c>
      <c r="G381" s="2">
        <v>184.68</v>
      </c>
      <c r="H381" s="2">
        <v>201.1</v>
      </c>
      <c r="I381" s="2">
        <v>178.65</v>
      </c>
      <c r="J381" s="2">
        <v>167.04</v>
      </c>
      <c r="K381" s="2">
        <v>51.77</v>
      </c>
      <c r="L381" s="2">
        <v>210.3</v>
      </c>
      <c r="M381" s="64">
        <v>4.49</v>
      </c>
      <c r="N381" s="1"/>
      <c r="O381" s="12">
        <f t="shared" si="55"/>
        <v>-2.8146327383778869E-2</v>
      </c>
      <c r="P381" s="12">
        <f t="shared" si="56"/>
        <v>-3.7328094302553905E-2</v>
      </c>
      <c r="Q381" s="12">
        <f t="shared" si="57"/>
        <v>-2.0920201294033047E-2</v>
      </c>
      <c r="R381" s="12">
        <f t="shared" si="58"/>
        <v>-3.7403818751781115E-2</v>
      </c>
      <c r="S381" s="12">
        <f t="shared" si="59"/>
        <v>-2.0008774104945948E-2</v>
      </c>
      <c r="T381" s="12">
        <f t="shared" si="60"/>
        <v>-7.1501532175688443E-3</v>
      </c>
      <c r="U381" s="12">
        <f t="shared" si="61"/>
        <v>-4.2152893546082426E-2</v>
      </c>
      <c r="V381" s="12">
        <f t="shared" si="62"/>
        <v>-2.9603476371537152E-2</v>
      </c>
      <c r="W381" s="12">
        <f t="shared" si="63"/>
        <v>-5.0423512023193728E-2</v>
      </c>
      <c r="X381" s="12">
        <f t="shared" si="64"/>
        <v>-1.032307398203014E-2</v>
      </c>
      <c r="Y381" s="12">
        <f t="shared" si="65"/>
        <v>-2.9533917858790892E-2</v>
      </c>
    </row>
    <row r="382" spans="1:25" x14ac:dyDescent="0.35">
      <c r="A382" s="6">
        <v>44678</v>
      </c>
      <c r="B382" s="8">
        <v>4183.96</v>
      </c>
      <c r="C382" s="2">
        <v>156.57</v>
      </c>
      <c r="D382" s="2">
        <v>135.06</v>
      </c>
      <c r="E382" s="2">
        <v>283.22000000000003</v>
      </c>
      <c r="F382" s="2">
        <v>513.80999999999995</v>
      </c>
      <c r="G382" s="2">
        <v>182.1</v>
      </c>
      <c r="H382" s="2">
        <v>214.11</v>
      </c>
      <c r="I382" s="2">
        <v>177.63</v>
      </c>
      <c r="J382" s="2">
        <v>154.46</v>
      </c>
      <c r="K382" s="2">
        <v>51.41</v>
      </c>
      <c r="L382" s="2">
        <v>213.96</v>
      </c>
      <c r="M382" s="64" t="s">
        <v>77</v>
      </c>
      <c r="N382" s="1"/>
      <c r="O382" s="12">
        <f t="shared" si="55"/>
        <v>2.0981030848821192E-3</v>
      </c>
      <c r="P382" s="12">
        <f t="shared" si="56"/>
        <v>-1.4668367346939437E-3</v>
      </c>
      <c r="Q382" s="12">
        <f t="shared" si="57"/>
        <v>-8.2972318085028363E-3</v>
      </c>
      <c r="R382" s="12">
        <f t="shared" si="58"/>
        <v>4.8108948264377061E-2</v>
      </c>
      <c r="S382" s="12">
        <f t="shared" si="59"/>
        <v>5.8390750905079614E-5</v>
      </c>
      <c r="T382" s="12">
        <f t="shared" si="60"/>
        <v>-1.3970110461338558E-2</v>
      </c>
      <c r="U382" s="12">
        <f t="shared" si="61"/>
        <v>6.4694181999005673E-2</v>
      </c>
      <c r="V382" s="12">
        <f t="shared" si="62"/>
        <v>-5.7094878253568515E-3</v>
      </c>
      <c r="W382" s="12">
        <f t="shared" si="63"/>
        <v>-7.5311302681992265E-2</v>
      </c>
      <c r="X382" s="12">
        <f t="shared" si="64"/>
        <v>-6.9538342669500652E-3</v>
      </c>
      <c r="Y382" s="12">
        <f t="shared" si="65"/>
        <v>1.7403708987161259E-2</v>
      </c>
    </row>
    <row r="383" spans="1:25" x14ac:dyDescent="0.35">
      <c r="A383" s="6">
        <v>44679</v>
      </c>
      <c r="B383" s="8">
        <v>4287.5</v>
      </c>
      <c r="C383" s="2">
        <v>163.63999999999999</v>
      </c>
      <c r="D383" s="2">
        <v>135.74</v>
      </c>
      <c r="E383" s="2">
        <v>289.63</v>
      </c>
      <c r="F383" s="2">
        <v>524.41999999999996</v>
      </c>
      <c r="G383" s="2">
        <v>183.46</v>
      </c>
      <c r="H383" s="2">
        <v>220.66</v>
      </c>
      <c r="I383" s="2">
        <v>181.98</v>
      </c>
      <c r="J383" s="2">
        <v>154.22</v>
      </c>
      <c r="K383" s="2">
        <v>52.07</v>
      </c>
      <c r="L383" s="2">
        <v>212.44</v>
      </c>
      <c r="M383" s="64" t="s">
        <v>77</v>
      </c>
      <c r="N383" s="1"/>
      <c r="O383" s="12">
        <f t="shared" si="55"/>
        <v>2.474689050564538E-2</v>
      </c>
      <c r="P383" s="12">
        <f t="shared" si="56"/>
        <v>4.5155521491984318E-2</v>
      </c>
      <c r="Q383" s="12">
        <f t="shared" si="57"/>
        <v>5.0347993484378684E-3</v>
      </c>
      <c r="R383" s="12">
        <f t="shared" si="58"/>
        <v>2.2632582444742422E-2</v>
      </c>
      <c r="S383" s="12">
        <f t="shared" si="59"/>
        <v>2.06496564878067E-2</v>
      </c>
      <c r="T383" s="12">
        <f t="shared" si="60"/>
        <v>7.4684239428886023E-3</v>
      </c>
      <c r="U383" s="12">
        <f t="shared" si="61"/>
        <v>3.0591751903227271E-2</v>
      </c>
      <c r="V383" s="12">
        <f t="shared" si="62"/>
        <v>2.448910656983605E-2</v>
      </c>
      <c r="W383" s="12">
        <f t="shared" si="63"/>
        <v>-1.5538003366567521E-3</v>
      </c>
      <c r="X383" s="12">
        <f t="shared" si="64"/>
        <v>1.2837969266679794E-2</v>
      </c>
      <c r="Y383" s="12">
        <f t="shared" si="65"/>
        <v>-7.1041316133857446E-3</v>
      </c>
    </row>
    <row r="384" spans="1:25" x14ac:dyDescent="0.35">
      <c r="A384" s="6">
        <v>44680</v>
      </c>
      <c r="B384" s="8">
        <v>4131.93</v>
      </c>
      <c r="C384" s="2">
        <v>157.65</v>
      </c>
      <c r="D384" s="2">
        <v>132.21</v>
      </c>
      <c r="E384" s="2">
        <v>277.52</v>
      </c>
      <c r="F384" s="2">
        <v>508.55</v>
      </c>
      <c r="G384" s="2">
        <v>180.46</v>
      </c>
      <c r="H384" s="2">
        <v>213.13</v>
      </c>
      <c r="I384" s="2">
        <v>174.71</v>
      </c>
      <c r="J384" s="2">
        <v>148.84</v>
      </c>
      <c r="K384" s="2">
        <v>51</v>
      </c>
      <c r="L384" s="2">
        <v>210.54</v>
      </c>
      <c r="M384" s="64" t="s">
        <v>77</v>
      </c>
      <c r="N384" s="1"/>
      <c r="O384" s="12">
        <f t="shared" si="55"/>
        <v>-3.6284548104956182E-2</v>
      </c>
      <c r="P384" s="12">
        <f t="shared" si="56"/>
        <v>-3.6604742116841726E-2</v>
      </c>
      <c r="Q384" s="12">
        <f t="shared" si="57"/>
        <v>-2.6005598939148333E-2</v>
      </c>
      <c r="R384" s="12">
        <f t="shared" si="58"/>
        <v>-4.1811966992369665E-2</v>
      </c>
      <c r="S384" s="12">
        <f t="shared" si="59"/>
        <v>-3.026200373746224E-2</v>
      </c>
      <c r="T384" s="12">
        <f t="shared" si="60"/>
        <v>-1.6352338384388987E-2</v>
      </c>
      <c r="U384" s="12">
        <f t="shared" si="61"/>
        <v>-3.4124898033173201E-2</v>
      </c>
      <c r="V384" s="12">
        <f t="shared" si="62"/>
        <v>-3.9949444993955252E-2</v>
      </c>
      <c r="W384" s="12">
        <f t="shared" si="63"/>
        <v>-3.4885228893788089E-2</v>
      </c>
      <c r="X384" s="12">
        <f t="shared" si="64"/>
        <v>-2.054926061071638E-2</v>
      </c>
      <c r="Y384" s="12">
        <f t="shared" si="65"/>
        <v>-8.9437017510827221E-3</v>
      </c>
    </row>
    <row r="385" spans="1:25" x14ac:dyDescent="0.35">
      <c r="A385" s="6">
        <v>44683</v>
      </c>
      <c r="B385" s="8">
        <v>4155.38</v>
      </c>
      <c r="C385" s="2">
        <v>157.96</v>
      </c>
      <c r="D385" s="2">
        <v>133.04</v>
      </c>
      <c r="E385" s="2">
        <v>284.47000000000003</v>
      </c>
      <c r="F385" s="2">
        <v>501.15</v>
      </c>
      <c r="G385" s="2">
        <v>178.64</v>
      </c>
      <c r="H385" s="2">
        <v>211.53</v>
      </c>
      <c r="I385" s="2">
        <v>171.62</v>
      </c>
      <c r="J385" s="2">
        <v>148.61000000000001</v>
      </c>
      <c r="K385" s="2">
        <v>50.66</v>
      </c>
      <c r="L385" s="2">
        <v>212.07</v>
      </c>
      <c r="M385" s="64" t="s">
        <v>77</v>
      </c>
      <c r="N385" s="1"/>
      <c r="O385" s="12">
        <f t="shared" si="55"/>
        <v>5.6753139573999523E-3</v>
      </c>
      <c r="P385" s="12">
        <f t="shared" si="56"/>
        <v>1.9663812242309842E-3</v>
      </c>
      <c r="Q385" s="12">
        <f t="shared" si="57"/>
        <v>6.2778912336434178E-3</v>
      </c>
      <c r="R385" s="12">
        <f t="shared" si="58"/>
        <v>2.5043240126837896E-2</v>
      </c>
      <c r="S385" s="12">
        <f t="shared" si="59"/>
        <v>-1.455117490905522E-2</v>
      </c>
      <c r="T385" s="12">
        <f t="shared" si="60"/>
        <v>-1.0085337470907785E-2</v>
      </c>
      <c r="U385" s="12">
        <f t="shared" si="61"/>
        <v>-7.5071552573546807E-3</v>
      </c>
      <c r="V385" s="12">
        <f t="shared" si="62"/>
        <v>-1.7686451834468597E-2</v>
      </c>
      <c r="W385" s="12">
        <f t="shared" si="63"/>
        <v>-1.5452835259338604E-3</v>
      </c>
      <c r="X385" s="12">
        <f t="shared" si="64"/>
        <v>-6.6666666666667096E-3</v>
      </c>
      <c r="Y385" s="12">
        <f t="shared" si="65"/>
        <v>7.2670276432031944E-3</v>
      </c>
    </row>
    <row r="386" spans="1:25" x14ac:dyDescent="0.35">
      <c r="A386" s="6">
        <v>44684</v>
      </c>
      <c r="B386" s="8">
        <v>4175.4799999999996</v>
      </c>
      <c r="C386" s="2">
        <v>159.47999999999999</v>
      </c>
      <c r="D386" s="2">
        <v>132.52000000000001</v>
      </c>
      <c r="E386" s="2">
        <v>281.77999999999997</v>
      </c>
      <c r="F386" s="2">
        <v>499.62</v>
      </c>
      <c r="G386" s="2">
        <v>178.29</v>
      </c>
      <c r="H386" s="2">
        <v>208.56</v>
      </c>
      <c r="I386" s="2">
        <v>172.11</v>
      </c>
      <c r="J386" s="2">
        <v>153.58000000000001</v>
      </c>
      <c r="K386" s="2">
        <v>50.84</v>
      </c>
      <c r="L386" s="2">
        <v>213.62</v>
      </c>
      <c r="M386" s="64">
        <v>4.3899999999999997</v>
      </c>
      <c r="N386" s="1"/>
      <c r="O386" s="12">
        <f t="shared" si="55"/>
        <v>4.8371027439124692E-3</v>
      </c>
      <c r="P386" s="12">
        <f t="shared" si="56"/>
        <v>9.6226892884272441E-3</v>
      </c>
      <c r="Q386" s="12">
        <f t="shared" si="57"/>
        <v>-3.9085989176186331E-3</v>
      </c>
      <c r="R386" s="12">
        <f t="shared" si="58"/>
        <v>-9.456181671178121E-3</v>
      </c>
      <c r="S386" s="12">
        <f t="shared" si="59"/>
        <v>-3.052978150254404E-3</v>
      </c>
      <c r="T386" s="12">
        <f t="shared" si="60"/>
        <v>-1.9592476489027622E-3</v>
      </c>
      <c r="U386" s="12">
        <f t="shared" si="61"/>
        <v>-1.404056162246492E-2</v>
      </c>
      <c r="V386" s="12">
        <f t="shared" si="62"/>
        <v>2.8551450879852336E-3</v>
      </c>
      <c r="W386" s="12">
        <f t="shared" si="63"/>
        <v>3.3443240697126786E-2</v>
      </c>
      <c r="X386" s="12">
        <f t="shared" si="64"/>
        <v>3.5530990919858674E-3</v>
      </c>
      <c r="Y386" s="12">
        <f t="shared" si="65"/>
        <v>7.3089074362240325E-3</v>
      </c>
    </row>
    <row r="387" spans="1:25" x14ac:dyDescent="0.35">
      <c r="A387" s="6">
        <v>44685</v>
      </c>
      <c r="B387" s="8">
        <v>4300.17</v>
      </c>
      <c r="C387" s="2">
        <v>166.02</v>
      </c>
      <c r="D387" s="2">
        <v>137.4</v>
      </c>
      <c r="E387" s="2">
        <v>289.98</v>
      </c>
      <c r="F387" s="2">
        <v>507.62</v>
      </c>
      <c r="G387" s="2">
        <v>180.2</v>
      </c>
      <c r="H387" s="2">
        <v>214.52</v>
      </c>
      <c r="I387" s="2">
        <v>177.82</v>
      </c>
      <c r="J387" s="2">
        <v>156.97</v>
      </c>
      <c r="K387" s="2">
        <v>51.54</v>
      </c>
      <c r="L387" s="2">
        <v>222.59</v>
      </c>
      <c r="M387" s="64" t="s">
        <v>77</v>
      </c>
      <c r="N387" s="1"/>
      <c r="O387" s="12">
        <f t="shared" si="55"/>
        <v>2.9862434977535601E-2</v>
      </c>
      <c r="P387" s="12">
        <f t="shared" si="56"/>
        <v>4.1008276899924923E-2</v>
      </c>
      <c r="Q387" s="12">
        <f t="shared" si="57"/>
        <v>3.6824630244491452E-2</v>
      </c>
      <c r="R387" s="12">
        <f t="shared" si="58"/>
        <v>2.9100716871318211E-2</v>
      </c>
      <c r="S387" s="12">
        <f t="shared" si="59"/>
        <v>1.6012169248629027E-2</v>
      </c>
      <c r="T387" s="12">
        <f t="shared" si="60"/>
        <v>1.0712883504403026E-2</v>
      </c>
      <c r="U387" s="12">
        <f t="shared" si="61"/>
        <v>2.857690832374371E-2</v>
      </c>
      <c r="V387" s="12">
        <f t="shared" si="62"/>
        <v>3.3176456917087815E-2</v>
      </c>
      <c r="W387" s="12">
        <f t="shared" si="63"/>
        <v>2.2073186612840079E-2</v>
      </c>
      <c r="X387" s="12">
        <f t="shared" si="64"/>
        <v>1.3768686073957426E-2</v>
      </c>
      <c r="Y387" s="12">
        <f t="shared" si="65"/>
        <v>4.1990450332365814E-2</v>
      </c>
    </row>
    <row r="388" spans="1:25" x14ac:dyDescent="0.35">
      <c r="A388" s="6">
        <v>44686</v>
      </c>
      <c r="B388" s="8">
        <v>4146.87</v>
      </c>
      <c r="C388" s="2">
        <v>156.77000000000001</v>
      </c>
      <c r="D388" s="2">
        <v>135.91999999999999</v>
      </c>
      <c r="E388" s="2">
        <v>277.35000000000002</v>
      </c>
      <c r="F388" s="2">
        <v>494.72</v>
      </c>
      <c r="G388" s="2">
        <v>176.76</v>
      </c>
      <c r="H388" s="2">
        <v>205.24</v>
      </c>
      <c r="I388" s="2">
        <v>171.01</v>
      </c>
      <c r="J388" s="2">
        <v>150.47</v>
      </c>
      <c r="K388" s="2">
        <v>50.91</v>
      </c>
      <c r="L388" s="2">
        <v>215.93</v>
      </c>
      <c r="M388" s="64" t="s">
        <v>77</v>
      </c>
      <c r="N388" s="1"/>
      <c r="O388" s="12">
        <f t="shared" si="55"/>
        <v>-3.5649753381843063E-2</v>
      </c>
      <c r="P388" s="12">
        <f t="shared" si="56"/>
        <v>-5.5716178773641767E-2</v>
      </c>
      <c r="Q388" s="12">
        <f t="shared" si="57"/>
        <v>-1.0771470160116592E-2</v>
      </c>
      <c r="R388" s="12">
        <f t="shared" si="58"/>
        <v>-4.3554727912269775E-2</v>
      </c>
      <c r="S388" s="12">
        <f t="shared" si="59"/>
        <v>-2.5412710295102614E-2</v>
      </c>
      <c r="T388" s="12">
        <f t="shared" si="60"/>
        <v>-1.9089900110987768E-2</v>
      </c>
      <c r="U388" s="12">
        <f t="shared" si="61"/>
        <v>-4.3259369755733745E-2</v>
      </c>
      <c r="V388" s="12">
        <f t="shared" si="62"/>
        <v>-3.8297154425823932E-2</v>
      </c>
      <c r="W388" s="12">
        <f t="shared" si="63"/>
        <v>-4.1409186468752024E-2</v>
      </c>
      <c r="X388" s="12">
        <f t="shared" si="64"/>
        <v>-1.2223515715948818E-2</v>
      </c>
      <c r="Y388" s="12">
        <f t="shared" si="65"/>
        <v>-2.9920481602947135E-2</v>
      </c>
    </row>
    <row r="389" spans="1:25" x14ac:dyDescent="0.35">
      <c r="A389" s="6">
        <v>44687</v>
      </c>
      <c r="B389" s="8">
        <v>4123.34</v>
      </c>
      <c r="C389" s="2">
        <v>157.28</v>
      </c>
      <c r="D389" s="2">
        <v>137.66999999999999</v>
      </c>
      <c r="E389" s="2">
        <v>274.73</v>
      </c>
      <c r="F389" s="2">
        <v>499.62</v>
      </c>
      <c r="G389" s="2">
        <v>176.37</v>
      </c>
      <c r="H389" s="2">
        <v>202.82</v>
      </c>
      <c r="I389" s="2">
        <v>167.15</v>
      </c>
      <c r="J389" s="2">
        <v>148.9</v>
      </c>
      <c r="K389" s="2">
        <v>49.85</v>
      </c>
      <c r="L389" s="2">
        <v>214.65</v>
      </c>
      <c r="M389" s="64" t="s">
        <v>77</v>
      </c>
      <c r="N389" s="1"/>
      <c r="O389" s="12">
        <f t="shared" ref="O389:O452" si="66">(B389/B388)-1</f>
        <v>-5.6741590645473794E-3</v>
      </c>
      <c r="P389" s="12">
        <f t="shared" ref="P389:P452" si="67">(C389/C388)-1</f>
        <v>3.2531734387957201E-3</v>
      </c>
      <c r="Q389" s="12">
        <f t="shared" ref="Q389:Q452" si="68">(D389/D388)-1</f>
        <v>1.2875220718069347E-2</v>
      </c>
      <c r="R389" s="12">
        <f t="shared" ref="R389:R452" si="69">(E389/E388)-1</f>
        <v>-9.4465476834324491E-3</v>
      </c>
      <c r="S389" s="12">
        <f t="shared" ref="S389:S452" si="70">(F389/F388)-1</f>
        <v>9.904592496765785E-3</v>
      </c>
      <c r="T389" s="12">
        <f t="shared" ref="T389:T452" si="71">(G389/G388)-1</f>
        <v>-2.2063815342836524E-3</v>
      </c>
      <c r="U389" s="12">
        <f t="shared" ref="U389:U452" si="72">(H389/H388)-1</f>
        <v>-1.1791073864743762E-2</v>
      </c>
      <c r="V389" s="12">
        <f t="shared" ref="V389:V452" si="73">(I389/I388)-1</f>
        <v>-2.2571779428103511E-2</v>
      </c>
      <c r="W389" s="12">
        <f t="shared" ref="W389:W452" si="74">(J389/J388)-1</f>
        <v>-1.0433973549544673E-2</v>
      </c>
      <c r="X389" s="12">
        <f t="shared" ref="X389:X452" si="75">(K389/K388)-1</f>
        <v>-2.0821056766843316E-2</v>
      </c>
      <c r="Y389" s="12">
        <f t="shared" ref="Y389:Y452" si="76">(L389/L388)-1</f>
        <v>-5.9278469874496365E-3</v>
      </c>
    </row>
    <row r="390" spans="1:25" x14ac:dyDescent="0.35">
      <c r="A390" s="6">
        <v>44690</v>
      </c>
      <c r="B390" s="8">
        <v>3991.24</v>
      </c>
      <c r="C390" s="2">
        <v>152.06</v>
      </c>
      <c r="D390" s="2">
        <v>134.44</v>
      </c>
      <c r="E390" s="2">
        <v>264.58</v>
      </c>
      <c r="F390" s="2">
        <v>486.42</v>
      </c>
      <c r="G390" s="2">
        <v>177.33</v>
      </c>
      <c r="H390" s="2">
        <v>193</v>
      </c>
      <c r="I390" s="2">
        <v>161.02000000000001</v>
      </c>
      <c r="J390" s="2">
        <v>133.31</v>
      </c>
      <c r="K390" s="2">
        <v>50.44</v>
      </c>
      <c r="L390" s="2">
        <v>206.29</v>
      </c>
      <c r="M390" s="64" t="s">
        <v>77</v>
      </c>
      <c r="N390" s="1"/>
      <c r="O390" s="12">
        <f t="shared" si="66"/>
        <v>-3.2037134944001844E-2</v>
      </c>
      <c r="P390" s="12">
        <f t="shared" si="67"/>
        <v>-3.3189216683621514E-2</v>
      </c>
      <c r="Q390" s="12">
        <f t="shared" si="68"/>
        <v>-2.3461901648870409E-2</v>
      </c>
      <c r="R390" s="12">
        <f t="shared" si="69"/>
        <v>-3.6945364539730075E-2</v>
      </c>
      <c r="S390" s="12">
        <f t="shared" si="70"/>
        <v>-2.6420079260237705E-2</v>
      </c>
      <c r="T390" s="12">
        <f t="shared" si="71"/>
        <v>5.4431025684640311E-3</v>
      </c>
      <c r="U390" s="12">
        <f t="shared" si="72"/>
        <v>-4.8417315846563391E-2</v>
      </c>
      <c r="V390" s="12">
        <f t="shared" si="73"/>
        <v>-3.6673646425366413E-2</v>
      </c>
      <c r="W390" s="12">
        <f t="shared" si="74"/>
        <v>-0.10470114170584288</v>
      </c>
      <c r="X390" s="12">
        <f t="shared" si="75"/>
        <v>1.1835506519558558E-2</v>
      </c>
      <c r="Y390" s="12">
        <f t="shared" si="76"/>
        <v>-3.8947123223852853E-2</v>
      </c>
    </row>
    <row r="391" spans="1:25" x14ac:dyDescent="0.35">
      <c r="A391" s="6">
        <v>44691</v>
      </c>
      <c r="B391" s="8">
        <v>4001.05</v>
      </c>
      <c r="C391" s="2">
        <v>154.51</v>
      </c>
      <c r="D391" s="2">
        <v>129.13</v>
      </c>
      <c r="E391" s="2">
        <v>269.5</v>
      </c>
      <c r="F391" s="2">
        <v>488.01</v>
      </c>
      <c r="G391" s="2">
        <v>177.09</v>
      </c>
      <c r="H391" s="2">
        <v>193.58</v>
      </c>
      <c r="I391" s="2">
        <v>161.83000000000001</v>
      </c>
      <c r="J391" s="2">
        <v>132.94999999999999</v>
      </c>
      <c r="K391" s="2">
        <v>49.73</v>
      </c>
      <c r="L391" s="2">
        <v>202.99</v>
      </c>
      <c r="M391" s="64">
        <v>4.49</v>
      </c>
      <c r="N391" s="1"/>
      <c r="O391" s="12">
        <f t="shared" si="66"/>
        <v>2.4578827632515399E-3</v>
      </c>
      <c r="P391" s="12">
        <f t="shared" si="67"/>
        <v>1.6112061028541236E-2</v>
      </c>
      <c r="Q391" s="12">
        <f t="shared" si="68"/>
        <v>-3.94971734602797E-2</v>
      </c>
      <c r="R391" s="12">
        <f t="shared" si="69"/>
        <v>1.8595509864691273E-2</v>
      </c>
      <c r="S391" s="12">
        <f t="shared" si="70"/>
        <v>3.2687800666091338E-3</v>
      </c>
      <c r="T391" s="12">
        <f t="shared" si="71"/>
        <v>-1.3534088986635329E-3</v>
      </c>
      <c r="U391" s="12">
        <f t="shared" si="72"/>
        <v>3.0051813471503319E-3</v>
      </c>
      <c r="V391" s="12">
        <f t="shared" si="73"/>
        <v>5.0304310023598919E-3</v>
      </c>
      <c r="W391" s="12">
        <f t="shared" si="74"/>
        <v>-2.7004725827021181E-3</v>
      </c>
      <c r="X391" s="12">
        <f t="shared" si="75"/>
        <v>-1.407613005551156E-2</v>
      </c>
      <c r="Y391" s="12">
        <f t="shared" si="76"/>
        <v>-1.5996897571380009E-2</v>
      </c>
    </row>
    <row r="392" spans="1:25" x14ac:dyDescent="0.35">
      <c r="A392" s="6">
        <v>44692</v>
      </c>
      <c r="B392" s="8">
        <v>3935.18</v>
      </c>
      <c r="C392" s="2">
        <v>146.5</v>
      </c>
      <c r="D392" s="2">
        <v>130.75</v>
      </c>
      <c r="E392" s="2">
        <v>260.55</v>
      </c>
      <c r="F392" s="2">
        <v>486.15</v>
      </c>
      <c r="G392" s="2">
        <v>176.13</v>
      </c>
      <c r="H392" s="2">
        <v>196.72</v>
      </c>
      <c r="I392" s="2">
        <v>159.38999999999999</v>
      </c>
      <c r="J392" s="2">
        <v>129.38999999999999</v>
      </c>
      <c r="K392" s="2">
        <v>49.21</v>
      </c>
      <c r="L392" s="2">
        <v>205.21</v>
      </c>
      <c r="M392" s="64" t="s">
        <v>77</v>
      </c>
      <c r="N392" s="1"/>
      <c r="O392" s="12">
        <f t="shared" si="66"/>
        <v>-1.6463178415666024E-2</v>
      </c>
      <c r="P392" s="12">
        <f t="shared" si="67"/>
        <v>-5.1841304769917773E-2</v>
      </c>
      <c r="Q392" s="12">
        <f t="shared" si="68"/>
        <v>1.254549678618444E-2</v>
      </c>
      <c r="R392" s="12">
        <f t="shared" si="69"/>
        <v>-3.3209647495361705E-2</v>
      </c>
      <c r="S392" s="12">
        <f t="shared" si="70"/>
        <v>-3.811397307432296E-3</v>
      </c>
      <c r="T392" s="12">
        <f t="shared" si="71"/>
        <v>-5.4209723869219628E-3</v>
      </c>
      <c r="U392" s="12">
        <f t="shared" si="72"/>
        <v>1.6220683954953907E-2</v>
      </c>
      <c r="V392" s="12">
        <f t="shared" si="73"/>
        <v>-1.5077550515973703E-2</v>
      </c>
      <c r="W392" s="12">
        <f t="shared" si="74"/>
        <v>-2.6776983828507017E-2</v>
      </c>
      <c r="X392" s="12">
        <f t="shared" si="75"/>
        <v>-1.0456464910516661E-2</v>
      </c>
      <c r="Y392" s="12">
        <f t="shared" si="76"/>
        <v>1.0936499334942562E-2</v>
      </c>
    </row>
    <row r="393" spans="1:25" x14ac:dyDescent="0.35">
      <c r="A393" s="6">
        <v>44693</v>
      </c>
      <c r="B393" s="8">
        <v>3930.08</v>
      </c>
      <c r="C393" s="2">
        <v>142.56</v>
      </c>
      <c r="D393" s="2">
        <v>132.9</v>
      </c>
      <c r="E393" s="2">
        <v>255.35</v>
      </c>
      <c r="F393" s="2">
        <v>478.8</v>
      </c>
      <c r="G393" s="2">
        <v>177.87</v>
      </c>
      <c r="H393" s="2">
        <v>193.97</v>
      </c>
      <c r="I393" s="2">
        <v>153.27000000000001</v>
      </c>
      <c r="J393" s="2">
        <v>123.14</v>
      </c>
      <c r="K393" s="2">
        <v>49.16</v>
      </c>
      <c r="L393" s="2">
        <v>203.03</v>
      </c>
      <c r="M393" s="64" t="s">
        <v>77</v>
      </c>
      <c r="N393" s="1"/>
      <c r="O393" s="12">
        <f t="shared" si="66"/>
        <v>-1.2960017076728558E-3</v>
      </c>
      <c r="P393" s="12">
        <f t="shared" si="67"/>
        <v>-2.6894197952218368E-2</v>
      </c>
      <c r="Q393" s="12">
        <f t="shared" si="68"/>
        <v>1.6443594646271542E-2</v>
      </c>
      <c r="R393" s="12">
        <f t="shared" si="69"/>
        <v>-1.9957781615812742E-2</v>
      </c>
      <c r="S393" s="12">
        <f t="shared" si="70"/>
        <v>-1.5118790496760237E-2</v>
      </c>
      <c r="T393" s="12">
        <f t="shared" si="71"/>
        <v>9.8790665985353243E-3</v>
      </c>
      <c r="U393" s="12">
        <f t="shared" si="72"/>
        <v>-1.3979259861732429E-2</v>
      </c>
      <c r="V393" s="12">
        <f t="shared" si="73"/>
        <v>-3.8396386222472989E-2</v>
      </c>
      <c r="W393" s="12">
        <f t="shared" si="74"/>
        <v>-4.8303578329082497E-2</v>
      </c>
      <c r="X393" s="12">
        <f t="shared" si="75"/>
        <v>-1.0160536476326865E-3</v>
      </c>
      <c r="Y393" s="12">
        <f t="shared" si="76"/>
        <v>-1.062326397349056E-2</v>
      </c>
    </row>
    <row r="394" spans="1:25" x14ac:dyDescent="0.35">
      <c r="A394" s="6">
        <v>44694</v>
      </c>
      <c r="B394" s="8">
        <v>4023.89</v>
      </c>
      <c r="C394" s="2">
        <v>147.11000000000001</v>
      </c>
      <c r="D394" s="2">
        <v>133.6</v>
      </c>
      <c r="E394" s="2">
        <v>261.12</v>
      </c>
      <c r="F394" s="2">
        <v>485.4</v>
      </c>
      <c r="G394" s="2">
        <v>176.85</v>
      </c>
      <c r="H394" s="2">
        <v>199.23</v>
      </c>
      <c r="I394" s="2">
        <v>158.75</v>
      </c>
      <c r="J394" s="2">
        <v>127.2</v>
      </c>
      <c r="K394" s="2">
        <v>49.35</v>
      </c>
      <c r="L394" s="2">
        <v>204.33</v>
      </c>
      <c r="M394" s="64" t="s">
        <v>77</v>
      </c>
      <c r="N394" s="1"/>
      <c r="O394" s="12">
        <f t="shared" si="66"/>
        <v>2.386974310955492E-2</v>
      </c>
      <c r="P394" s="12">
        <f t="shared" si="67"/>
        <v>3.1916386083052917E-2</v>
      </c>
      <c r="Q394" s="12">
        <f t="shared" si="68"/>
        <v>5.2671181339352113E-3</v>
      </c>
      <c r="R394" s="12">
        <f t="shared" si="69"/>
        <v>2.2596436263951469E-2</v>
      </c>
      <c r="S394" s="12">
        <f t="shared" si="70"/>
        <v>1.3784461152882121E-2</v>
      </c>
      <c r="T394" s="12">
        <f t="shared" si="71"/>
        <v>-5.7345252150448056E-3</v>
      </c>
      <c r="U394" s="12">
        <f t="shared" si="72"/>
        <v>2.7117595504459358E-2</v>
      </c>
      <c r="V394" s="12">
        <f t="shared" si="73"/>
        <v>3.5753898349318192E-2</v>
      </c>
      <c r="W394" s="12">
        <f t="shared" si="74"/>
        <v>3.2970602566184892E-2</v>
      </c>
      <c r="X394" s="12">
        <f t="shared" si="75"/>
        <v>3.8649308380798164E-3</v>
      </c>
      <c r="Y394" s="12">
        <f t="shared" si="76"/>
        <v>6.4029946313353125E-3</v>
      </c>
    </row>
    <row r="395" spans="1:25" x14ac:dyDescent="0.35">
      <c r="A395" s="6">
        <v>44697</v>
      </c>
      <c r="B395" s="8">
        <v>4008.01</v>
      </c>
      <c r="C395" s="2">
        <v>145.54</v>
      </c>
      <c r="D395" s="2">
        <v>135.03</v>
      </c>
      <c r="E395" s="2">
        <v>261.5</v>
      </c>
      <c r="F395" s="2">
        <v>489.22</v>
      </c>
      <c r="G395" s="2">
        <v>178.08</v>
      </c>
      <c r="H395" s="2">
        <v>197.81</v>
      </c>
      <c r="I395" s="2">
        <v>156.43</v>
      </c>
      <c r="J395" s="2">
        <v>124.05</v>
      </c>
      <c r="K395" s="2">
        <v>49.4</v>
      </c>
      <c r="L395" s="2">
        <v>207.19</v>
      </c>
      <c r="M395" s="64">
        <v>4.5999999999999996</v>
      </c>
      <c r="N395" s="1"/>
      <c r="O395" s="12">
        <f t="shared" si="66"/>
        <v>-3.9464299471405617E-3</v>
      </c>
      <c r="P395" s="12">
        <f t="shared" si="67"/>
        <v>-1.0672286044456691E-2</v>
      </c>
      <c r="Q395" s="12">
        <f t="shared" si="68"/>
        <v>1.0703592814371277E-2</v>
      </c>
      <c r="R395" s="12">
        <f t="shared" si="69"/>
        <v>1.455269607843146E-3</v>
      </c>
      <c r="S395" s="12">
        <f t="shared" si="70"/>
        <v>7.869798104656045E-3</v>
      </c>
      <c r="T395" s="12">
        <f t="shared" si="71"/>
        <v>6.9550466497032559E-3</v>
      </c>
      <c r="U395" s="12">
        <f t="shared" si="72"/>
        <v>-7.1274406464889584E-3</v>
      </c>
      <c r="V395" s="12">
        <f t="shared" si="73"/>
        <v>-1.4614173228346461E-2</v>
      </c>
      <c r="W395" s="12">
        <f t="shared" si="74"/>
        <v>-2.4764150943396235E-2</v>
      </c>
      <c r="X395" s="12">
        <f t="shared" si="75"/>
        <v>1.0131712259371373E-3</v>
      </c>
      <c r="Y395" s="12">
        <f t="shared" si="76"/>
        <v>1.3996965692751884E-2</v>
      </c>
    </row>
    <row r="396" spans="1:25" x14ac:dyDescent="0.35">
      <c r="A396" s="6">
        <v>44698</v>
      </c>
      <c r="B396" s="8">
        <v>4088.85</v>
      </c>
      <c r="C396" s="2">
        <v>149.24</v>
      </c>
      <c r="D396" s="2">
        <v>138.37</v>
      </c>
      <c r="E396" s="2">
        <v>266.82</v>
      </c>
      <c r="F396" s="2">
        <v>492.53</v>
      </c>
      <c r="G396" s="2">
        <v>178.82</v>
      </c>
      <c r="H396" s="2">
        <v>204</v>
      </c>
      <c r="I396" s="2">
        <v>161.85</v>
      </c>
      <c r="J396" s="2">
        <v>132.05000000000001</v>
      </c>
      <c r="K396" s="2">
        <v>43.78</v>
      </c>
      <c r="L396" s="2">
        <v>213.09</v>
      </c>
      <c r="M396" s="64" t="s">
        <v>77</v>
      </c>
      <c r="N396" s="1"/>
      <c r="O396" s="12">
        <f t="shared" si="66"/>
        <v>2.0169610355263545E-2</v>
      </c>
      <c r="P396" s="12">
        <f t="shared" si="67"/>
        <v>2.5422564243507084E-2</v>
      </c>
      <c r="Q396" s="12">
        <f t="shared" si="68"/>
        <v>2.4735244019847391E-2</v>
      </c>
      <c r="R396" s="12">
        <f t="shared" si="69"/>
        <v>2.0344168260038265E-2</v>
      </c>
      <c r="S396" s="12">
        <f t="shared" si="70"/>
        <v>6.7658722047339026E-3</v>
      </c>
      <c r="T396" s="12">
        <f t="shared" si="71"/>
        <v>4.1554357592092916E-3</v>
      </c>
      <c r="U396" s="12">
        <f t="shared" si="72"/>
        <v>3.1292654567514289E-2</v>
      </c>
      <c r="V396" s="12">
        <f t="shared" si="73"/>
        <v>3.4648085405612594E-2</v>
      </c>
      <c r="W396" s="12">
        <f t="shared" si="74"/>
        <v>6.4490124949617256E-2</v>
      </c>
      <c r="X396" s="12">
        <f t="shared" si="75"/>
        <v>-0.11376518218623477</v>
      </c>
      <c r="Y396" s="12">
        <f t="shared" si="76"/>
        <v>2.8476277812635731E-2</v>
      </c>
    </row>
    <row r="397" spans="1:25" x14ac:dyDescent="0.35">
      <c r="A397" s="6">
        <v>44699</v>
      </c>
      <c r="B397" s="8">
        <v>3923.68</v>
      </c>
      <c r="C397" s="2">
        <v>140.82</v>
      </c>
      <c r="D397" s="2">
        <v>132.94</v>
      </c>
      <c r="E397" s="2">
        <v>254.08</v>
      </c>
      <c r="F397" s="2">
        <v>471.38</v>
      </c>
      <c r="G397" s="2">
        <v>175.5</v>
      </c>
      <c r="H397" s="2">
        <v>199.99</v>
      </c>
      <c r="I397" s="2">
        <v>156.1</v>
      </c>
      <c r="J397" s="2">
        <v>125.52</v>
      </c>
      <c r="K397" s="2">
        <v>40.81</v>
      </c>
      <c r="L397" s="2">
        <v>207.94</v>
      </c>
      <c r="M397" s="64" t="s">
        <v>77</v>
      </c>
      <c r="N397" s="1"/>
      <c r="O397" s="12">
        <f t="shared" si="66"/>
        <v>-4.0395221150201222E-2</v>
      </c>
      <c r="P397" s="12">
        <f t="shared" si="67"/>
        <v>-5.6419190565532129E-2</v>
      </c>
      <c r="Q397" s="12">
        <f t="shared" si="68"/>
        <v>-3.9242610392426158E-2</v>
      </c>
      <c r="R397" s="12">
        <f t="shared" si="69"/>
        <v>-4.7747545161532012E-2</v>
      </c>
      <c r="S397" s="12">
        <f t="shared" si="70"/>
        <v>-4.2941546707814693E-2</v>
      </c>
      <c r="T397" s="12">
        <f t="shared" si="71"/>
        <v>-1.8566155910971882E-2</v>
      </c>
      <c r="U397" s="12">
        <f t="shared" si="72"/>
        <v>-1.9656862745098036E-2</v>
      </c>
      <c r="V397" s="12">
        <f t="shared" si="73"/>
        <v>-3.5526722273710232E-2</v>
      </c>
      <c r="W397" s="12">
        <f t="shared" si="74"/>
        <v>-4.945096554335493E-2</v>
      </c>
      <c r="X397" s="12">
        <f t="shared" si="75"/>
        <v>-6.7839195979899514E-2</v>
      </c>
      <c r="Y397" s="12">
        <f t="shared" si="76"/>
        <v>-2.4168191843821907E-2</v>
      </c>
    </row>
    <row r="398" spans="1:25" x14ac:dyDescent="0.35">
      <c r="A398" s="6">
        <v>44700</v>
      </c>
      <c r="B398" s="8">
        <v>3900.79</v>
      </c>
      <c r="C398" s="2">
        <v>137.35</v>
      </c>
      <c r="D398" s="2">
        <v>129.66</v>
      </c>
      <c r="E398" s="2">
        <v>253.14</v>
      </c>
      <c r="F398" s="2">
        <v>478.55</v>
      </c>
      <c r="G398" s="2">
        <v>173.94</v>
      </c>
      <c r="H398" s="2">
        <v>197.37</v>
      </c>
      <c r="I398" s="2">
        <v>154</v>
      </c>
      <c r="J398" s="2">
        <v>127.14</v>
      </c>
      <c r="K398" s="2">
        <v>39.69</v>
      </c>
      <c r="L398" s="2">
        <v>206.76</v>
      </c>
      <c r="M398" s="64" t="s">
        <v>77</v>
      </c>
      <c r="N398" s="1"/>
      <c r="O398" s="12">
        <f t="shared" si="66"/>
        <v>-5.8338090771927753E-3</v>
      </c>
      <c r="P398" s="12">
        <f t="shared" si="67"/>
        <v>-2.4641386166737722E-2</v>
      </c>
      <c r="Q398" s="12">
        <f t="shared" si="68"/>
        <v>-2.4672784714908969E-2</v>
      </c>
      <c r="R398" s="12">
        <f t="shared" si="69"/>
        <v>-3.6996221662469742E-3</v>
      </c>
      <c r="S398" s="12">
        <f t="shared" si="70"/>
        <v>1.5210658067800864E-2</v>
      </c>
      <c r="T398" s="12">
        <f t="shared" si="71"/>
        <v>-8.8888888888889461E-3</v>
      </c>
      <c r="U398" s="12">
        <f t="shared" si="72"/>
        <v>-1.3100655032751707E-2</v>
      </c>
      <c r="V398" s="12">
        <f t="shared" si="73"/>
        <v>-1.3452914798206206E-2</v>
      </c>
      <c r="W398" s="12">
        <f t="shared" si="74"/>
        <v>1.2906309751434142E-2</v>
      </c>
      <c r="X398" s="12">
        <f t="shared" si="75"/>
        <v>-2.7444253859348344E-2</v>
      </c>
      <c r="Y398" s="12">
        <f t="shared" si="76"/>
        <v>-5.6747138597672553E-3</v>
      </c>
    </row>
    <row r="399" spans="1:25" x14ac:dyDescent="0.35">
      <c r="A399" s="6">
        <v>44701</v>
      </c>
      <c r="B399" s="8">
        <v>3901.36</v>
      </c>
      <c r="C399" s="2">
        <v>137.59</v>
      </c>
      <c r="D399" s="2">
        <v>128.47999999999999</v>
      </c>
      <c r="E399" s="2">
        <v>252.56</v>
      </c>
      <c r="F399" s="2">
        <v>485.73</v>
      </c>
      <c r="G399" s="2">
        <v>176.98</v>
      </c>
      <c r="H399" s="2">
        <v>199.03</v>
      </c>
      <c r="I399" s="2">
        <v>153.24</v>
      </c>
      <c r="J399" s="2">
        <v>120.7</v>
      </c>
      <c r="K399" s="2">
        <v>39.729999999999997</v>
      </c>
      <c r="L399" s="2">
        <v>197.82</v>
      </c>
      <c r="M399" s="64" t="s">
        <v>77</v>
      </c>
      <c r="N399" s="1"/>
      <c r="O399" s="12">
        <f t="shared" si="66"/>
        <v>1.4612424662696633E-4</v>
      </c>
      <c r="P399" s="12">
        <f t="shared" si="67"/>
        <v>1.7473607571896199E-3</v>
      </c>
      <c r="Q399" s="12">
        <f t="shared" si="68"/>
        <v>-9.1007249730064022E-3</v>
      </c>
      <c r="R399" s="12">
        <f t="shared" si="69"/>
        <v>-2.2912222485580447E-3</v>
      </c>
      <c r="S399" s="12">
        <f t="shared" si="70"/>
        <v>1.5003656880158811E-2</v>
      </c>
      <c r="T399" s="12">
        <f t="shared" si="71"/>
        <v>1.7477291019891927E-2</v>
      </c>
      <c r="U399" s="12">
        <f t="shared" si="72"/>
        <v>8.4105993818714975E-3</v>
      </c>
      <c r="V399" s="12">
        <f t="shared" si="73"/>
        <v>-4.9350649350649034E-3</v>
      </c>
      <c r="W399" s="12">
        <f t="shared" si="74"/>
        <v>-5.0652823658958623E-2</v>
      </c>
      <c r="X399" s="12">
        <f t="shared" si="75"/>
        <v>1.0078105316200237E-3</v>
      </c>
      <c r="Y399" s="12">
        <f t="shared" si="76"/>
        <v>-4.3238537434706847E-2</v>
      </c>
    </row>
    <row r="400" spans="1:25" x14ac:dyDescent="0.35">
      <c r="A400" s="6">
        <v>44704</v>
      </c>
      <c r="B400" s="8">
        <v>3973.75</v>
      </c>
      <c r="C400" s="2">
        <v>143.11000000000001</v>
      </c>
      <c r="D400" s="2">
        <v>131.16999999999999</v>
      </c>
      <c r="E400" s="2">
        <v>260.64999999999998</v>
      </c>
      <c r="F400" s="2">
        <v>492.08</v>
      </c>
      <c r="G400" s="2">
        <v>179.44</v>
      </c>
      <c r="H400" s="2">
        <v>207.56</v>
      </c>
      <c r="I400" s="2">
        <v>159.04</v>
      </c>
      <c r="J400" s="2">
        <v>124.07</v>
      </c>
      <c r="K400" s="2">
        <v>40.869999999999997</v>
      </c>
      <c r="L400" s="2">
        <v>204.15</v>
      </c>
      <c r="M400" s="64">
        <v>4.58</v>
      </c>
      <c r="N400" s="1"/>
      <c r="O400" s="12">
        <f t="shared" si="66"/>
        <v>1.8555067976295359E-2</v>
      </c>
      <c r="P400" s="12">
        <f t="shared" si="67"/>
        <v>4.0119194708917894E-2</v>
      </c>
      <c r="Q400" s="12">
        <f t="shared" si="68"/>
        <v>2.0937110834370998E-2</v>
      </c>
      <c r="R400" s="12">
        <f t="shared" si="69"/>
        <v>3.2031992397846043E-2</v>
      </c>
      <c r="S400" s="12">
        <f t="shared" si="70"/>
        <v>1.3073106458320494E-2</v>
      </c>
      <c r="T400" s="12">
        <f t="shared" si="71"/>
        <v>1.3899875692168662E-2</v>
      </c>
      <c r="U400" s="12">
        <f t="shared" si="72"/>
        <v>4.2857860624026634E-2</v>
      </c>
      <c r="V400" s="12">
        <f t="shared" si="73"/>
        <v>3.7849125554685337E-2</v>
      </c>
      <c r="W400" s="12">
        <f t="shared" si="74"/>
        <v>2.7920463960231956E-2</v>
      </c>
      <c r="X400" s="12">
        <f t="shared" si="75"/>
        <v>2.8693682355902306E-2</v>
      </c>
      <c r="Y400" s="12">
        <f t="shared" si="76"/>
        <v>3.199878677585688E-2</v>
      </c>
    </row>
    <row r="401" spans="1:25" x14ac:dyDescent="0.35">
      <c r="A401" s="6">
        <v>44705</v>
      </c>
      <c r="B401" s="8">
        <v>3941.48</v>
      </c>
      <c r="C401" s="2">
        <v>140.36000000000001</v>
      </c>
      <c r="D401" s="2">
        <v>133.80000000000001</v>
      </c>
      <c r="E401" s="2">
        <v>259.62</v>
      </c>
      <c r="F401" s="2">
        <v>497.56</v>
      </c>
      <c r="G401" s="2">
        <v>181.4</v>
      </c>
      <c r="H401" s="2">
        <v>202.63</v>
      </c>
      <c r="I401" s="2">
        <v>155.63</v>
      </c>
      <c r="J401" s="2">
        <v>119.4</v>
      </c>
      <c r="K401" s="2">
        <v>41.38</v>
      </c>
      <c r="L401" s="2">
        <v>205.65</v>
      </c>
      <c r="M401" s="64" t="s">
        <v>77</v>
      </c>
      <c r="N401" s="1"/>
      <c r="O401" s="12">
        <f t="shared" si="66"/>
        <v>-8.1207927021075266E-3</v>
      </c>
      <c r="P401" s="12">
        <f t="shared" si="67"/>
        <v>-1.9215987701767911E-2</v>
      </c>
      <c r="Q401" s="12">
        <f t="shared" si="68"/>
        <v>2.0050316383319444E-2</v>
      </c>
      <c r="R401" s="12">
        <f t="shared" si="69"/>
        <v>-3.9516593132552513E-3</v>
      </c>
      <c r="S401" s="12">
        <f t="shared" si="70"/>
        <v>1.1136400585270767E-2</v>
      </c>
      <c r="T401" s="12">
        <f t="shared" si="71"/>
        <v>1.0922871154703584E-2</v>
      </c>
      <c r="U401" s="12">
        <f t="shared" si="72"/>
        <v>-2.3752168047793454E-2</v>
      </c>
      <c r="V401" s="12">
        <f t="shared" si="73"/>
        <v>-2.1441146881287731E-2</v>
      </c>
      <c r="W401" s="12">
        <f t="shared" si="74"/>
        <v>-3.7640041911823907E-2</v>
      </c>
      <c r="X401" s="12">
        <f t="shared" si="75"/>
        <v>1.2478590653291155E-2</v>
      </c>
      <c r="Y401" s="12">
        <f t="shared" si="76"/>
        <v>7.3475385745775945E-3</v>
      </c>
    </row>
    <row r="402" spans="1:25" x14ac:dyDescent="0.35">
      <c r="A402" s="6">
        <v>44706</v>
      </c>
      <c r="B402" s="8">
        <v>3978.73</v>
      </c>
      <c r="C402" s="2">
        <v>140.52000000000001</v>
      </c>
      <c r="D402" s="2">
        <v>134.38999999999999</v>
      </c>
      <c r="E402" s="2">
        <v>262.52</v>
      </c>
      <c r="F402" s="2">
        <v>498.09</v>
      </c>
      <c r="G402" s="2">
        <v>179.62</v>
      </c>
      <c r="H402" s="2">
        <v>203.84</v>
      </c>
      <c r="I402" s="2">
        <v>160.51</v>
      </c>
      <c r="J402" s="2">
        <v>122.06</v>
      </c>
      <c r="K402" s="2">
        <v>41.12</v>
      </c>
      <c r="L402" s="2">
        <v>209.31</v>
      </c>
      <c r="M402" s="64" t="s">
        <v>77</v>
      </c>
      <c r="N402" s="1"/>
      <c r="O402" s="12">
        <f t="shared" si="66"/>
        <v>9.4507646873762674E-3</v>
      </c>
      <c r="P402" s="12">
        <f t="shared" si="67"/>
        <v>1.1399259048161525E-3</v>
      </c>
      <c r="Q402" s="12">
        <f t="shared" si="68"/>
        <v>4.4095665171897114E-3</v>
      </c>
      <c r="R402" s="12">
        <f t="shared" si="69"/>
        <v>1.1170171789538497E-2</v>
      </c>
      <c r="S402" s="12">
        <f t="shared" si="70"/>
        <v>1.0651981670550814E-3</v>
      </c>
      <c r="T402" s="12">
        <f t="shared" si="71"/>
        <v>-9.8125689084895829E-3</v>
      </c>
      <c r="U402" s="12">
        <f t="shared" si="72"/>
        <v>5.9714751024033674E-3</v>
      </c>
      <c r="V402" s="12">
        <f t="shared" si="73"/>
        <v>3.1356422283621344E-2</v>
      </c>
      <c r="W402" s="12">
        <f t="shared" si="74"/>
        <v>2.2278056951423819E-2</v>
      </c>
      <c r="X402" s="12">
        <f t="shared" si="75"/>
        <v>-6.2832286128565729E-3</v>
      </c>
      <c r="Y402" s="12">
        <f t="shared" si="76"/>
        <v>1.7797228300510559E-2</v>
      </c>
    </row>
    <row r="403" spans="1:25" x14ac:dyDescent="0.35">
      <c r="A403" s="6">
        <v>44707</v>
      </c>
      <c r="B403" s="8">
        <v>4057.84</v>
      </c>
      <c r="C403" s="2">
        <v>143.78</v>
      </c>
      <c r="D403" s="2">
        <v>136.88999999999999</v>
      </c>
      <c r="E403" s="2">
        <v>265.89999999999998</v>
      </c>
      <c r="F403" s="2">
        <v>502.23</v>
      </c>
      <c r="G403" s="2">
        <v>179.46</v>
      </c>
      <c r="H403" s="2">
        <v>208.55</v>
      </c>
      <c r="I403" s="2">
        <v>165.37</v>
      </c>
      <c r="J403" s="2">
        <v>127.73</v>
      </c>
      <c r="K403" s="2">
        <v>42</v>
      </c>
      <c r="L403" s="2">
        <v>212.99</v>
      </c>
      <c r="M403" s="64" t="s">
        <v>77</v>
      </c>
      <c r="N403" s="1"/>
      <c r="O403" s="12">
        <f t="shared" si="66"/>
        <v>1.988322907058282E-2</v>
      </c>
      <c r="P403" s="12">
        <f t="shared" si="67"/>
        <v>2.3199544548818674E-2</v>
      </c>
      <c r="Q403" s="12">
        <f t="shared" si="68"/>
        <v>1.8602574596324084E-2</v>
      </c>
      <c r="R403" s="12">
        <f t="shared" si="69"/>
        <v>1.2875209507847041E-2</v>
      </c>
      <c r="S403" s="12">
        <f t="shared" si="70"/>
        <v>8.3117508883936431E-3</v>
      </c>
      <c r="T403" s="12">
        <f t="shared" si="71"/>
        <v>-8.9076940207100108E-4</v>
      </c>
      <c r="U403" s="12">
        <f t="shared" si="72"/>
        <v>2.3106357927786592E-2</v>
      </c>
      <c r="V403" s="12">
        <f t="shared" si="73"/>
        <v>3.0278487321662384E-2</v>
      </c>
      <c r="W403" s="12">
        <f t="shared" si="74"/>
        <v>4.6452564312633227E-2</v>
      </c>
      <c r="X403" s="12">
        <f t="shared" si="75"/>
        <v>2.1400778210116878E-2</v>
      </c>
      <c r="Y403" s="12">
        <f t="shared" si="76"/>
        <v>1.758157756437817E-2</v>
      </c>
    </row>
    <row r="404" spans="1:25" x14ac:dyDescent="0.35">
      <c r="A404" s="6">
        <v>44708</v>
      </c>
      <c r="B404" s="8">
        <v>4158.24</v>
      </c>
      <c r="C404" s="2">
        <v>149.63999999999999</v>
      </c>
      <c r="D404" s="2">
        <v>139.27000000000001</v>
      </c>
      <c r="E404" s="2">
        <v>273.24</v>
      </c>
      <c r="F404" s="2">
        <v>507.11</v>
      </c>
      <c r="G404" s="2">
        <v>181.09</v>
      </c>
      <c r="H404" s="2">
        <v>212.88</v>
      </c>
      <c r="I404" s="2">
        <v>169.6</v>
      </c>
      <c r="J404" s="2">
        <v>132.22999999999999</v>
      </c>
      <c r="K404" s="2">
        <v>42.83</v>
      </c>
      <c r="L404" s="2">
        <v>217.14</v>
      </c>
      <c r="M404" s="64" t="s">
        <v>77</v>
      </c>
      <c r="N404" s="1"/>
      <c r="O404" s="12">
        <f t="shared" si="66"/>
        <v>2.4742227391912897E-2</v>
      </c>
      <c r="P404" s="12">
        <f t="shared" si="67"/>
        <v>4.075671164278738E-2</v>
      </c>
      <c r="Q404" s="12">
        <f t="shared" si="68"/>
        <v>1.7386222514427896E-2</v>
      </c>
      <c r="R404" s="12">
        <f t="shared" si="69"/>
        <v>2.7604362542309246E-2</v>
      </c>
      <c r="S404" s="12">
        <f t="shared" si="70"/>
        <v>9.7166636799872474E-3</v>
      </c>
      <c r="T404" s="12">
        <f t="shared" si="71"/>
        <v>9.0828039674579752E-3</v>
      </c>
      <c r="U404" s="12">
        <f t="shared" si="72"/>
        <v>2.0762407096619473E-2</v>
      </c>
      <c r="V404" s="12">
        <f t="shared" si="73"/>
        <v>2.5579004656225424E-2</v>
      </c>
      <c r="W404" s="12">
        <f t="shared" si="74"/>
        <v>3.5230564471932846E-2</v>
      </c>
      <c r="X404" s="12">
        <f t="shared" si="75"/>
        <v>1.9761904761904647E-2</v>
      </c>
      <c r="Y404" s="12">
        <f t="shared" si="76"/>
        <v>1.9484482839569717E-2</v>
      </c>
    </row>
    <row r="405" spans="1:25" x14ac:dyDescent="0.35">
      <c r="A405" s="6">
        <v>44712</v>
      </c>
      <c r="B405" s="8">
        <v>4132.1499999999996</v>
      </c>
      <c r="C405" s="2">
        <v>148.84</v>
      </c>
      <c r="D405" s="2">
        <v>138.84</v>
      </c>
      <c r="E405" s="2">
        <v>271.87</v>
      </c>
      <c r="F405" s="2">
        <v>496.78</v>
      </c>
      <c r="G405" s="2">
        <v>179.53</v>
      </c>
      <c r="H405" s="2">
        <v>212.17</v>
      </c>
      <c r="I405" s="2">
        <v>168.82</v>
      </c>
      <c r="J405" s="2">
        <v>131.4</v>
      </c>
      <c r="K405" s="2">
        <v>42.88</v>
      </c>
      <c r="L405" s="2">
        <v>215.85</v>
      </c>
      <c r="M405" s="64">
        <v>4.6900000000000004</v>
      </c>
      <c r="N405" s="1"/>
      <c r="O405" s="12">
        <f t="shared" si="66"/>
        <v>-6.2742891223209751E-3</v>
      </c>
      <c r="P405" s="12">
        <f t="shared" si="67"/>
        <v>-5.3461641272385396E-3</v>
      </c>
      <c r="Q405" s="12">
        <f t="shared" si="68"/>
        <v>-3.0875278236519588E-3</v>
      </c>
      <c r="R405" s="12">
        <f t="shared" si="69"/>
        <v>-5.0139071878202435E-3</v>
      </c>
      <c r="S405" s="12">
        <f t="shared" si="70"/>
        <v>-2.0370333852615885E-2</v>
      </c>
      <c r="T405" s="12">
        <f t="shared" si="71"/>
        <v>-8.6145010768126085E-3</v>
      </c>
      <c r="U405" s="12">
        <f t="shared" si="72"/>
        <v>-3.3352123261931599E-3</v>
      </c>
      <c r="V405" s="12">
        <f t="shared" si="73"/>
        <v>-4.5990566037735769E-3</v>
      </c>
      <c r="W405" s="12">
        <f t="shared" si="74"/>
        <v>-6.2769416925053667E-3</v>
      </c>
      <c r="X405" s="12">
        <f t="shared" si="75"/>
        <v>1.167406023815154E-3</v>
      </c>
      <c r="Y405" s="12">
        <f t="shared" si="76"/>
        <v>-5.9408676429952845E-3</v>
      </c>
    </row>
    <row r="406" spans="1:25" x14ac:dyDescent="0.35">
      <c r="A406" s="6">
        <v>44713</v>
      </c>
      <c r="B406" s="8">
        <v>4101.2299999999996</v>
      </c>
      <c r="C406" s="2">
        <v>148.71</v>
      </c>
      <c r="D406" s="2">
        <v>139.43</v>
      </c>
      <c r="E406" s="2">
        <v>272.42</v>
      </c>
      <c r="F406" s="2">
        <v>492.55</v>
      </c>
      <c r="G406" s="2">
        <v>177.71</v>
      </c>
      <c r="H406" s="2">
        <v>209.93</v>
      </c>
      <c r="I406" s="2">
        <v>165.76</v>
      </c>
      <c r="J406" s="2">
        <v>130.65</v>
      </c>
      <c r="K406" s="2">
        <v>41.82</v>
      </c>
      <c r="L406" s="2">
        <v>217.57</v>
      </c>
      <c r="M406" s="64" t="s">
        <v>77</v>
      </c>
      <c r="N406" s="1"/>
      <c r="O406" s="12">
        <f t="shared" si="66"/>
        <v>-7.4827874109120174E-3</v>
      </c>
      <c r="P406" s="12">
        <f t="shared" si="67"/>
        <v>-8.7342112335386801E-4</v>
      </c>
      <c r="Q406" s="12">
        <f t="shared" si="68"/>
        <v>4.2494958225296475E-3</v>
      </c>
      <c r="R406" s="12">
        <f t="shared" si="69"/>
        <v>2.0230257108178051E-3</v>
      </c>
      <c r="S406" s="12">
        <f t="shared" si="70"/>
        <v>-8.51483554088317E-3</v>
      </c>
      <c r="T406" s="12">
        <f t="shared" si="71"/>
        <v>-1.0137581462708156E-2</v>
      </c>
      <c r="U406" s="12">
        <f t="shared" si="72"/>
        <v>-1.0557571758495476E-2</v>
      </c>
      <c r="V406" s="12">
        <f t="shared" si="73"/>
        <v>-1.8125814476957713E-2</v>
      </c>
      <c r="W406" s="12">
        <f t="shared" si="74"/>
        <v>-5.7077625570776114E-3</v>
      </c>
      <c r="X406" s="12">
        <f t="shared" si="75"/>
        <v>-2.4720149253731449E-2</v>
      </c>
      <c r="Y406" s="12">
        <f t="shared" si="76"/>
        <v>7.9684966411859293E-3</v>
      </c>
    </row>
    <row r="407" spans="1:25" x14ac:dyDescent="0.35">
      <c r="A407" s="6">
        <v>44714</v>
      </c>
      <c r="B407" s="8">
        <v>4176.82</v>
      </c>
      <c r="C407" s="2">
        <v>151.21</v>
      </c>
      <c r="D407" s="2">
        <v>140.15</v>
      </c>
      <c r="E407" s="2">
        <v>274.58</v>
      </c>
      <c r="F407" s="2">
        <v>492.26</v>
      </c>
      <c r="G407" s="2">
        <v>177.15</v>
      </c>
      <c r="H407" s="2">
        <v>215.05</v>
      </c>
      <c r="I407" s="2">
        <v>169.14</v>
      </c>
      <c r="J407" s="2">
        <v>140.5</v>
      </c>
      <c r="K407" s="2">
        <v>42.5</v>
      </c>
      <c r="L407" s="2">
        <v>220</v>
      </c>
      <c r="M407" s="64" t="s">
        <v>77</v>
      </c>
      <c r="N407" s="1"/>
      <c r="O407" s="12">
        <f t="shared" si="66"/>
        <v>1.8431056049039052E-2</v>
      </c>
      <c r="P407" s="12">
        <f t="shared" si="67"/>
        <v>1.6811243359558858E-2</v>
      </c>
      <c r="Q407" s="12">
        <f t="shared" si="68"/>
        <v>5.1638815176073827E-3</v>
      </c>
      <c r="R407" s="12">
        <f t="shared" si="69"/>
        <v>7.9289332648115884E-3</v>
      </c>
      <c r="S407" s="12">
        <f t="shared" si="70"/>
        <v>-5.8877271343016346E-4</v>
      </c>
      <c r="T407" s="12">
        <f t="shared" si="71"/>
        <v>-3.1512013955320439E-3</v>
      </c>
      <c r="U407" s="12">
        <f t="shared" si="72"/>
        <v>2.4389082074977475E-2</v>
      </c>
      <c r="V407" s="12">
        <f t="shared" si="73"/>
        <v>2.0390926640926565E-2</v>
      </c>
      <c r="W407" s="12">
        <f t="shared" si="74"/>
        <v>7.5392269422120073E-2</v>
      </c>
      <c r="X407" s="12">
        <f t="shared" si="75"/>
        <v>1.6260162601626105E-2</v>
      </c>
      <c r="Y407" s="12">
        <f t="shared" si="76"/>
        <v>1.1168819230592542E-2</v>
      </c>
    </row>
    <row r="408" spans="1:25" x14ac:dyDescent="0.35">
      <c r="A408" s="6">
        <v>44715</v>
      </c>
      <c r="B408" s="8">
        <v>4108.54</v>
      </c>
      <c r="C408" s="2">
        <v>145.38</v>
      </c>
      <c r="D408" s="2">
        <v>141.18</v>
      </c>
      <c r="E408" s="2">
        <v>270.02</v>
      </c>
      <c r="F408" s="2">
        <v>485.61</v>
      </c>
      <c r="G408" s="2">
        <v>176.42</v>
      </c>
      <c r="H408" s="2">
        <v>212.65</v>
      </c>
      <c r="I408" s="2">
        <v>166.83</v>
      </c>
      <c r="J408" s="2">
        <v>139.25</v>
      </c>
      <c r="K408" s="2">
        <v>41.77</v>
      </c>
      <c r="L408" s="2">
        <v>222.9</v>
      </c>
      <c r="M408" s="64" t="s">
        <v>77</v>
      </c>
      <c r="N408" s="1"/>
      <c r="O408" s="12">
        <f t="shared" si="66"/>
        <v>-1.6347364741597592E-2</v>
      </c>
      <c r="P408" s="12">
        <f t="shared" si="67"/>
        <v>-3.8555651081277786E-2</v>
      </c>
      <c r="Q408" s="12">
        <f t="shared" si="68"/>
        <v>7.3492686407421459E-3</v>
      </c>
      <c r="R408" s="12">
        <f t="shared" si="69"/>
        <v>-1.6607181877776989E-2</v>
      </c>
      <c r="S408" s="12">
        <f t="shared" si="70"/>
        <v>-1.3509121196115803E-2</v>
      </c>
      <c r="T408" s="12">
        <f t="shared" si="71"/>
        <v>-4.1208015805814791E-3</v>
      </c>
      <c r="U408" s="12">
        <f t="shared" si="72"/>
        <v>-1.116019530341783E-2</v>
      </c>
      <c r="V408" s="12">
        <f t="shared" si="73"/>
        <v>-1.3657325292656841E-2</v>
      </c>
      <c r="W408" s="12">
        <f t="shared" si="74"/>
        <v>-8.8967971530249379E-3</v>
      </c>
      <c r="X408" s="12">
        <f t="shared" si="75"/>
        <v>-1.7176470588235238E-2</v>
      </c>
      <c r="Y408" s="12">
        <f t="shared" si="76"/>
        <v>1.3181818181818183E-2</v>
      </c>
    </row>
    <row r="409" spans="1:25" x14ac:dyDescent="0.35">
      <c r="A409" s="6">
        <v>44718</v>
      </c>
      <c r="B409" s="8">
        <v>4121.43</v>
      </c>
      <c r="C409" s="2">
        <v>146.13999999999999</v>
      </c>
      <c r="D409" s="2">
        <v>142.88</v>
      </c>
      <c r="E409" s="2">
        <v>268.75</v>
      </c>
      <c r="F409" s="2">
        <v>490.18</v>
      </c>
      <c r="G409" s="2">
        <v>176.4</v>
      </c>
      <c r="H409" s="2">
        <v>212.94</v>
      </c>
      <c r="I409" s="2">
        <v>167.02</v>
      </c>
      <c r="J409" s="2">
        <v>139.24</v>
      </c>
      <c r="K409" s="2">
        <v>41.62</v>
      </c>
      <c r="L409" s="2">
        <v>223.63</v>
      </c>
      <c r="M409" s="64" t="s">
        <v>77</v>
      </c>
      <c r="N409" s="1"/>
      <c r="O409" s="12">
        <f t="shared" si="66"/>
        <v>3.1373675320187644E-3</v>
      </c>
      <c r="P409" s="12">
        <f t="shared" si="67"/>
        <v>5.2276791855825344E-3</v>
      </c>
      <c r="Q409" s="12">
        <f t="shared" si="68"/>
        <v>1.204136563252578E-2</v>
      </c>
      <c r="R409" s="12">
        <f t="shared" si="69"/>
        <v>-4.7033553070142675E-3</v>
      </c>
      <c r="S409" s="12">
        <f t="shared" si="70"/>
        <v>9.4108440929965287E-3</v>
      </c>
      <c r="T409" s="12">
        <f t="shared" si="71"/>
        <v>-1.1336583153831459E-4</v>
      </c>
      <c r="U409" s="12">
        <f t="shared" si="72"/>
        <v>1.3637432400657179E-3</v>
      </c>
      <c r="V409" s="12">
        <f t="shared" si="73"/>
        <v>1.1388838937840262E-3</v>
      </c>
      <c r="W409" s="12">
        <f t="shared" si="74"/>
        <v>-7.1813285457689169E-5</v>
      </c>
      <c r="X409" s="12">
        <f t="shared" si="75"/>
        <v>-3.5910940866652474E-3</v>
      </c>
      <c r="Y409" s="12">
        <f t="shared" si="76"/>
        <v>3.2750112157917677E-3</v>
      </c>
    </row>
    <row r="410" spans="1:25" x14ac:dyDescent="0.35">
      <c r="A410" s="6">
        <v>44719</v>
      </c>
      <c r="B410" s="8">
        <v>4160.68</v>
      </c>
      <c r="C410" s="2">
        <v>148.71</v>
      </c>
      <c r="D410" s="2">
        <v>142.78</v>
      </c>
      <c r="E410" s="2">
        <v>272.5</v>
      </c>
      <c r="F410" s="2">
        <v>497.1</v>
      </c>
      <c r="G410" s="2">
        <v>178.34</v>
      </c>
      <c r="H410" s="2">
        <v>214.5</v>
      </c>
      <c r="I410" s="2">
        <v>168.69</v>
      </c>
      <c r="J410" s="2">
        <v>140.82</v>
      </c>
      <c r="K410" s="2">
        <v>41.12</v>
      </c>
      <c r="L410" s="2">
        <v>227.1</v>
      </c>
      <c r="M410" s="64">
        <v>4.8099999999999996</v>
      </c>
      <c r="N410" s="1"/>
      <c r="O410" s="12">
        <f t="shared" si="66"/>
        <v>9.5233935794130087E-3</v>
      </c>
      <c r="P410" s="12">
        <f t="shared" si="67"/>
        <v>1.7585876556726499E-2</v>
      </c>
      <c r="Q410" s="12">
        <f t="shared" si="68"/>
        <v>-6.998880179170941E-4</v>
      </c>
      <c r="R410" s="12">
        <f t="shared" si="69"/>
        <v>1.3953488372093092E-2</v>
      </c>
      <c r="S410" s="12">
        <f t="shared" si="70"/>
        <v>1.4117263046227846E-2</v>
      </c>
      <c r="T410" s="12">
        <f t="shared" si="71"/>
        <v>1.0997732426303752E-2</v>
      </c>
      <c r="U410" s="12">
        <f t="shared" si="72"/>
        <v>7.3260073260073E-3</v>
      </c>
      <c r="V410" s="12">
        <f t="shared" si="73"/>
        <v>9.9988025386179569E-3</v>
      </c>
      <c r="W410" s="12">
        <f t="shared" si="74"/>
        <v>1.1347313990232477E-2</v>
      </c>
      <c r="X410" s="12">
        <f t="shared" si="75"/>
        <v>-1.2013455069677992E-2</v>
      </c>
      <c r="Y410" s="12">
        <f t="shared" si="76"/>
        <v>1.5516701694763713E-2</v>
      </c>
    </row>
    <row r="411" spans="1:25" x14ac:dyDescent="0.35">
      <c r="A411" s="6">
        <v>44720</v>
      </c>
      <c r="B411" s="8">
        <v>4115.7700000000004</v>
      </c>
      <c r="C411" s="2">
        <v>147.96</v>
      </c>
      <c r="D411" s="2">
        <v>140.83000000000001</v>
      </c>
      <c r="E411" s="2">
        <v>270.41000000000003</v>
      </c>
      <c r="F411" s="2">
        <v>493.53</v>
      </c>
      <c r="G411" s="2">
        <v>177.28</v>
      </c>
      <c r="H411" s="2">
        <v>213.5</v>
      </c>
      <c r="I411" s="2">
        <v>165.96</v>
      </c>
      <c r="J411" s="2">
        <v>139.63</v>
      </c>
      <c r="K411" s="2">
        <v>40.770000000000003</v>
      </c>
      <c r="L411" s="2">
        <v>229.8</v>
      </c>
      <c r="M411" s="64" t="s">
        <v>77</v>
      </c>
      <c r="N411" s="1"/>
      <c r="O411" s="12">
        <f t="shared" si="66"/>
        <v>-1.0793908688002896E-2</v>
      </c>
      <c r="P411" s="12">
        <f t="shared" si="67"/>
        <v>-5.0433730078676131E-3</v>
      </c>
      <c r="Q411" s="12">
        <f t="shared" si="68"/>
        <v>-1.3657374982490422E-2</v>
      </c>
      <c r="R411" s="12">
        <f t="shared" si="69"/>
        <v>-7.6697247706420946E-3</v>
      </c>
      <c r="S411" s="12">
        <f t="shared" si="70"/>
        <v>-7.1816535908268975E-3</v>
      </c>
      <c r="T411" s="12">
        <f t="shared" si="71"/>
        <v>-5.9437030391387147E-3</v>
      </c>
      <c r="U411" s="12">
        <f t="shared" si="72"/>
        <v>-4.6620046620046152E-3</v>
      </c>
      <c r="V411" s="12">
        <f t="shared" si="73"/>
        <v>-1.6183531922461247E-2</v>
      </c>
      <c r="W411" s="12">
        <f t="shared" si="74"/>
        <v>-8.4505041897458E-3</v>
      </c>
      <c r="X411" s="12">
        <f t="shared" si="75"/>
        <v>-8.5116731517508315E-3</v>
      </c>
      <c r="Y411" s="12">
        <f t="shared" si="76"/>
        <v>1.1889035667107084E-2</v>
      </c>
    </row>
    <row r="412" spans="1:25" x14ac:dyDescent="0.35">
      <c r="A412" s="6">
        <v>44721</v>
      </c>
      <c r="B412" s="8">
        <v>4017.82</v>
      </c>
      <c r="C412" s="2">
        <v>142.63999999999999</v>
      </c>
      <c r="D412" s="2">
        <v>137.96</v>
      </c>
      <c r="E412" s="2">
        <v>264.79000000000002</v>
      </c>
      <c r="F412" s="2">
        <v>489.43</v>
      </c>
      <c r="G412" s="2">
        <v>173.71</v>
      </c>
      <c r="H412" s="2">
        <v>206.11</v>
      </c>
      <c r="I412" s="2">
        <v>160.97999999999999</v>
      </c>
      <c r="J412" s="2">
        <v>133.72999999999999</v>
      </c>
      <c r="K412" s="2">
        <v>40.340000000000003</v>
      </c>
      <c r="L412" s="2">
        <v>223.67</v>
      </c>
      <c r="M412" s="64" t="s">
        <v>77</v>
      </c>
      <c r="N412" s="1"/>
      <c r="O412" s="12">
        <f t="shared" si="66"/>
        <v>-2.3798705952956634E-2</v>
      </c>
      <c r="P412" s="12">
        <f t="shared" si="67"/>
        <v>-3.5955663692890161E-2</v>
      </c>
      <c r="Q412" s="12">
        <f t="shared" si="68"/>
        <v>-2.0379180572321243E-2</v>
      </c>
      <c r="R412" s="12">
        <f t="shared" si="69"/>
        <v>-2.0783255057135519E-2</v>
      </c>
      <c r="S412" s="12">
        <f t="shared" si="70"/>
        <v>-8.3074990375457958E-3</v>
      </c>
      <c r="T412" s="12">
        <f t="shared" si="71"/>
        <v>-2.0137635379061325E-2</v>
      </c>
      <c r="U412" s="12">
        <f t="shared" si="72"/>
        <v>-3.4613583138173198E-2</v>
      </c>
      <c r="V412" s="12">
        <f t="shared" si="73"/>
        <v>-3.0007230657989936E-2</v>
      </c>
      <c r="W412" s="12">
        <f t="shared" si="74"/>
        <v>-4.2254529828833376E-2</v>
      </c>
      <c r="X412" s="12">
        <f t="shared" si="75"/>
        <v>-1.0546970811871503E-2</v>
      </c>
      <c r="Y412" s="12">
        <f t="shared" si="76"/>
        <v>-2.6675369886858258E-2</v>
      </c>
    </row>
    <row r="413" spans="1:25" x14ac:dyDescent="0.35">
      <c r="A413" s="6">
        <v>44722</v>
      </c>
      <c r="B413" s="8">
        <v>3900.86</v>
      </c>
      <c r="C413" s="2">
        <v>137.13</v>
      </c>
      <c r="D413" s="2">
        <v>136.19</v>
      </c>
      <c r="E413" s="2">
        <v>252.99</v>
      </c>
      <c r="F413" s="2">
        <v>484.63</v>
      </c>
      <c r="G413" s="2">
        <v>172.55</v>
      </c>
      <c r="H413" s="2">
        <v>199.51</v>
      </c>
      <c r="I413" s="2">
        <v>154.41999999999999</v>
      </c>
      <c r="J413" s="2">
        <v>127</v>
      </c>
      <c r="K413" s="2">
        <v>40.57</v>
      </c>
      <c r="L413" s="2">
        <v>215.18</v>
      </c>
      <c r="M413" s="64" t="s">
        <v>77</v>
      </c>
      <c r="N413" s="1"/>
      <c r="O413" s="12">
        <f t="shared" si="66"/>
        <v>-2.9110313553120881E-2</v>
      </c>
      <c r="P413" s="12">
        <f t="shared" si="67"/>
        <v>-3.8628715647784584E-2</v>
      </c>
      <c r="Q413" s="12">
        <f t="shared" si="68"/>
        <v>-1.2829805740794509E-2</v>
      </c>
      <c r="R413" s="12">
        <f t="shared" si="69"/>
        <v>-4.4563616450772336E-2</v>
      </c>
      <c r="S413" s="12">
        <f t="shared" si="70"/>
        <v>-9.807326890464485E-3</v>
      </c>
      <c r="T413" s="12">
        <f t="shared" si="71"/>
        <v>-6.6777963272119933E-3</v>
      </c>
      <c r="U413" s="12">
        <f t="shared" si="72"/>
        <v>-3.2021735966231701E-2</v>
      </c>
      <c r="V413" s="12">
        <f t="shared" si="73"/>
        <v>-4.0750403776866673E-2</v>
      </c>
      <c r="W413" s="12">
        <f t="shared" si="74"/>
        <v>-5.03252822852015E-2</v>
      </c>
      <c r="X413" s="12">
        <f t="shared" si="75"/>
        <v>5.701536936043583E-3</v>
      </c>
      <c r="Y413" s="12">
        <f t="shared" si="76"/>
        <v>-3.7957705548352427E-2</v>
      </c>
    </row>
    <row r="414" spans="1:25" x14ac:dyDescent="0.35">
      <c r="A414" s="6">
        <v>44725</v>
      </c>
      <c r="B414" s="8">
        <v>3749.63</v>
      </c>
      <c r="C414" s="2">
        <v>131.88</v>
      </c>
      <c r="D414" s="2">
        <v>135.11000000000001</v>
      </c>
      <c r="E414" s="2">
        <v>242.26</v>
      </c>
      <c r="F414" s="2">
        <v>469.7</v>
      </c>
      <c r="G414" s="2">
        <v>170.81</v>
      </c>
      <c r="H414" s="2">
        <v>192.26</v>
      </c>
      <c r="I414" s="2">
        <v>146.29</v>
      </c>
      <c r="J414" s="2">
        <v>115.86</v>
      </c>
      <c r="K414" s="2">
        <v>39.799999999999997</v>
      </c>
      <c r="L414" s="2">
        <v>206.88</v>
      </c>
      <c r="M414" s="64" t="s">
        <v>77</v>
      </c>
      <c r="N414" s="1"/>
      <c r="O414" s="12">
        <f t="shared" si="66"/>
        <v>-3.8768374153391849E-2</v>
      </c>
      <c r="P414" s="12">
        <f t="shared" si="67"/>
        <v>-3.8284839203675314E-2</v>
      </c>
      <c r="Q414" s="12">
        <f t="shared" si="68"/>
        <v>-7.9300976576840432E-3</v>
      </c>
      <c r="R414" s="12">
        <f t="shared" si="69"/>
        <v>-4.2412743586703106E-2</v>
      </c>
      <c r="S414" s="12">
        <f t="shared" si="70"/>
        <v>-3.0807007407713138E-2</v>
      </c>
      <c r="T414" s="12">
        <f t="shared" si="71"/>
        <v>-1.0084033613445453E-2</v>
      </c>
      <c r="U414" s="12">
        <f t="shared" si="72"/>
        <v>-3.6339030625031299E-2</v>
      </c>
      <c r="V414" s="12">
        <f t="shared" si="73"/>
        <v>-5.2648620644994093E-2</v>
      </c>
      <c r="W414" s="12">
        <f t="shared" si="74"/>
        <v>-8.7716535433070897E-2</v>
      </c>
      <c r="X414" s="12">
        <f t="shared" si="75"/>
        <v>-1.8979541533152622E-2</v>
      </c>
      <c r="Y414" s="12">
        <f t="shared" si="76"/>
        <v>-3.8572358025838915E-2</v>
      </c>
    </row>
    <row r="415" spans="1:25" x14ac:dyDescent="0.35">
      <c r="A415" s="6">
        <v>44726</v>
      </c>
      <c r="B415" s="8">
        <v>3735.48</v>
      </c>
      <c r="C415" s="2">
        <v>132.76</v>
      </c>
      <c r="D415" s="2">
        <v>135.72</v>
      </c>
      <c r="E415" s="2">
        <v>244.49</v>
      </c>
      <c r="F415" s="2">
        <v>461.75</v>
      </c>
      <c r="G415" s="2">
        <v>168.19</v>
      </c>
      <c r="H415" s="2">
        <v>193.52</v>
      </c>
      <c r="I415" s="2">
        <v>144.6</v>
      </c>
      <c r="J415" s="2">
        <v>122.16</v>
      </c>
      <c r="K415" s="2">
        <v>39.82</v>
      </c>
      <c r="L415" s="2">
        <v>206.69</v>
      </c>
      <c r="M415" s="64">
        <v>4.79</v>
      </c>
      <c r="N415" s="1"/>
      <c r="O415" s="12">
        <f t="shared" si="66"/>
        <v>-3.7737056722930706E-3</v>
      </c>
      <c r="P415" s="12">
        <f t="shared" si="67"/>
        <v>6.6727327873823405E-3</v>
      </c>
      <c r="Q415" s="12">
        <f t="shared" si="68"/>
        <v>4.5148397601952883E-3</v>
      </c>
      <c r="R415" s="12">
        <f t="shared" si="69"/>
        <v>9.2049863782712738E-3</v>
      </c>
      <c r="S415" s="12">
        <f t="shared" si="70"/>
        <v>-1.6925697253566074E-2</v>
      </c>
      <c r="T415" s="12">
        <f t="shared" si="71"/>
        <v>-1.5338680405128535E-2</v>
      </c>
      <c r="U415" s="12">
        <f t="shared" si="72"/>
        <v>6.5536252990743282E-3</v>
      </c>
      <c r="V415" s="12">
        <f t="shared" si="73"/>
        <v>-1.1552395925900627E-2</v>
      </c>
      <c r="W415" s="12">
        <f t="shared" si="74"/>
        <v>5.4375970999482215E-2</v>
      </c>
      <c r="X415" s="12">
        <f t="shared" si="75"/>
        <v>5.0251256281419465E-4</v>
      </c>
      <c r="Y415" s="12">
        <f t="shared" si="76"/>
        <v>-9.1840680587784718E-4</v>
      </c>
    </row>
    <row r="416" spans="1:25" x14ac:dyDescent="0.35">
      <c r="A416" s="6">
        <v>44727</v>
      </c>
      <c r="B416" s="8">
        <v>3789.99</v>
      </c>
      <c r="C416" s="2">
        <v>135.43</v>
      </c>
      <c r="D416" s="2">
        <v>137.06</v>
      </c>
      <c r="E416" s="2">
        <v>251.76</v>
      </c>
      <c r="F416" s="2">
        <v>464.33</v>
      </c>
      <c r="G416" s="2">
        <v>169.99</v>
      </c>
      <c r="H416" s="2">
        <v>196.16</v>
      </c>
      <c r="I416" s="2">
        <v>146.22</v>
      </c>
      <c r="J416" s="2">
        <v>133.72</v>
      </c>
      <c r="K416" s="2">
        <v>39.79</v>
      </c>
      <c r="L416" s="2">
        <v>206</v>
      </c>
      <c r="M416" s="64" t="s">
        <v>77</v>
      </c>
      <c r="N416" s="1"/>
      <c r="O416" s="12">
        <f t="shared" si="66"/>
        <v>1.4592502168395916E-2</v>
      </c>
      <c r="P416" s="12">
        <f t="shared" si="67"/>
        <v>2.011147936125357E-2</v>
      </c>
      <c r="Q416" s="12">
        <f t="shared" si="68"/>
        <v>9.8732684939581983E-3</v>
      </c>
      <c r="R416" s="12">
        <f t="shared" si="69"/>
        <v>2.9735367499693188E-2</v>
      </c>
      <c r="S416" s="12">
        <f t="shared" si="70"/>
        <v>5.5874390904169235E-3</v>
      </c>
      <c r="T416" s="12">
        <f t="shared" si="71"/>
        <v>1.0702182056008258E-2</v>
      </c>
      <c r="U416" s="12">
        <f t="shared" si="72"/>
        <v>1.3642000826787903E-2</v>
      </c>
      <c r="V416" s="12">
        <f t="shared" si="73"/>
        <v>1.1203319502074649E-2</v>
      </c>
      <c r="W416" s="12">
        <f t="shared" si="74"/>
        <v>9.4629993451211591E-2</v>
      </c>
      <c r="X416" s="12">
        <f t="shared" si="75"/>
        <v>-7.5339025615273059E-4</v>
      </c>
      <c r="Y416" s="12">
        <f t="shared" si="76"/>
        <v>-3.3383327688809583E-3</v>
      </c>
    </row>
    <row r="417" spans="1:25" x14ac:dyDescent="0.35">
      <c r="A417" s="6">
        <v>44728</v>
      </c>
      <c r="B417" s="8">
        <v>3666.77</v>
      </c>
      <c r="C417" s="2">
        <v>130.06</v>
      </c>
      <c r="D417" s="2">
        <v>135.66999999999999</v>
      </c>
      <c r="E417" s="2">
        <v>244.97</v>
      </c>
      <c r="F417" s="2">
        <v>456.09</v>
      </c>
      <c r="G417" s="2">
        <v>170.08</v>
      </c>
      <c r="H417" s="2">
        <v>189.05</v>
      </c>
      <c r="I417" s="2">
        <v>137.5</v>
      </c>
      <c r="J417" s="2">
        <v>133.36000000000001</v>
      </c>
      <c r="K417" s="2">
        <v>40.21</v>
      </c>
      <c r="L417" s="2">
        <v>194.79</v>
      </c>
      <c r="M417" s="64" t="s">
        <v>77</v>
      </c>
      <c r="N417" s="1"/>
      <c r="O417" s="12">
        <f t="shared" si="66"/>
        <v>-3.2511959134456814E-2</v>
      </c>
      <c r="P417" s="12">
        <f t="shared" si="67"/>
        <v>-3.9651480469615308E-2</v>
      </c>
      <c r="Q417" s="12">
        <f t="shared" si="68"/>
        <v>-1.0141543849409129E-2</v>
      </c>
      <c r="R417" s="12">
        <f t="shared" si="69"/>
        <v>-2.6970130282809035E-2</v>
      </c>
      <c r="S417" s="12">
        <f t="shared" si="70"/>
        <v>-1.7745999612344687E-2</v>
      </c>
      <c r="T417" s="12">
        <f t="shared" si="71"/>
        <v>5.2944290840639674E-4</v>
      </c>
      <c r="U417" s="12">
        <f t="shared" si="72"/>
        <v>-3.6245921696574146E-2</v>
      </c>
      <c r="V417" s="12">
        <f t="shared" si="73"/>
        <v>-5.9636164683353865E-2</v>
      </c>
      <c r="W417" s="12">
        <f t="shared" si="74"/>
        <v>-2.6921926413400188E-3</v>
      </c>
      <c r="X417" s="12">
        <f t="shared" si="75"/>
        <v>1.0555415933651613E-2</v>
      </c>
      <c r="Y417" s="12">
        <f t="shared" si="76"/>
        <v>-5.4417475728155362E-2</v>
      </c>
    </row>
    <row r="418" spans="1:25" x14ac:dyDescent="0.35">
      <c r="A418" s="6">
        <v>44729</v>
      </c>
      <c r="B418" s="8">
        <v>3674.84</v>
      </c>
      <c r="C418" s="2">
        <v>131.56</v>
      </c>
      <c r="D418" s="2">
        <v>135.02000000000001</v>
      </c>
      <c r="E418" s="2">
        <v>247.65</v>
      </c>
      <c r="F418" s="2">
        <v>452.06</v>
      </c>
      <c r="G418" s="2">
        <v>169.46</v>
      </c>
      <c r="H418" s="2">
        <v>190.01</v>
      </c>
      <c r="I418" s="2">
        <v>144.18</v>
      </c>
      <c r="J418" s="2">
        <v>136.80000000000001</v>
      </c>
      <c r="K418" s="2">
        <v>39.43</v>
      </c>
      <c r="L418" s="2">
        <v>192.64</v>
      </c>
      <c r="M418" s="64" t="s">
        <v>77</v>
      </c>
      <c r="N418" s="1"/>
      <c r="O418" s="12">
        <f t="shared" si="66"/>
        <v>2.2008470670371594E-3</v>
      </c>
      <c r="P418" s="12">
        <f t="shared" si="67"/>
        <v>1.1533138551437894E-2</v>
      </c>
      <c r="Q418" s="12">
        <f t="shared" si="68"/>
        <v>-4.7910370752559661E-3</v>
      </c>
      <c r="R418" s="12">
        <f t="shared" si="69"/>
        <v>1.0940115116136795E-2</v>
      </c>
      <c r="S418" s="12">
        <f t="shared" si="70"/>
        <v>-8.8359753557410992E-3</v>
      </c>
      <c r="T418" s="12">
        <f t="shared" si="71"/>
        <v>-3.6453433678269587E-3</v>
      </c>
      <c r="U418" s="12">
        <f t="shared" si="72"/>
        <v>5.0780216873842488E-3</v>
      </c>
      <c r="V418" s="12">
        <f t="shared" si="73"/>
        <v>4.8581818181818281E-2</v>
      </c>
      <c r="W418" s="12">
        <f t="shared" si="74"/>
        <v>2.5794841031793636E-2</v>
      </c>
      <c r="X418" s="12">
        <f t="shared" si="75"/>
        <v>-1.9398159661775716E-2</v>
      </c>
      <c r="Y418" s="12">
        <f t="shared" si="76"/>
        <v>-1.1037527593819041E-2</v>
      </c>
    </row>
    <row r="419" spans="1:25" x14ac:dyDescent="0.35">
      <c r="A419" s="6">
        <v>44733</v>
      </c>
      <c r="B419" s="8">
        <v>3764.79</v>
      </c>
      <c r="C419" s="2">
        <v>135.87</v>
      </c>
      <c r="D419" s="2">
        <v>137.85</v>
      </c>
      <c r="E419" s="2">
        <v>253.74</v>
      </c>
      <c r="F419" s="2">
        <v>480.32</v>
      </c>
      <c r="G419" s="2">
        <v>173.01</v>
      </c>
      <c r="H419" s="2">
        <v>194.39</v>
      </c>
      <c r="I419" s="2">
        <v>144.76</v>
      </c>
      <c r="J419" s="2">
        <v>136.75</v>
      </c>
      <c r="K419" s="2">
        <v>40.72</v>
      </c>
      <c r="L419" s="2">
        <v>196.37</v>
      </c>
      <c r="M419" s="64" t="s">
        <v>77</v>
      </c>
      <c r="N419" s="1"/>
      <c r="O419" s="12">
        <f t="shared" si="66"/>
        <v>2.447725615264873E-2</v>
      </c>
      <c r="P419" s="12">
        <f t="shared" si="67"/>
        <v>3.2760717543326212E-2</v>
      </c>
      <c r="Q419" s="12">
        <f t="shared" si="68"/>
        <v>2.0959857798844572E-2</v>
      </c>
      <c r="R419" s="12">
        <f t="shared" si="69"/>
        <v>2.4591156874621545E-2</v>
      </c>
      <c r="S419" s="12">
        <f t="shared" si="70"/>
        <v>6.251382559837193E-2</v>
      </c>
      <c r="T419" s="12">
        <f t="shared" si="71"/>
        <v>2.0948896494747959E-2</v>
      </c>
      <c r="U419" s="12">
        <f t="shared" si="72"/>
        <v>2.3051418346402786E-2</v>
      </c>
      <c r="V419" s="12">
        <f t="shared" si="73"/>
        <v>4.0227493411013615E-3</v>
      </c>
      <c r="W419" s="12">
        <f t="shared" si="74"/>
        <v>-3.6549707602351322E-4</v>
      </c>
      <c r="X419" s="12">
        <f t="shared" si="75"/>
        <v>3.2716205934567588E-2</v>
      </c>
      <c r="Y419" s="12">
        <f t="shared" si="76"/>
        <v>1.9362541528239241E-2</v>
      </c>
    </row>
    <row r="420" spans="1:25" x14ac:dyDescent="0.35">
      <c r="A420" s="6">
        <v>44734</v>
      </c>
      <c r="B420" s="8">
        <v>3759.89</v>
      </c>
      <c r="C420" s="2">
        <v>135.35</v>
      </c>
      <c r="D420" s="2">
        <v>137.08000000000001</v>
      </c>
      <c r="E420" s="2">
        <v>253.13</v>
      </c>
      <c r="F420" s="2">
        <v>489.68</v>
      </c>
      <c r="G420" s="2">
        <v>175.74</v>
      </c>
      <c r="H420" s="2">
        <v>193.82</v>
      </c>
      <c r="I420" s="2">
        <v>144.38999999999999</v>
      </c>
      <c r="J420" s="2">
        <v>137.16</v>
      </c>
      <c r="K420" s="2">
        <v>40.229999999999997</v>
      </c>
      <c r="L420" s="2">
        <v>187.83</v>
      </c>
      <c r="M420" s="64">
        <v>4.83</v>
      </c>
      <c r="N420" s="1"/>
      <c r="O420" s="12">
        <f t="shared" si="66"/>
        <v>-1.3015334188627437E-3</v>
      </c>
      <c r="P420" s="12">
        <f t="shared" si="67"/>
        <v>-3.8271877529992837E-3</v>
      </c>
      <c r="Q420" s="12">
        <f t="shared" si="68"/>
        <v>-5.5857816467173027E-3</v>
      </c>
      <c r="R420" s="12">
        <f t="shared" si="69"/>
        <v>-2.4040356270198515E-3</v>
      </c>
      <c r="S420" s="12">
        <f t="shared" si="70"/>
        <v>1.9487008660892702E-2</v>
      </c>
      <c r="T420" s="12">
        <f t="shared" si="71"/>
        <v>1.5779434714756402E-2</v>
      </c>
      <c r="U420" s="12">
        <f t="shared" si="72"/>
        <v>-2.9322496013168831E-3</v>
      </c>
      <c r="V420" s="12">
        <f t="shared" si="73"/>
        <v>-2.5559546836142477E-3</v>
      </c>
      <c r="W420" s="12">
        <f t="shared" si="74"/>
        <v>2.9981718464351381E-3</v>
      </c>
      <c r="X420" s="12">
        <f t="shared" si="75"/>
        <v>-1.2033398821218122E-2</v>
      </c>
      <c r="Y420" s="12">
        <f t="shared" si="76"/>
        <v>-4.3489331364261252E-2</v>
      </c>
    </row>
    <row r="421" spans="1:25" x14ac:dyDescent="0.35">
      <c r="A421" s="6">
        <v>44735</v>
      </c>
      <c r="B421" s="8">
        <v>3795.73</v>
      </c>
      <c r="C421" s="2">
        <v>138.27000000000001</v>
      </c>
      <c r="D421" s="2">
        <v>138.44</v>
      </c>
      <c r="E421" s="2">
        <v>258.86</v>
      </c>
      <c r="F421" s="2">
        <v>499.81</v>
      </c>
      <c r="G421" s="2">
        <v>179.66</v>
      </c>
      <c r="H421" s="2">
        <v>196.64</v>
      </c>
      <c r="I421" s="2">
        <v>141.65</v>
      </c>
      <c r="J421" s="2">
        <v>133.97</v>
      </c>
      <c r="K421" s="2">
        <v>41.21</v>
      </c>
      <c r="L421" s="2">
        <v>178.67</v>
      </c>
      <c r="M421" s="64" t="s">
        <v>77</v>
      </c>
      <c r="N421" s="1"/>
      <c r="O421" s="12">
        <f t="shared" si="66"/>
        <v>9.5321937609877949E-3</v>
      </c>
      <c r="P421" s="12">
        <f t="shared" si="67"/>
        <v>2.1573697820465476E-2</v>
      </c>
      <c r="Q421" s="12">
        <f t="shared" si="68"/>
        <v>9.921213889699354E-3</v>
      </c>
      <c r="R421" s="12">
        <f t="shared" si="69"/>
        <v>2.2636589894520665E-2</v>
      </c>
      <c r="S421" s="12">
        <f t="shared" si="70"/>
        <v>2.0686979251756332E-2</v>
      </c>
      <c r="T421" s="12">
        <f t="shared" si="71"/>
        <v>2.2305678843746346E-2</v>
      </c>
      <c r="U421" s="12">
        <f t="shared" si="72"/>
        <v>1.4549582086472057E-2</v>
      </c>
      <c r="V421" s="12">
        <f t="shared" si="73"/>
        <v>-1.8976383406052899E-2</v>
      </c>
      <c r="W421" s="12">
        <f t="shared" si="74"/>
        <v>-2.3257509477981886E-2</v>
      </c>
      <c r="X421" s="12">
        <f t="shared" si="75"/>
        <v>2.4359930400198904E-2</v>
      </c>
      <c r="Y421" s="12">
        <f t="shared" si="76"/>
        <v>-4.8767502528882622E-2</v>
      </c>
    </row>
    <row r="422" spans="1:25" x14ac:dyDescent="0.35">
      <c r="A422" s="6">
        <v>44736</v>
      </c>
      <c r="B422" s="8">
        <v>3911.74</v>
      </c>
      <c r="C422" s="2">
        <v>141.66</v>
      </c>
      <c r="D422" s="2">
        <v>142.06</v>
      </c>
      <c r="E422" s="2">
        <v>267.7</v>
      </c>
      <c r="F422" s="2">
        <v>495.64</v>
      </c>
      <c r="G422" s="2">
        <v>182.29</v>
      </c>
      <c r="H422" s="2">
        <v>205.51</v>
      </c>
      <c r="I422" s="2">
        <v>146.15</v>
      </c>
      <c r="J422" s="2">
        <v>141.53</v>
      </c>
      <c r="K422" s="2">
        <v>41.24</v>
      </c>
      <c r="L422" s="2">
        <v>185.49</v>
      </c>
      <c r="M422" s="64" t="s">
        <v>77</v>
      </c>
      <c r="N422" s="1"/>
      <c r="O422" s="12">
        <f t="shared" si="66"/>
        <v>3.0563290855777359E-2</v>
      </c>
      <c r="P422" s="12">
        <f t="shared" si="67"/>
        <v>2.4517248860924212E-2</v>
      </c>
      <c r="Q422" s="12">
        <f t="shared" si="68"/>
        <v>2.6148511990754075E-2</v>
      </c>
      <c r="R422" s="12">
        <f t="shared" si="69"/>
        <v>3.414973344665051E-2</v>
      </c>
      <c r="S422" s="12">
        <f t="shared" si="70"/>
        <v>-8.3431704047538524E-3</v>
      </c>
      <c r="T422" s="12">
        <f t="shared" si="71"/>
        <v>1.463876210620052E-2</v>
      </c>
      <c r="U422" s="12">
        <f t="shared" si="72"/>
        <v>4.5107811228641159E-2</v>
      </c>
      <c r="V422" s="12">
        <f t="shared" si="73"/>
        <v>3.1768443346275932E-2</v>
      </c>
      <c r="W422" s="12">
        <f t="shared" si="74"/>
        <v>5.6430544151675699E-2</v>
      </c>
      <c r="X422" s="12">
        <f t="shared" si="75"/>
        <v>7.2797864595974815E-4</v>
      </c>
      <c r="Y422" s="12">
        <f t="shared" si="76"/>
        <v>3.8170929646835106E-2</v>
      </c>
    </row>
    <row r="423" spans="1:25" x14ac:dyDescent="0.35">
      <c r="A423" s="6">
        <v>44739</v>
      </c>
      <c r="B423" s="8">
        <v>3900.11</v>
      </c>
      <c r="C423" s="2">
        <v>141.66</v>
      </c>
      <c r="D423" s="2">
        <v>142.80000000000001</v>
      </c>
      <c r="E423" s="2">
        <v>264.89</v>
      </c>
      <c r="F423" s="2">
        <v>505.66</v>
      </c>
      <c r="G423" s="2">
        <v>182.12</v>
      </c>
      <c r="H423" s="2">
        <v>203.56</v>
      </c>
      <c r="I423" s="2">
        <v>144.29</v>
      </c>
      <c r="J423" s="2">
        <v>138.72</v>
      </c>
      <c r="K423" s="2">
        <v>41.37</v>
      </c>
      <c r="L423" s="2">
        <v>187.59</v>
      </c>
      <c r="M423" s="64" t="s">
        <v>77</v>
      </c>
      <c r="N423" s="1"/>
      <c r="O423" s="12">
        <f t="shared" si="66"/>
        <v>-2.973101484249896E-3</v>
      </c>
      <c r="P423" s="12">
        <f t="shared" si="67"/>
        <v>0</v>
      </c>
      <c r="Q423" s="12">
        <f t="shared" si="68"/>
        <v>5.2090665915811574E-3</v>
      </c>
      <c r="R423" s="12">
        <f t="shared" si="69"/>
        <v>-1.0496824803884919E-2</v>
      </c>
      <c r="S423" s="12">
        <f t="shared" si="70"/>
        <v>2.0216286014042462E-2</v>
      </c>
      <c r="T423" s="12">
        <f t="shared" si="71"/>
        <v>-9.3257995501661028E-4</v>
      </c>
      <c r="U423" s="12">
        <f t="shared" si="72"/>
        <v>-9.4885893630479723E-3</v>
      </c>
      <c r="V423" s="12">
        <f t="shared" si="73"/>
        <v>-1.2726650701334385E-2</v>
      </c>
      <c r="W423" s="12">
        <f t="shared" si="74"/>
        <v>-1.9854447820250143E-2</v>
      </c>
      <c r="X423" s="12">
        <f t="shared" si="75"/>
        <v>3.1522793404461513E-3</v>
      </c>
      <c r="Y423" s="12">
        <f t="shared" si="76"/>
        <v>1.1321365033155395E-2</v>
      </c>
    </row>
    <row r="424" spans="1:25" x14ac:dyDescent="0.35">
      <c r="A424" s="6">
        <v>44740</v>
      </c>
      <c r="B424" s="8">
        <v>3821.55</v>
      </c>
      <c r="C424" s="2">
        <v>137.44</v>
      </c>
      <c r="D424" s="2">
        <v>141.86000000000001</v>
      </c>
      <c r="E424" s="2">
        <v>256.48</v>
      </c>
      <c r="F424" s="2">
        <v>508.44</v>
      </c>
      <c r="G424" s="2">
        <v>176.94</v>
      </c>
      <c r="H424" s="2">
        <v>198.12</v>
      </c>
      <c r="I424" s="2">
        <v>142.19</v>
      </c>
      <c r="J424" s="2">
        <v>138.69999999999999</v>
      </c>
      <c r="K424" s="2">
        <v>40.79</v>
      </c>
      <c r="L424" s="2">
        <v>187.44</v>
      </c>
      <c r="M424" s="64" t="s">
        <v>77</v>
      </c>
      <c r="N424" s="1"/>
      <c r="O424" s="12">
        <f t="shared" si="66"/>
        <v>-2.0143021607082812E-2</v>
      </c>
      <c r="P424" s="12">
        <f t="shared" si="67"/>
        <v>-2.9789637159395754E-2</v>
      </c>
      <c r="Q424" s="12">
        <f t="shared" si="68"/>
        <v>-6.5826330532212651E-3</v>
      </c>
      <c r="R424" s="12">
        <f t="shared" si="69"/>
        <v>-3.174902789837275E-2</v>
      </c>
      <c r="S424" s="12">
        <f t="shared" si="70"/>
        <v>5.4977652968397628E-3</v>
      </c>
      <c r="T424" s="12">
        <f t="shared" si="71"/>
        <v>-2.8442784976938307E-2</v>
      </c>
      <c r="U424" s="12">
        <f t="shared" si="72"/>
        <v>-2.6724307329534236E-2</v>
      </c>
      <c r="V424" s="12">
        <f t="shared" si="73"/>
        <v>-1.4554023147827277E-2</v>
      </c>
      <c r="W424" s="12">
        <f t="shared" si="74"/>
        <v>-1.4417531718580179E-4</v>
      </c>
      <c r="X424" s="12">
        <f t="shared" si="75"/>
        <v>-1.4019821126420084E-2</v>
      </c>
      <c r="Y424" s="12">
        <f t="shared" si="76"/>
        <v>-7.9961618423163294E-4</v>
      </c>
    </row>
    <row r="425" spans="1:25" x14ac:dyDescent="0.35">
      <c r="A425" s="6">
        <v>44741</v>
      </c>
      <c r="B425" s="8">
        <v>3818.83</v>
      </c>
      <c r="C425" s="2">
        <v>139.22999999999999</v>
      </c>
      <c r="D425" s="2">
        <v>140.71</v>
      </c>
      <c r="E425" s="2">
        <v>260.26</v>
      </c>
      <c r="F425" s="2">
        <v>515.71</v>
      </c>
      <c r="G425" s="2">
        <v>176.99</v>
      </c>
      <c r="H425" s="2">
        <v>199.5</v>
      </c>
      <c r="I425" s="2">
        <v>139.47</v>
      </c>
      <c r="J425" s="2">
        <v>138.44999999999999</v>
      </c>
      <c r="K425" s="2">
        <v>40.64</v>
      </c>
      <c r="L425" s="2">
        <v>183.48</v>
      </c>
      <c r="M425" s="64">
        <v>4.93</v>
      </c>
      <c r="N425" s="1"/>
      <c r="O425" s="12">
        <f t="shared" si="66"/>
        <v>-7.1175308448145902E-4</v>
      </c>
      <c r="P425" s="12">
        <f t="shared" si="67"/>
        <v>1.3023864959254894E-2</v>
      </c>
      <c r="Q425" s="12">
        <f t="shared" si="68"/>
        <v>-8.106583956013047E-3</v>
      </c>
      <c r="R425" s="12">
        <f t="shared" si="69"/>
        <v>1.4737991266375428E-2</v>
      </c>
      <c r="S425" s="12">
        <f t="shared" si="70"/>
        <v>1.4298638974116873E-2</v>
      </c>
      <c r="T425" s="12">
        <f t="shared" si="71"/>
        <v>2.8258166610162228E-4</v>
      </c>
      <c r="U425" s="12">
        <f t="shared" si="72"/>
        <v>6.9654754694123966E-3</v>
      </c>
      <c r="V425" s="12">
        <f t="shared" si="73"/>
        <v>-1.9129333989732045E-2</v>
      </c>
      <c r="W425" s="12">
        <f t="shared" si="74"/>
        <v>-1.8024513338139592E-3</v>
      </c>
      <c r="X425" s="12">
        <f t="shared" si="75"/>
        <v>-3.6773719048786013E-3</v>
      </c>
      <c r="Y425" s="12">
        <f t="shared" si="76"/>
        <v>-2.1126760563380365E-2</v>
      </c>
    </row>
    <row r="426" spans="1:25" x14ac:dyDescent="0.35">
      <c r="A426" s="6">
        <v>44742</v>
      </c>
      <c r="B426" s="8">
        <v>3785.38</v>
      </c>
      <c r="C426" s="2">
        <v>136.72</v>
      </c>
      <c r="D426" s="2">
        <v>141.19</v>
      </c>
      <c r="E426" s="2">
        <v>256.83</v>
      </c>
      <c r="F426" s="2">
        <v>513.63</v>
      </c>
      <c r="G426" s="2">
        <v>177.51</v>
      </c>
      <c r="H426" s="2">
        <v>196.89</v>
      </c>
      <c r="I426" s="2">
        <v>138.62</v>
      </c>
      <c r="J426" s="2">
        <v>136.72</v>
      </c>
      <c r="K426" s="2">
        <v>40.53</v>
      </c>
      <c r="L426" s="2">
        <v>178.76</v>
      </c>
      <c r="M426" s="64" t="s">
        <v>77</v>
      </c>
      <c r="N426" s="1"/>
      <c r="O426" s="12">
        <f t="shared" si="66"/>
        <v>-8.7592273026031453E-3</v>
      </c>
      <c r="P426" s="12">
        <f t="shared" si="67"/>
        <v>-1.8027723910076787E-2</v>
      </c>
      <c r="Q426" s="12">
        <f t="shared" si="68"/>
        <v>3.4112714092813246E-3</v>
      </c>
      <c r="R426" s="12">
        <f t="shared" si="69"/>
        <v>-1.3179128563743925E-2</v>
      </c>
      <c r="S426" s="12">
        <f t="shared" si="70"/>
        <v>-4.0332745147467763E-3</v>
      </c>
      <c r="T426" s="12">
        <f t="shared" si="71"/>
        <v>2.9380190971239895E-3</v>
      </c>
      <c r="U426" s="12">
        <f t="shared" si="72"/>
        <v>-1.3082706766917362E-2</v>
      </c>
      <c r="V426" s="12">
        <f t="shared" si="73"/>
        <v>-6.0945006094500487E-3</v>
      </c>
      <c r="W426" s="12">
        <f t="shared" si="74"/>
        <v>-1.2495485734922318E-2</v>
      </c>
      <c r="X426" s="12">
        <f t="shared" si="75"/>
        <v>-2.7066929133857665E-3</v>
      </c>
      <c r="Y426" s="12">
        <f t="shared" si="76"/>
        <v>-2.5724874645737916E-2</v>
      </c>
    </row>
    <row r="427" spans="1:25" x14ac:dyDescent="0.35">
      <c r="A427" s="6">
        <v>44743</v>
      </c>
      <c r="B427" s="8">
        <v>3825.33</v>
      </c>
      <c r="C427" s="2">
        <v>138.93</v>
      </c>
      <c r="D427" s="2">
        <v>141.12</v>
      </c>
      <c r="E427" s="2">
        <v>259.58</v>
      </c>
      <c r="F427" s="2">
        <v>517.4</v>
      </c>
      <c r="G427" s="2">
        <v>179.52</v>
      </c>
      <c r="H427" s="2">
        <v>199.18</v>
      </c>
      <c r="I427" s="2">
        <v>140.4</v>
      </c>
      <c r="J427" s="2">
        <v>139.84</v>
      </c>
      <c r="K427" s="2">
        <v>40.880000000000003</v>
      </c>
      <c r="L427" s="2">
        <v>178.29</v>
      </c>
      <c r="M427" s="64" t="s">
        <v>77</v>
      </c>
      <c r="N427" s="1"/>
      <c r="O427" s="12">
        <f t="shared" si="66"/>
        <v>1.0553762105785847E-2</v>
      </c>
      <c r="P427" s="12">
        <f t="shared" si="67"/>
        <v>1.6164423639555281E-2</v>
      </c>
      <c r="Q427" s="12">
        <f t="shared" si="68"/>
        <v>-4.9578582052545173E-4</v>
      </c>
      <c r="R427" s="12">
        <f t="shared" si="69"/>
        <v>1.0707471868551144E-2</v>
      </c>
      <c r="S427" s="12">
        <f t="shared" si="70"/>
        <v>7.3399139458365514E-3</v>
      </c>
      <c r="T427" s="12">
        <f t="shared" si="71"/>
        <v>1.1323305729254773E-2</v>
      </c>
      <c r="U427" s="12">
        <f t="shared" si="72"/>
        <v>1.1630859870993993E-2</v>
      </c>
      <c r="V427" s="12">
        <f t="shared" si="73"/>
        <v>1.284085990477557E-2</v>
      </c>
      <c r="W427" s="12">
        <f t="shared" si="74"/>
        <v>2.2820362785254567E-2</v>
      </c>
      <c r="X427" s="12">
        <f t="shared" si="75"/>
        <v>8.6355785837650689E-3</v>
      </c>
      <c r="Y427" s="12">
        <f t="shared" si="76"/>
        <v>-2.6292235399417718E-3</v>
      </c>
    </row>
    <row r="428" spans="1:25" x14ac:dyDescent="0.35">
      <c r="A428" s="6">
        <v>44747</v>
      </c>
      <c r="B428" s="8">
        <v>3831.39</v>
      </c>
      <c r="C428" s="2">
        <v>141.56</v>
      </c>
      <c r="D428" s="2">
        <v>137.62</v>
      </c>
      <c r="E428" s="2">
        <v>262.85000000000002</v>
      </c>
      <c r="F428" s="2">
        <v>505.24</v>
      </c>
      <c r="G428" s="2">
        <v>178.14</v>
      </c>
      <c r="H428" s="2">
        <v>200.54</v>
      </c>
      <c r="I428" s="2">
        <v>139.65</v>
      </c>
      <c r="J428" s="2">
        <v>137.69999999999999</v>
      </c>
      <c r="K428" s="2">
        <v>41.42</v>
      </c>
      <c r="L428" s="2">
        <v>173.76</v>
      </c>
      <c r="M428" s="64" t="s">
        <v>77</v>
      </c>
      <c r="N428" s="1"/>
      <c r="O428" s="12">
        <f t="shared" si="66"/>
        <v>1.5841770513915776E-3</v>
      </c>
      <c r="P428" s="12">
        <f t="shared" si="67"/>
        <v>1.8930396602605537E-2</v>
      </c>
      <c r="Q428" s="12">
        <f t="shared" si="68"/>
        <v>-2.4801587301587324E-2</v>
      </c>
      <c r="R428" s="12">
        <f t="shared" si="69"/>
        <v>1.2597272517143265E-2</v>
      </c>
      <c r="S428" s="12">
        <f t="shared" si="70"/>
        <v>-2.3502126014688818E-2</v>
      </c>
      <c r="T428" s="12">
        <f t="shared" si="71"/>
        <v>-7.6871657754011835E-3</v>
      </c>
      <c r="U428" s="12">
        <f t="shared" si="72"/>
        <v>6.8279947785920836E-3</v>
      </c>
      <c r="V428" s="12">
        <f t="shared" si="73"/>
        <v>-5.3418803418803229E-3</v>
      </c>
      <c r="W428" s="12">
        <f t="shared" si="74"/>
        <v>-1.5303203661327314E-2</v>
      </c>
      <c r="X428" s="12">
        <f t="shared" si="75"/>
        <v>1.3209393346379716E-2</v>
      </c>
      <c r="Y428" s="12">
        <f t="shared" si="76"/>
        <v>-2.5408043075887621E-2</v>
      </c>
    </row>
    <row r="429" spans="1:25" x14ac:dyDescent="0.35">
      <c r="A429" s="6">
        <v>44748</v>
      </c>
      <c r="B429" s="8">
        <v>3845.08</v>
      </c>
      <c r="C429" s="2">
        <v>142.91999999999999</v>
      </c>
      <c r="D429" s="2">
        <v>138.08000000000001</v>
      </c>
      <c r="E429" s="2">
        <v>266.20999999999998</v>
      </c>
      <c r="F429" s="2">
        <v>515.29</v>
      </c>
      <c r="G429" s="2">
        <v>178.3</v>
      </c>
      <c r="H429" s="2">
        <v>201.12</v>
      </c>
      <c r="I429" s="2">
        <v>138.15</v>
      </c>
      <c r="J429" s="2">
        <v>136.31</v>
      </c>
      <c r="K429" s="2">
        <v>41.71</v>
      </c>
      <c r="L429" s="2">
        <v>172.31</v>
      </c>
      <c r="M429" s="64">
        <v>5</v>
      </c>
      <c r="N429" s="1"/>
      <c r="O429" s="12">
        <f t="shared" si="66"/>
        <v>3.5731157621645693E-3</v>
      </c>
      <c r="P429" s="12">
        <f t="shared" si="67"/>
        <v>9.6072336818309179E-3</v>
      </c>
      <c r="Q429" s="12">
        <f t="shared" si="68"/>
        <v>3.3425374218865045E-3</v>
      </c>
      <c r="R429" s="12">
        <f t="shared" si="69"/>
        <v>1.2782956058588368E-2</v>
      </c>
      <c r="S429" s="12">
        <f t="shared" si="70"/>
        <v>1.9891536695431755E-2</v>
      </c>
      <c r="T429" s="12">
        <f t="shared" si="71"/>
        <v>8.9816997866853931E-4</v>
      </c>
      <c r="U429" s="12">
        <f t="shared" si="72"/>
        <v>2.8921910840731258E-3</v>
      </c>
      <c r="V429" s="12">
        <f t="shared" si="73"/>
        <v>-1.074113856068748E-2</v>
      </c>
      <c r="W429" s="12">
        <f t="shared" si="74"/>
        <v>-1.0094408133623722E-2</v>
      </c>
      <c r="X429" s="12">
        <f t="shared" si="75"/>
        <v>7.0014485755673928E-3</v>
      </c>
      <c r="Y429" s="12">
        <f t="shared" si="76"/>
        <v>-8.3448434622467316E-3</v>
      </c>
    </row>
    <row r="430" spans="1:25" x14ac:dyDescent="0.35">
      <c r="A430" s="6">
        <v>44749</v>
      </c>
      <c r="B430" s="8">
        <v>3902.62</v>
      </c>
      <c r="C430" s="2">
        <v>146.35</v>
      </c>
      <c r="D430" s="2">
        <v>140.83000000000001</v>
      </c>
      <c r="E430" s="2">
        <v>268.39999999999998</v>
      </c>
      <c r="F430" s="2">
        <v>514.38</v>
      </c>
      <c r="G430" s="2">
        <v>178.5</v>
      </c>
      <c r="H430" s="2">
        <v>202.8</v>
      </c>
      <c r="I430" s="2">
        <v>141.03</v>
      </c>
      <c r="J430" s="2">
        <v>139.97</v>
      </c>
      <c r="K430" s="2">
        <v>41.77</v>
      </c>
      <c r="L430" s="2">
        <v>180.28</v>
      </c>
      <c r="M430" s="64" t="s">
        <v>77</v>
      </c>
      <c r="N430" s="1"/>
      <c r="O430" s="12">
        <f t="shared" si="66"/>
        <v>1.4964578110208349E-2</v>
      </c>
      <c r="P430" s="12">
        <f t="shared" si="67"/>
        <v>2.3999440246291748E-2</v>
      </c>
      <c r="Q430" s="12">
        <f t="shared" si="68"/>
        <v>1.991599073001149E-2</v>
      </c>
      <c r="R430" s="12">
        <f t="shared" si="69"/>
        <v>8.2265880320047113E-3</v>
      </c>
      <c r="S430" s="12">
        <f t="shared" si="70"/>
        <v>-1.7659958469987691E-3</v>
      </c>
      <c r="T430" s="12">
        <f t="shared" si="71"/>
        <v>1.1217049915872579E-3</v>
      </c>
      <c r="U430" s="12">
        <f t="shared" si="72"/>
        <v>8.3532219570405797E-3</v>
      </c>
      <c r="V430" s="12">
        <f t="shared" si="73"/>
        <v>2.0846905537459159E-2</v>
      </c>
      <c r="W430" s="12">
        <f t="shared" si="74"/>
        <v>2.6850561220746805E-2</v>
      </c>
      <c r="X430" s="12">
        <f t="shared" si="75"/>
        <v>1.4385039558859614E-3</v>
      </c>
      <c r="Y430" s="12">
        <f t="shared" si="76"/>
        <v>4.6253844814578393E-2</v>
      </c>
    </row>
    <row r="431" spans="1:25" x14ac:dyDescent="0.35">
      <c r="A431" s="6">
        <v>44750</v>
      </c>
      <c r="B431" s="8">
        <v>3899.38</v>
      </c>
      <c r="C431" s="2">
        <v>147.04</v>
      </c>
      <c r="D431" s="2">
        <v>140.47</v>
      </c>
      <c r="E431" s="2">
        <v>267.66000000000003</v>
      </c>
      <c r="F431" s="2">
        <v>518.63</v>
      </c>
      <c r="G431" s="2">
        <v>178.28</v>
      </c>
      <c r="H431" s="2">
        <v>203.57</v>
      </c>
      <c r="I431" s="2">
        <v>141.76</v>
      </c>
      <c r="J431" s="2">
        <v>139.07</v>
      </c>
      <c r="K431" s="2">
        <v>41.8</v>
      </c>
      <c r="L431" s="2">
        <v>179.1</v>
      </c>
      <c r="M431" s="64" t="s">
        <v>77</v>
      </c>
      <c r="N431" s="1"/>
      <c r="O431" s="12">
        <f t="shared" si="66"/>
        <v>-8.3021149894169088E-4</v>
      </c>
      <c r="P431" s="12">
        <f t="shared" si="67"/>
        <v>4.7147249743764164E-3</v>
      </c>
      <c r="Q431" s="12">
        <f t="shared" si="68"/>
        <v>-2.5562735212668608E-3</v>
      </c>
      <c r="R431" s="12">
        <f t="shared" si="69"/>
        <v>-2.7570789865870582E-3</v>
      </c>
      <c r="S431" s="12">
        <f t="shared" si="70"/>
        <v>8.2623741203000645E-3</v>
      </c>
      <c r="T431" s="12">
        <f t="shared" si="71"/>
        <v>-1.232492997198853E-3</v>
      </c>
      <c r="U431" s="12">
        <f t="shared" si="72"/>
        <v>3.7968441814595355E-3</v>
      </c>
      <c r="V431" s="12">
        <f t="shared" si="73"/>
        <v>5.1762036446145743E-3</v>
      </c>
      <c r="W431" s="12">
        <f t="shared" si="74"/>
        <v>-6.4299492748446374E-3</v>
      </c>
      <c r="X431" s="12">
        <f t="shared" si="75"/>
        <v>7.1821881733291626E-4</v>
      </c>
      <c r="Y431" s="12">
        <f t="shared" si="76"/>
        <v>-6.5453738628800107E-3</v>
      </c>
    </row>
    <row r="432" spans="1:25" x14ac:dyDescent="0.35">
      <c r="A432" s="6">
        <v>44753</v>
      </c>
      <c r="B432" s="8">
        <v>3854.43</v>
      </c>
      <c r="C432" s="2">
        <v>144.87</v>
      </c>
      <c r="D432" s="2">
        <v>141</v>
      </c>
      <c r="E432" s="2">
        <v>264.51</v>
      </c>
      <c r="F432" s="2">
        <v>516.95000000000005</v>
      </c>
      <c r="G432" s="2">
        <v>178.35</v>
      </c>
      <c r="H432" s="2">
        <v>205.06</v>
      </c>
      <c r="I432" s="2">
        <v>140.58000000000001</v>
      </c>
      <c r="J432" s="2">
        <v>136.99</v>
      </c>
      <c r="K432" s="2">
        <v>41.82</v>
      </c>
      <c r="L432" s="2">
        <v>175.02</v>
      </c>
      <c r="M432" s="64" t="s">
        <v>77</v>
      </c>
      <c r="N432" s="1"/>
      <c r="O432" s="12">
        <f t="shared" si="66"/>
        <v>-1.1527473598367033E-2</v>
      </c>
      <c r="P432" s="12">
        <f t="shared" si="67"/>
        <v>-1.4757889009793135E-2</v>
      </c>
      <c r="Q432" s="12">
        <f t="shared" si="68"/>
        <v>3.7730476258275303E-3</v>
      </c>
      <c r="R432" s="12">
        <f t="shared" si="69"/>
        <v>-1.17686617350371E-2</v>
      </c>
      <c r="S432" s="12">
        <f t="shared" si="70"/>
        <v>-3.2393035497366718E-3</v>
      </c>
      <c r="T432" s="12">
        <f t="shared" si="71"/>
        <v>3.926407897689721E-4</v>
      </c>
      <c r="U432" s="12">
        <f t="shared" si="72"/>
        <v>7.3193496094710042E-3</v>
      </c>
      <c r="V432" s="12">
        <f t="shared" si="73"/>
        <v>-8.3239277652368271E-3</v>
      </c>
      <c r="W432" s="12">
        <f t="shared" si="74"/>
        <v>-1.4956496728266266E-2</v>
      </c>
      <c r="X432" s="12">
        <f t="shared" si="75"/>
        <v>4.7846889952163352E-4</v>
      </c>
      <c r="Y432" s="12">
        <f t="shared" si="76"/>
        <v>-2.2780569514237792E-2</v>
      </c>
    </row>
    <row r="433" spans="1:25" x14ac:dyDescent="0.35">
      <c r="A433" s="6">
        <v>44754</v>
      </c>
      <c r="B433" s="8">
        <v>3818.8</v>
      </c>
      <c r="C433" s="2">
        <v>145.86000000000001</v>
      </c>
      <c r="D433" s="2">
        <v>139.18</v>
      </c>
      <c r="E433" s="2">
        <v>253.67</v>
      </c>
      <c r="F433" s="2">
        <v>514.41999999999996</v>
      </c>
      <c r="G433" s="2">
        <v>175.85</v>
      </c>
      <c r="H433" s="2">
        <v>204.82</v>
      </c>
      <c r="I433" s="2">
        <v>139.18</v>
      </c>
      <c r="J433" s="2">
        <v>147.15</v>
      </c>
      <c r="K433" s="2">
        <v>41.69</v>
      </c>
      <c r="L433" s="2">
        <v>174.49</v>
      </c>
      <c r="M433" s="64" t="s">
        <v>77</v>
      </c>
      <c r="N433" s="1"/>
      <c r="O433" s="12">
        <f t="shared" si="66"/>
        <v>-9.2439089567069033E-3</v>
      </c>
      <c r="P433" s="12">
        <f t="shared" si="67"/>
        <v>6.8337129840547739E-3</v>
      </c>
      <c r="Q433" s="12">
        <f t="shared" si="68"/>
        <v>-1.2907801418439613E-2</v>
      </c>
      <c r="R433" s="12">
        <f t="shared" si="69"/>
        <v>-4.0981437374768448E-2</v>
      </c>
      <c r="S433" s="12">
        <f t="shared" si="70"/>
        <v>-4.8940903375569444E-3</v>
      </c>
      <c r="T433" s="12">
        <f t="shared" si="71"/>
        <v>-1.4017381553125929E-2</v>
      </c>
      <c r="U433" s="12">
        <f t="shared" si="72"/>
        <v>-1.170389154393825E-3</v>
      </c>
      <c r="V433" s="12">
        <f t="shared" si="73"/>
        <v>-9.9587423531085628E-3</v>
      </c>
      <c r="W433" s="12">
        <f t="shared" si="74"/>
        <v>7.4165997518067073E-2</v>
      </c>
      <c r="X433" s="12">
        <f t="shared" si="75"/>
        <v>-3.1085604973697389E-3</v>
      </c>
      <c r="Y433" s="12">
        <f t="shared" si="76"/>
        <v>-3.0282253456748176E-3</v>
      </c>
    </row>
    <row r="434" spans="1:25" x14ac:dyDescent="0.35">
      <c r="A434" s="6">
        <v>44755</v>
      </c>
      <c r="B434" s="8">
        <v>3801.78</v>
      </c>
      <c r="C434" s="2">
        <v>145.49</v>
      </c>
      <c r="D434" s="2">
        <v>137.18</v>
      </c>
      <c r="E434" s="2">
        <v>252.72</v>
      </c>
      <c r="F434" s="2">
        <v>501.24</v>
      </c>
      <c r="G434" s="2">
        <v>175.44</v>
      </c>
      <c r="H434" s="2">
        <v>204.15</v>
      </c>
      <c r="I434" s="2">
        <v>139.4</v>
      </c>
      <c r="J434" s="2">
        <v>143.94999999999999</v>
      </c>
      <c r="K434" s="2">
        <v>41.79</v>
      </c>
      <c r="L434" s="2">
        <v>173.87</v>
      </c>
      <c r="M434" s="64">
        <v>5.14</v>
      </c>
      <c r="N434" s="1"/>
      <c r="O434" s="12">
        <f t="shared" si="66"/>
        <v>-4.4568974546977946E-3</v>
      </c>
      <c r="P434" s="12">
        <f t="shared" si="67"/>
        <v>-2.536679007267284E-3</v>
      </c>
      <c r="Q434" s="12">
        <f t="shared" si="68"/>
        <v>-1.4369880729989903E-2</v>
      </c>
      <c r="R434" s="12">
        <f t="shared" si="69"/>
        <v>-3.7450230614577418E-3</v>
      </c>
      <c r="S434" s="12">
        <f t="shared" si="70"/>
        <v>-2.562108782706729E-2</v>
      </c>
      <c r="T434" s="12">
        <f t="shared" si="71"/>
        <v>-2.3315325561558131E-3</v>
      </c>
      <c r="U434" s="12">
        <f t="shared" si="72"/>
        <v>-3.2711649253002184E-3</v>
      </c>
      <c r="V434" s="12">
        <f t="shared" si="73"/>
        <v>1.5806868802987761E-3</v>
      </c>
      <c r="W434" s="12">
        <f t="shared" si="74"/>
        <v>-2.1746517159361267E-2</v>
      </c>
      <c r="X434" s="12">
        <f t="shared" si="75"/>
        <v>2.3986567522187308E-3</v>
      </c>
      <c r="Y434" s="12">
        <f t="shared" si="76"/>
        <v>-3.5532122184652737E-3</v>
      </c>
    </row>
    <row r="435" spans="1:25" x14ac:dyDescent="0.35">
      <c r="A435" s="6">
        <v>44756</v>
      </c>
      <c r="B435" s="8">
        <v>3790.38</v>
      </c>
      <c r="C435" s="2">
        <v>148.47</v>
      </c>
      <c r="D435" s="2">
        <v>139.06</v>
      </c>
      <c r="E435" s="2">
        <v>254.08</v>
      </c>
      <c r="F435" s="2">
        <v>502.43</v>
      </c>
      <c r="G435" s="2">
        <v>175.68</v>
      </c>
      <c r="H435" s="2">
        <v>205.91</v>
      </c>
      <c r="I435" s="2">
        <v>136.47999999999999</v>
      </c>
      <c r="J435" s="2">
        <v>147.15</v>
      </c>
      <c r="K435" s="2">
        <v>42.61</v>
      </c>
      <c r="L435" s="2">
        <v>169.94</v>
      </c>
      <c r="M435" s="64" t="s">
        <v>77</v>
      </c>
      <c r="N435" s="1"/>
      <c r="O435" s="12">
        <f t="shared" si="66"/>
        <v>-2.99859539478875E-3</v>
      </c>
      <c r="P435" s="12">
        <f t="shared" si="67"/>
        <v>2.0482507388823956E-2</v>
      </c>
      <c r="Q435" s="12">
        <f t="shared" si="68"/>
        <v>1.3704621664965666E-2</v>
      </c>
      <c r="R435" s="12">
        <f t="shared" si="69"/>
        <v>5.381449825894391E-3</v>
      </c>
      <c r="S435" s="12">
        <f t="shared" si="70"/>
        <v>2.3741122017397753E-3</v>
      </c>
      <c r="T435" s="12">
        <f t="shared" si="71"/>
        <v>1.3679890560875929E-3</v>
      </c>
      <c r="U435" s="12">
        <f t="shared" si="72"/>
        <v>8.6211119275041437E-3</v>
      </c>
      <c r="V435" s="12">
        <f t="shared" si="73"/>
        <v>-2.0946915351506612E-2</v>
      </c>
      <c r="W435" s="12">
        <f t="shared" si="74"/>
        <v>2.2229940951719485E-2</v>
      </c>
      <c r="X435" s="12">
        <f t="shared" si="75"/>
        <v>1.9621919119406472E-2</v>
      </c>
      <c r="Y435" s="12">
        <f t="shared" si="76"/>
        <v>-2.2603094265830848E-2</v>
      </c>
    </row>
    <row r="436" spans="1:25" x14ac:dyDescent="0.35">
      <c r="A436" s="6">
        <v>44757</v>
      </c>
      <c r="B436" s="8">
        <v>3863.16</v>
      </c>
      <c r="C436" s="2">
        <v>150.16999999999999</v>
      </c>
      <c r="D436" s="2">
        <v>139.91999999999999</v>
      </c>
      <c r="E436" s="2">
        <v>256.72000000000003</v>
      </c>
      <c r="F436" s="2">
        <v>529.75</v>
      </c>
      <c r="G436" s="2">
        <v>178.23</v>
      </c>
      <c r="H436" s="2">
        <v>210.04</v>
      </c>
      <c r="I436" s="2">
        <v>142.47999999999999</v>
      </c>
      <c r="J436" s="2">
        <v>147.74</v>
      </c>
      <c r="K436" s="2">
        <v>43.02</v>
      </c>
      <c r="L436" s="2">
        <v>173.38</v>
      </c>
      <c r="M436" s="64" t="s">
        <v>77</v>
      </c>
      <c r="N436" s="1"/>
      <c r="O436" s="12">
        <f t="shared" si="66"/>
        <v>1.9201241036518768E-2</v>
      </c>
      <c r="P436" s="12">
        <f t="shared" si="67"/>
        <v>1.1450124604297063E-2</v>
      </c>
      <c r="Q436" s="12">
        <f t="shared" si="68"/>
        <v>6.1843808428014846E-3</v>
      </c>
      <c r="R436" s="12">
        <f t="shared" si="69"/>
        <v>1.0390428211586977E-2</v>
      </c>
      <c r="S436" s="12">
        <f t="shared" si="70"/>
        <v>5.4375733933085257E-2</v>
      </c>
      <c r="T436" s="12">
        <f t="shared" si="71"/>
        <v>1.4515027322404173E-2</v>
      </c>
      <c r="U436" s="12">
        <f t="shared" si="72"/>
        <v>2.005730659025784E-2</v>
      </c>
      <c r="V436" s="12">
        <f t="shared" si="73"/>
        <v>4.3962485345838243E-2</v>
      </c>
      <c r="W436" s="12">
        <f t="shared" si="74"/>
        <v>4.0095141012572721E-3</v>
      </c>
      <c r="X436" s="12">
        <f t="shared" si="75"/>
        <v>9.6221544238441759E-3</v>
      </c>
      <c r="Y436" s="12">
        <f t="shared" si="76"/>
        <v>2.0242438507708682E-2</v>
      </c>
    </row>
    <row r="437" spans="1:25" x14ac:dyDescent="0.35">
      <c r="A437" s="6">
        <v>44760</v>
      </c>
      <c r="B437" s="8">
        <v>3830.85</v>
      </c>
      <c r="C437" s="2">
        <v>147.07</v>
      </c>
      <c r="D437" s="2">
        <v>138.13</v>
      </c>
      <c r="E437" s="2">
        <v>254.25</v>
      </c>
      <c r="F437" s="2">
        <v>519.37</v>
      </c>
      <c r="G437" s="2">
        <v>174.23</v>
      </c>
      <c r="H437" s="2">
        <v>207.21</v>
      </c>
      <c r="I437" s="2">
        <v>142.33000000000001</v>
      </c>
      <c r="J437" s="2">
        <v>147.72</v>
      </c>
      <c r="K437" s="2">
        <v>42.92</v>
      </c>
      <c r="L437" s="2">
        <v>173.49</v>
      </c>
      <c r="M437" s="64" t="s">
        <v>77</v>
      </c>
      <c r="N437" s="1"/>
      <c r="O437" s="12">
        <f t="shared" si="66"/>
        <v>-8.3636194203708936E-3</v>
      </c>
      <c r="P437" s="12">
        <f t="shared" si="67"/>
        <v>-2.0643270959579074E-2</v>
      </c>
      <c r="Q437" s="12">
        <f t="shared" si="68"/>
        <v>-1.2793024585477375E-2</v>
      </c>
      <c r="R437" s="12">
        <f t="shared" si="69"/>
        <v>-9.6213773761297805E-3</v>
      </c>
      <c r="S437" s="12">
        <f t="shared" si="70"/>
        <v>-1.9594148183105231E-2</v>
      </c>
      <c r="T437" s="12">
        <f t="shared" si="71"/>
        <v>-2.2442910845536623E-2</v>
      </c>
      <c r="U437" s="12">
        <f t="shared" si="72"/>
        <v>-1.347362407160535E-2</v>
      </c>
      <c r="V437" s="12">
        <f t="shared" si="73"/>
        <v>-1.0527793374507377E-3</v>
      </c>
      <c r="W437" s="12">
        <f t="shared" si="74"/>
        <v>-1.3537295248411407E-4</v>
      </c>
      <c r="X437" s="12">
        <f t="shared" si="75"/>
        <v>-2.3245002324500108E-3</v>
      </c>
      <c r="Y437" s="12">
        <f t="shared" si="76"/>
        <v>6.3444457261518927E-4</v>
      </c>
    </row>
    <row r="438" spans="1:25" x14ac:dyDescent="0.35">
      <c r="A438" s="6">
        <v>44761</v>
      </c>
      <c r="B438" s="8">
        <v>3936.69</v>
      </c>
      <c r="C438" s="2">
        <v>151</v>
      </c>
      <c r="D438" s="2">
        <v>130.88</v>
      </c>
      <c r="E438" s="2">
        <v>259.52999999999997</v>
      </c>
      <c r="F438" s="2">
        <v>533.45000000000005</v>
      </c>
      <c r="G438" s="2">
        <v>171.69</v>
      </c>
      <c r="H438" s="2">
        <v>213.66</v>
      </c>
      <c r="I438" s="2">
        <v>147.78</v>
      </c>
      <c r="J438" s="2">
        <v>156.13</v>
      </c>
      <c r="K438" s="2">
        <v>43.19</v>
      </c>
      <c r="L438" s="2">
        <v>179.49</v>
      </c>
      <c r="M438" s="64">
        <v>5</v>
      </c>
      <c r="N438" s="1"/>
      <c r="O438" s="12">
        <f t="shared" si="66"/>
        <v>2.7628333137554417E-2</v>
      </c>
      <c r="P438" s="12">
        <f t="shared" si="67"/>
        <v>2.672196913034619E-2</v>
      </c>
      <c r="Q438" s="12">
        <f t="shared" si="68"/>
        <v>-5.2486787808586066E-2</v>
      </c>
      <c r="R438" s="12">
        <f t="shared" si="69"/>
        <v>2.0766961651917271E-2</v>
      </c>
      <c r="S438" s="12">
        <f t="shared" si="70"/>
        <v>2.7109767603057611E-2</v>
      </c>
      <c r="T438" s="12">
        <f t="shared" si="71"/>
        <v>-1.4578430809848997E-2</v>
      </c>
      <c r="U438" s="12">
        <f t="shared" si="72"/>
        <v>3.1127841320399474E-2</v>
      </c>
      <c r="V438" s="12">
        <f t="shared" si="73"/>
        <v>3.8291294878100013E-2</v>
      </c>
      <c r="W438" s="12">
        <f t="shared" si="74"/>
        <v>5.6932033577037577E-2</v>
      </c>
      <c r="X438" s="12">
        <f t="shared" si="75"/>
        <v>6.2907735321526825E-3</v>
      </c>
      <c r="Y438" s="12">
        <f t="shared" si="76"/>
        <v>3.4584125886218287E-2</v>
      </c>
    </row>
    <row r="439" spans="1:25" x14ac:dyDescent="0.35">
      <c r="A439" s="6">
        <v>44762</v>
      </c>
      <c r="B439" s="8">
        <v>3959.9</v>
      </c>
      <c r="C439" s="2">
        <v>153.04</v>
      </c>
      <c r="D439" s="2">
        <v>129.18</v>
      </c>
      <c r="E439" s="2">
        <v>262.27</v>
      </c>
      <c r="F439" s="2">
        <v>519.47</v>
      </c>
      <c r="G439" s="2">
        <v>170.71</v>
      </c>
      <c r="H439" s="2">
        <v>213.37</v>
      </c>
      <c r="I439" s="2">
        <v>148.93</v>
      </c>
      <c r="J439" s="2">
        <v>158.38</v>
      </c>
      <c r="K439" s="2">
        <v>43.55</v>
      </c>
      <c r="L439" s="2">
        <v>179.97</v>
      </c>
      <c r="M439" s="64" t="s">
        <v>77</v>
      </c>
      <c r="N439" s="1"/>
      <c r="O439" s="12">
        <f t="shared" si="66"/>
        <v>5.8958160281861183E-3</v>
      </c>
      <c r="P439" s="12">
        <f t="shared" si="67"/>
        <v>1.3509933774834337E-2</v>
      </c>
      <c r="Q439" s="12">
        <f t="shared" si="68"/>
        <v>-1.2988997555012149E-2</v>
      </c>
      <c r="R439" s="12">
        <f t="shared" si="69"/>
        <v>1.0557546333757273E-2</v>
      </c>
      <c r="S439" s="12">
        <f t="shared" si="70"/>
        <v>-2.6206767269659759E-2</v>
      </c>
      <c r="T439" s="12">
        <f t="shared" si="71"/>
        <v>-5.7079620245791274E-3</v>
      </c>
      <c r="U439" s="12">
        <f t="shared" si="72"/>
        <v>-1.3572966395206665E-3</v>
      </c>
      <c r="V439" s="12">
        <f t="shared" si="73"/>
        <v>7.781837867099739E-3</v>
      </c>
      <c r="W439" s="12">
        <f t="shared" si="74"/>
        <v>1.4411067699993563E-2</v>
      </c>
      <c r="X439" s="12">
        <f t="shared" si="75"/>
        <v>8.3352627923130029E-3</v>
      </c>
      <c r="Y439" s="12">
        <f t="shared" si="76"/>
        <v>2.6742436904563238E-3</v>
      </c>
    </row>
    <row r="440" spans="1:25" x14ac:dyDescent="0.35">
      <c r="A440" s="6">
        <v>44763</v>
      </c>
      <c r="B440" s="8">
        <v>3998.95</v>
      </c>
      <c r="C440" s="2">
        <v>155.35</v>
      </c>
      <c r="D440" s="2">
        <v>127.15</v>
      </c>
      <c r="E440" s="2">
        <v>264.83999999999997</v>
      </c>
      <c r="F440" s="2">
        <v>522.46</v>
      </c>
      <c r="G440" s="2">
        <v>171.31</v>
      </c>
      <c r="H440" s="2">
        <v>216.19</v>
      </c>
      <c r="I440" s="2">
        <v>150.18</v>
      </c>
      <c r="J440" s="2">
        <v>161.41</v>
      </c>
      <c r="K440" s="2">
        <v>44.18</v>
      </c>
      <c r="L440" s="2">
        <v>180.99</v>
      </c>
      <c r="M440" s="64" t="s">
        <v>77</v>
      </c>
      <c r="N440" s="1"/>
      <c r="O440" s="12">
        <f t="shared" si="66"/>
        <v>9.8613601353569891E-3</v>
      </c>
      <c r="P440" s="12">
        <f t="shared" si="67"/>
        <v>1.5094093047569368E-2</v>
      </c>
      <c r="Q440" s="12">
        <f t="shared" si="68"/>
        <v>-1.5714506889611402E-2</v>
      </c>
      <c r="R440" s="12">
        <f t="shared" si="69"/>
        <v>9.7990620353070046E-3</v>
      </c>
      <c r="S440" s="12">
        <f t="shared" si="70"/>
        <v>5.755866556297784E-3</v>
      </c>
      <c r="T440" s="12">
        <f t="shared" si="71"/>
        <v>3.5147325874289592E-3</v>
      </c>
      <c r="U440" s="12">
        <f t="shared" si="72"/>
        <v>1.321647841777196E-2</v>
      </c>
      <c r="V440" s="12">
        <f t="shared" si="73"/>
        <v>8.3932048613442056E-3</v>
      </c>
      <c r="W440" s="12">
        <f t="shared" si="74"/>
        <v>1.9131203434777033E-2</v>
      </c>
      <c r="X440" s="12">
        <f t="shared" si="75"/>
        <v>1.4466130884041473E-2</v>
      </c>
      <c r="Y440" s="12">
        <f t="shared" si="76"/>
        <v>5.6676112685447588E-3</v>
      </c>
    </row>
    <row r="441" spans="1:25" x14ac:dyDescent="0.35">
      <c r="A441" s="6">
        <v>44764</v>
      </c>
      <c r="B441" s="8">
        <v>3961.63</v>
      </c>
      <c r="C441" s="2">
        <v>154.09</v>
      </c>
      <c r="D441" s="2">
        <v>128.25</v>
      </c>
      <c r="E441" s="2">
        <v>260.36</v>
      </c>
      <c r="F441" s="2">
        <v>521.41</v>
      </c>
      <c r="G441" s="2">
        <v>172.12</v>
      </c>
      <c r="H441" s="2">
        <v>213.7</v>
      </c>
      <c r="I441" s="2">
        <v>153.01</v>
      </c>
      <c r="J441" s="2">
        <v>158.16</v>
      </c>
      <c r="K441" s="2">
        <v>44.07</v>
      </c>
      <c r="L441" s="2">
        <v>178.62</v>
      </c>
      <c r="M441" s="64" t="s">
        <v>77</v>
      </c>
      <c r="N441" s="1"/>
      <c r="O441" s="12">
        <f t="shared" si="66"/>
        <v>-9.3324497680640217E-3</v>
      </c>
      <c r="P441" s="12">
        <f t="shared" si="67"/>
        <v>-8.1107177341486203E-3</v>
      </c>
      <c r="Q441" s="12">
        <f t="shared" si="68"/>
        <v>8.651199370821816E-3</v>
      </c>
      <c r="R441" s="12">
        <f t="shared" si="69"/>
        <v>-1.6915873735085185E-2</v>
      </c>
      <c r="S441" s="12">
        <f t="shared" si="70"/>
        <v>-2.0097232324006731E-3</v>
      </c>
      <c r="T441" s="12">
        <f t="shared" si="71"/>
        <v>4.7282703870177301E-3</v>
      </c>
      <c r="U441" s="12">
        <f t="shared" si="72"/>
        <v>-1.1517646514639934E-2</v>
      </c>
      <c r="V441" s="12">
        <f t="shared" si="73"/>
        <v>1.8844053802103966E-2</v>
      </c>
      <c r="W441" s="12">
        <f t="shared" si="74"/>
        <v>-2.0135059785639009E-2</v>
      </c>
      <c r="X441" s="12">
        <f t="shared" si="75"/>
        <v>-2.4898143956540997E-3</v>
      </c>
      <c r="Y441" s="12">
        <f t="shared" si="76"/>
        <v>-1.3094646113044894E-2</v>
      </c>
    </row>
    <row r="442" spans="1:25" x14ac:dyDescent="0.35">
      <c r="A442" s="6">
        <v>44767</v>
      </c>
      <c r="B442" s="8">
        <v>3966.84</v>
      </c>
      <c r="C442" s="2">
        <v>152.94999999999999</v>
      </c>
      <c r="D442" s="2">
        <v>128.54</v>
      </c>
      <c r="E442" s="2">
        <v>258.83</v>
      </c>
      <c r="F442" s="2">
        <v>529.47</v>
      </c>
      <c r="G442" s="2">
        <v>172.46</v>
      </c>
      <c r="H442" s="2">
        <v>214.27</v>
      </c>
      <c r="I442" s="2">
        <v>153.79</v>
      </c>
      <c r="J442" s="2">
        <v>156.63999999999999</v>
      </c>
      <c r="K442" s="2">
        <v>44.01</v>
      </c>
      <c r="L442" s="2">
        <v>181.81</v>
      </c>
      <c r="M442" s="64" t="s">
        <v>77</v>
      </c>
      <c r="N442" s="1"/>
      <c r="O442" s="12">
        <f t="shared" si="66"/>
        <v>1.3151152429682345E-3</v>
      </c>
      <c r="P442" s="12">
        <f t="shared" si="67"/>
        <v>-7.3982737361283357E-3</v>
      </c>
      <c r="Q442" s="12">
        <f t="shared" si="68"/>
        <v>2.261208576997964E-3</v>
      </c>
      <c r="R442" s="12">
        <f t="shared" si="69"/>
        <v>-5.8764787217699954E-3</v>
      </c>
      <c r="S442" s="12">
        <f t="shared" si="70"/>
        <v>1.5458084808500194E-2</v>
      </c>
      <c r="T442" s="12">
        <f t="shared" si="71"/>
        <v>1.9753660237045167E-3</v>
      </c>
      <c r="U442" s="12">
        <f t="shared" si="72"/>
        <v>2.6672905942912717E-3</v>
      </c>
      <c r="V442" s="12">
        <f t="shared" si="73"/>
        <v>5.0977060322854317E-3</v>
      </c>
      <c r="W442" s="12">
        <f t="shared" si="74"/>
        <v>-9.6105209914011391E-3</v>
      </c>
      <c r="X442" s="12">
        <f t="shared" si="75"/>
        <v>-1.3614703880191481E-3</v>
      </c>
      <c r="Y442" s="12">
        <f t="shared" si="76"/>
        <v>1.7859142313290777E-2</v>
      </c>
    </row>
    <row r="443" spans="1:25" x14ac:dyDescent="0.35">
      <c r="A443" s="6">
        <v>44768</v>
      </c>
      <c r="B443" s="8">
        <v>3921.05</v>
      </c>
      <c r="C443" s="2">
        <v>151.6</v>
      </c>
      <c r="D443" s="2">
        <v>128.08000000000001</v>
      </c>
      <c r="E443" s="2">
        <v>251.9</v>
      </c>
      <c r="F443" s="2">
        <v>531.59</v>
      </c>
      <c r="G443" s="2">
        <v>173.68</v>
      </c>
      <c r="H443" s="2">
        <v>212.49</v>
      </c>
      <c r="I443" s="2">
        <v>149.83000000000001</v>
      </c>
      <c r="J443" s="2">
        <v>155.91999999999999</v>
      </c>
      <c r="K443" s="2">
        <v>40.659999999999997</v>
      </c>
      <c r="L443" s="2">
        <v>181.23</v>
      </c>
      <c r="M443" s="64">
        <v>5.05</v>
      </c>
      <c r="N443" s="1"/>
      <c r="O443" s="12">
        <f t="shared" si="66"/>
        <v>-1.1543193070554847E-2</v>
      </c>
      <c r="P443" s="12">
        <f t="shared" si="67"/>
        <v>-8.826413860738791E-3</v>
      </c>
      <c r="Q443" s="12">
        <f t="shared" si="68"/>
        <v>-3.5786525595143948E-3</v>
      </c>
      <c r="R443" s="12">
        <f t="shared" si="69"/>
        <v>-2.6774330641733846E-2</v>
      </c>
      <c r="S443" s="12">
        <f t="shared" si="70"/>
        <v>4.0040040040039138E-3</v>
      </c>
      <c r="T443" s="12">
        <f t="shared" si="71"/>
        <v>7.0741041400903537E-3</v>
      </c>
      <c r="U443" s="12">
        <f t="shared" si="72"/>
        <v>-8.307275866896946E-3</v>
      </c>
      <c r="V443" s="12">
        <f t="shared" si="73"/>
        <v>-2.5749398530463541E-2</v>
      </c>
      <c r="W443" s="12">
        <f t="shared" si="74"/>
        <v>-4.5965270684371617E-3</v>
      </c>
      <c r="X443" s="12">
        <f t="shared" si="75"/>
        <v>-7.6119063849125257E-2</v>
      </c>
      <c r="Y443" s="12">
        <f t="shared" si="76"/>
        <v>-3.1901435564600789E-3</v>
      </c>
    </row>
    <row r="444" spans="1:25" x14ac:dyDescent="0.35">
      <c r="A444" s="6">
        <v>44769</v>
      </c>
      <c r="B444" s="8">
        <v>4023.61</v>
      </c>
      <c r="C444" s="2">
        <v>156.79</v>
      </c>
      <c r="D444" s="2">
        <v>129.12</v>
      </c>
      <c r="E444" s="2">
        <v>268.74</v>
      </c>
      <c r="F444" s="2">
        <v>534.61</v>
      </c>
      <c r="G444" s="2">
        <v>173.2</v>
      </c>
      <c r="H444" s="2">
        <v>210.47</v>
      </c>
      <c r="I444" s="2">
        <v>151.63</v>
      </c>
      <c r="J444" s="2">
        <v>156.09</v>
      </c>
      <c r="K444" s="2">
        <v>42.2</v>
      </c>
      <c r="L444" s="2">
        <v>185.25</v>
      </c>
      <c r="M444" s="64" t="s">
        <v>77</v>
      </c>
      <c r="N444" s="1"/>
      <c r="O444" s="12">
        <f t="shared" si="66"/>
        <v>2.6156259165274642E-2</v>
      </c>
      <c r="P444" s="12">
        <f t="shared" si="67"/>
        <v>3.4234828496042313E-2</v>
      </c>
      <c r="Q444" s="12">
        <f t="shared" si="68"/>
        <v>8.1199250468455553E-3</v>
      </c>
      <c r="R444" s="12">
        <f t="shared" si="69"/>
        <v>6.6851925367209297E-2</v>
      </c>
      <c r="S444" s="12">
        <f t="shared" si="70"/>
        <v>5.6810699975544665E-3</v>
      </c>
      <c r="T444" s="12">
        <f t="shared" si="71"/>
        <v>-2.7637033625058649E-3</v>
      </c>
      <c r="U444" s="12">
        <f t="shared" si="72"/>
        <v>-9.5063297096333876E-3</v>
      </c>
      <c r="V444" s="12">
        <f t="shared" si="73"/>
        <v>1.2013615430821467E-2</v>
      </c>
      <c r="W444" s="12">
        <f t="shared" si="74"/>
        <v>1.0903027193434056E-3</v>
      </c>
      <c r="X444" s="12">
        <f t="shared" si="75"/>
        <v>3.7875061485489692E-2</v>
      </c>
      <c r="Y444" s="12">
        <f t="shared" si="76"/>
        <v>2.2181757987088213E-2</v>
      </c>
    </row>
    <row r="445" spans="1:25" x14ac:dyDescent="0.35">
      <c r="A445" s="6">
        <v>44770</v>
      </c>
      <c r="B445" s="8">
        <v>4072.43</v>
      </c>
      <c r="C445" s="2">
        <v>157.35</v>
      </c>
      <c r="D445" s="2">
        <v>129.22</v>
      </c>
      <c r="E445" s="2">
        <v>276.41000000000003</v>
      </c>
      <c r="F445" s="2">
        <v>541.49</v>
      </c>
      <c r="G445" s="2">
        <v>174.2</v>
      </c>
      <c r="H445" s="2">
        <v>211.35</v>
      </c>
      <c r="I445" s="2">
        <v>152.13999999999999</v>
      </c>
      <c r="J445" s="2">
        <v>159.09</v>
      </c>
      <c r="K445" s="2">
        <v>43.25</v>
      </c>
      <c r="L445" s="2">
        <v>187.84</v>
      </c>
      <c r="M445" s="64" t="s">
        <v>77</v>
      </c>
      <c r="N445" s="1"/>
      <c r="O445" s="12">
        <f t="shared" si="66"/>
        <v>1.2133382708562568E-2</v>
      </c>
      <c r="P445" s="12">
        <f t="shared" si="67"/>
        <v>3.5716563556349445E-3</v>
      </c>
      <c r="Q445" s="12">
        <f t="shared" si="68"/>
        <v>7.7447335811653417E-4</v>
      </c>
      <c r="R445" s="12">
        <f t="shared" si="69"/>
        <v>2.8540596859418121E-2</v>
      </c>
      <c r="S445" s="12">
        <f t="shared" si="70"/>
        <v>1.2869194365986436E-2</v>
      </c>
      <c r="T445" s="12">
        <f t="shared" si="71"/>
        <v>5.7736720554273369E-3</v>
      </c>
      <c r="U445" s="12">
        <f t="shared" si="72"/>
        <v>4.1811184491851172E-3</v>
      </c>
      <c r="V445" s="12">
        <f t="shared" si="73"/>
        <v>3.3634505045174734E-3</v>
      </c>
      <c r="W445" s="12">
        <f t="shared" si="74"/>
        <v>1.921968095329607E-2</v>
      </c>
      <c r="X445" s="12">
        <f t="shared" si="75"/>
        <v>2.4881516587677677E-2</v>
      </c>
      <c r="Y445" s="12">
        <f t="shared" si="76"/>
        <v>1.398110661268559E-2</v>
      </c>
    </row>
    <row r="446" spans="1:25" x14ac:dyDescent="0.35">
      <c r="A446" s="6">
        <v>44771</v>
      </c>
      <c r="B446" s="8">
        <v>4130.29</v>
      </c>
      <c r="C446" s="2">
        <v>162.51</v>
      </c>
      <c r="D446" s="2">
        <v>130.79</v>
      </c>
      <c r="E446" s="2">
        <v>280.74</v>
      </c>
      <c r="F446" s="2">
        <v>542.34</v>
      </c>
      <c r="G446" s="2">
        <v>174.52</v>
      </c>
      <c r="H446" s="2">
        <v>212.11</v>
      </c>
      <c r="I446" s="2">
        <v>154.02000000000001</v>
      </c>
      <c r="J446" s="2">
        <v>159.31</v>
      </c>
      <c r="K446" s="2">
        <v>44.02</v>
      </c>
      <c r="L446" s="2">
        <v>198.25</v>
      </c>
      <c r="M446" s="64" t="s">
        <v>77</v>
      </c>
      <c r="N446" s="1"/>
      <c r="O446" s="12">
        <f t="shared" si="66"/>
        <v>1.4207733466259809E-2</v>
      </c>
      <c r="P446" s="12">
        <f t="shared" si="67"/>
        <v>3.2793136320305116E-2</v>
      </c>
      <c r="Q446" s="12">
        <f t="shared" si="68"/>
        <v>1.2149822008976852E-2</v>
      </c>
      <c r="R446" s="12">
        <f t="shared" si="69"/>
        <v>1.5665135125357166E-2</v>
      </c>
      <c r="S446" s="12">
        <f t="shared" si="70"/>
        <v>1.5697427468652769E-3</v>
      </c>
      <c r="T446" s="12">
        <f t="shared" si="71"/>
        <v>1.8369690011481588E-3</v>
      </c>
      <c r="U446" s="12">
        <f t="shared" si="72"/>
        <v>3.5959309202744372E-3</v>
      </c>
      <c r="V446" s="12">
        <f t="shared" si="73"/>
        <v>1.2357039568818395E-2</v>
      </c>
      <c r="W446" s="12">
        <f t="shared" si="74"/>
        <v>1.3828650449430047E-3</v>
      </c>
      <c r="X446" s="12">
        <f t="shared" si="75"/>
        <v>1.7803468208092532E-2</v>
      </c>
      <c r="Y446" s="12">
        <f t="shared" si="76"/>
        <v>5.541950596252132E-2</v>
      </c>
    </row>
    <row r="447" spans="1:25" x14ac:dyDescent="0.35">
      <c r="A447" s="6">
        <v>44774</v>
      </c>
      <c r="B447" s="8">
        <v>4118.63</v>
      </c>
      <c r="C447" s="2">
        <v>161.51</v>
      </c>
      <c r="D447" s="2">
        <v>132.04</v>
      </c>
      <c r="E447" s="2">
        <v>278.01</v>
      </c>
      <c r="F447" s="2">
        <v>535.38</v>
      </c>
      <c r="G447" s="2">
        <v>173.91</v>
      </c>
      <c r="H447" s="2">
        <v>211.36</v>
      </c>
      <c r="I447" s="2">
        <v>153.33000000000001</v>
      </c>
      <c r="J447" s="2">
        <v>169.07</v>
      </c>
      <c r="K447" s="2">
        <v>44.18</v>
      </c>
      <c r="L447" s="2">
        <v>194.86</v>
      </c>
      <c r="M447" s="64" t="s">
        <v>77</v>
      </c>
      <c r="N447" s="1"/>
      <c r="O447" s="12">
        <f t="shared" si="66"/>
        <v>-2.8230463236237346E-3</v>
      </c>
      <c r="P447" s="12">
        <f t="shared" si="67"/>
        <v>-6.1534674789244237E-3</v>
      </c>
      <c r="Q447" s="12">
        <f t="shared" si="68"/>
        <v>9.5573056044040428E-3</v>
      </c>
      <c r="R447" s="12">
        <f t="shared" si="69"/>
        <v>-9.7243000641162869E-3</v>
      </c>
      <c r="S447" s="12">
        <f t="shared" si="70"/>
        <v>-1.283327801747991E-2</v>
      </c>
      <c r="T447" s="12">
        <f t="shared" si="71"/>
        <v>-3.4953013981205983E-3</v>
      </c>
      <c r="U447" s="12">
        <f t="shared" si="72"/>
        <v>-3.5359011833482334E-3</v>
      </c>
      <c r="V447" s="12">
        <f t="shared" si="73"/>
        <v>-4.4799376704324212E-3</v>
      </c>
      <c r="W447" s="12">
        <f t="shared" si="74"/>
        <v>6.1264201870566692E-2</v>
      </c>
      <c r="X447" s="12">
        <f t="shared" si="75"/>
        <v>3.6347114947750114E-3</v>
      </c>
      <c r="Y447" s="12">
        <f t="shared" si="76"/>
        <v>-1.7099621689785516E-2</v>
      </c>
    </row>
    <row r="448" spans="1:25" x14ac:dyDescent="0.35">
      <c r="A448" s="6">
        <v>44775</v>
      </c>
      <c r="B448" s="8">
        <v>4091.19</v>
      </c>
      <c r="C448" s="2">
        <v>160.01</v>
      </c>
      <c r="D448" s="2">
        <v>131.81</v>
      </c>
      <c r="E448" s="2">
        <v>274.82</v>
      </c>
      <c r="F448" s="2">
        <v>535.46</v>
      </c>
      <c r="G448" s="2">
        <v>172.92</v>
      </c>
      <c r="H448" s="2">
        <v>206.26</v>
      </c>
      <c r="I448" s="2">
        <v>151.6</v>
      </c>
      <c r="J448" s="2">
        <v>163.28</v>
      </c>
      <c r="K448" s="2">
        <v>44.23</v>
      </c>
      <c r="L448" s="2">
        <v>183.51</v>
      </c>
      <c r="M448" s="64">
        <v>5.0999999999999996</v>
      </c>
      <c r="N448" s="1"/>
      <c r="O448" s="12">
        <f t="shared" si="66"/>
        <v>-6.6624095876541833E-3</v>
      </c>
      <c r="P448" s="12">
        <f t="shared" si="67"/>
        <v>-9.2873506284441021E-3</v>
      </c>
      <c r="Q448" s="12">
        <f t="shared" si="68"/>
        <v>-1.7418963950317501E-3</v>
      </c>
      <c r="R448" s="12">
        <f t="shared" si="69"/>
        <v>-1.1474407395417385E-2</v>
      </c>
      <c r="S448" s="12">
        <f t="shared" si="70"/>
        <v>1.494265755166424E-4</v>
      </c>
      <c r="T448" s="12">
        <f t="shared" si="71"/>
        <v>-5.6925996204933993E-3</v>
      </c>
      <c r="U448" s="12">
        <f t="shared" si="72"/>
        <v>-2.4129447388342218E-2</v>
      </c>
      <c r="V448" s="12">
        <f t="shared" si="73"/>
        <v>-1.1282853975086549E-2</v>
      </c>
      <c r="W448" s="12">
        <f t="shared" si="74"/>
        <v>-3.424617022535037E-2</v>
      </c>
      <c r="X448" s="12">
        <f t="shared" si="75"/>
        <v>1.1317338162064594E-3</v>
      </c>
      <c r="Y448" s="12">
        <f t="shared" si="76"/>
        <v>-5.824694652571083E-2</v>
      </c>
    </row>
    <row r="449" spans="1:25" x14ac:dyDescent="0.35">
      <c r="A449" s="6">
        <v>44776</v>
      </c>
      <c r="B449" s="8">
        <v>4155.17</v>
      </c>
      <c r="C449" s="2">
        <v>166.13</v>
      </c>
      <c r="D449" s="2">
        <v>132.34</v>
      </c>
      <c r="E449" s="2">
        <v>282.47000000000003</v>
      </c>
      <c r="F449" s="2">
        <v>540.65</v>
      </c>
      <c r="G449" s="2">
        <v>174.59</v>
      </c>
      <c r="H449" s="2">
        <v>208.48</v>
      </c>
      <c r="I449" s="2">
        <v>155.43</v>
      </c>
      <c r="J449" s="2">
        <v>166.64</v>
      </c>
      <c r="K449" s="2">
        <v>43.5</v>
      </c>
      <c r="L449" s="2">
        <v>182.87</v>
      </c>
      <c r="M449" s="64" t="s">
        <v>77</v>
      </c>
      <c r="N449" s="1"/>
      <c r="O449" s="12">
        <f t="shared" si="66"/>
        <v>1.5638481713144525E-2</v>
      </c>
      <c r="P449" s="12">
        <f t="shared" si="67"/>
        <v>3.8247609524404647E-2</v>
      </c>
      <c r="Q449" s="12">
        <f t="shared" si="68"/>
        <v>4.020939230710896E-3</v>
      </c>
      <c r="R449" s="12">
        <f t="shared" si="69"/>
        <v>2.7836402008587502E-2</v>
      </c>
      <c r="S449" s="12">
        <f t="shared" si="70"/>
        <v>9.6926007544912984E-3</v>
      </c>
      <c r="T449" s="12">
        <f t="shared" si="71"/>
        <v>9.657645153828387E-3</v>
      </c>
      <c r="U449" s="12">
        <f t="shared" si="72"/>
        <v>1.0763114515659922E-2</v>
      </c>
      <c r="V449" s="12">
        <f t="shared" si="73"/>
        <v>2.5263852242744189E-2</v>
      </c>
      <c r="W449" s="12">
        <f t="shared" si="74"/>
        <v>2.0578147966682891E-2</v>
      </c>
      <c r="X449" s="12">
        <f t="shared" si="75"/>
        <v>-1.6504634863214962E-2</v>
      </c>
      <c r="Y449" s="12">
        <f t="shared" si="76"/>
        <v>-3.4875483624869918E-3</v>
      </c>
    </row>
    <row r="450" spans="1:25" x14ac:dyDescent="0.35">
      <c r="A450" s="6">
        <v>44777</v>
      </c>
      <c r="B450" s="8">
        <v>4151.9399999999996</v>
      </c>
      <c r="C450" s="2">
        <v>165.81</v>
      </c>
      <c r="D450" s="2">
        <v>131.63999999999999</v>
      </c>
      <c r="E450" s="2">
        <v>283.64999999999998</v>
      </c>
      <c r="F450" s="2">
        <v>533.75</v>
      </c>
      <c r="G450" s="2">
        <v>171.79</v>
      </c>
      <c r="H450" s="2">
        <v>213.47</v>
      </c>
      <c r="I450" s="2">
        <v>156.87</v>
      </c>
      <c r="J450" s="2">
        <v>166.5</v>
      </c>
      <c r="K450" s="2">
        <v>41.86</v>
      </c>
      <c r="L450" s="2">
        <v>183.64</v>
      </c>
      <c r="M450" s="64" t="s">
        <v>77</v>
      </c>
      <c r="N450" s="1"/>
      <c r="O450" s="12">
        <f t="shared" si="66"/>
        <v>-7.7734484990998887E-4</v>
      </c>
      <c r="P450" s="12">
        <f t="shared" si="67"/>
        <v>-1.9262023716366539E-3</v>
      </c>
      <c r="Q450" s="12">
        <f t="shared" si="68"/>
        <v>-5.2894060752608496E-3</v>
      </c>
      <c r="R450" s="12">
        <f t="shared" si="69"/>
        <v>4.1774347718339655E-3</v>
      </c>
      <c r="S450" s="12">
        <f t="shared" si="70"/>
        <v>-1.2762415610838795E-2</v>
      </c>
      <c r="T450" s="12">
        <f t="shared" si="71"/>
        <v>-1.6037573744200784E-2</v>
      </c>
      <c r="U450" s="12">
        <f t="shared" si="72"/>
        <v>2.3935149654643162E-2</v>
      </c>
      <c r="V450" s="12">
        <f t="shared" si="73"/>
        <v>9.2646207295887795E-3</v>
      </c>
      <c r="W450" s="12">
        <f t="shared" si="74"/>
        <v>-8.4013442150732143E-4</v>
      </c>
      <c r="X450" s="12">
        <f t="shared" si="75"/>
        <v>-3.770114942528735E-2</v>
      </c>
      <c r="Y450" s="12">
        <f t="shared" si="76"/>
        <v>4.2106414392737435E-3</v>
      </c>
    </row>
    <row r="451" spans="1:25" x14ac:dyDescent="0.35">
      <c r="A451" s="6">
        <v>44778</v>
      </c>
      <c r="B451" s="8">
        <v>4145.1899999999996</v>
      </c>
      <c r="C451" s="2">
        <v>165.35</v>
      </c>
      <c r="D451" s="2">
        <v>132.47999999999999</v>
      </c>
      <c r="E451" s="2">
        <v>282.91000000000003</v>
      </c>
      <c r="F451" s="2">
        <v>535.05999999999995</v>
      </c>
      <c r="G451" s="2">
        <v>171.11</v>
      </c>
      <c r="H451" s="2">
        <v>215.87</v>
      </c>
      <c r="I451" s="2">
        <v>157.51</v>
      </c>
      <c r="J451" s="2">
        <v>165.04</v>
      </c>
      <c r="K451" s="2">
        <v>42.19</v>
      </c>
      <c r="L451" s="2">
        <v>185.39</v>
      </c>
      <c r="M451" s="64" t="s">
        <v>77</v>
      </c>
      <c r="N451" s="1"/>
      <c r="O451" s="12">
        <f t="shared" si="66"/>
        <v>-1.6257460367924415E-3</v>
      </c>
      <c r="P451" s="12">
        <f t="shared" si="67"/>
        <v>-2.7742596948314713E-3</v>
      </c>
      <c r="Q451" s="12">
        <f t="shared" si="68"/>
        <v>6.3810391978122993E-3</v>
      </c>
      <c r="R451" s="12">
        <f t="shared" si="69"/>
        <v>-2.6088489335447385E-3</v>
      </c>
      <c r="S451" s="12">
        <f t="shared" si="70"/>
        <v>2.454332552693117E-3</v>
      </c>
      <c r="T451" s="12">
        <f t="shared" si="71"/>
        <v>-3.9583212061236051E-3</v>
      </c>
      <c r="U451" s="12">
        <f t="shared" si="72"/>
        <v>1.1242797582798447E-2</v>
      </c>
      <c r="V451" s="12">
        <f t="shared" si="73"/>
        <v>4.0798113087268106E-3</v>
      </c>
      <c r="W451" s="12">
        <f t="shared" si="74"/>
        <v>-8.7687687687688642E-3</v>
      </c>
      <c r="X451" s="12">
        <f t="shared" si="75"/>
        <v>7.8834209268991984E-3</v>
      </c>
      <c r="Y451" s="12">
        <f t="shared" si="76"/>
        <v>9.5295142670441813E-3</v>
      </c>
    </row>
    <row r="452" spans="1:25" x14ac:dyDescent="0.35">
      <c r="A452" s="6">
        <v>44781</v>
      </c>
      <c r="B452" s="8">
        <v>4140.0600000000004</v>
      </c>
      <c r="C452" s="2">
        <v>164.87</v>
      </c>
      <c r="D452" s="2">
        <v>132.61000000000001</v>
      </c>
      <c r="E452" s="2">
        <v>280.32</v>
      </c>
      <c r="F452" s="2">
        <v>536.6</v>
      </c>
      <c r="G452" s="2">
        <v>170.2</v>
      </c>
      <c r="H452" s="2">
        <v>213.32</v>
      </c>
      <c r="I452" s="2">
        <v>157.28</v>
      </c>
      <c r="J452" s="2">
        <v>165.89</v>
      </c>
      <c r="K452" s="2">
        <v>42.54</v>
      </c>
      <c r="L452" s="2">
        <v>185.81</v>
      </c>
      <c r="M452" s="64" t="s">
        <v>77</v>
      </c>
      <c r="N452" s="1"/>
      <c r="O452" s="12">
        <f t="shared" si="66"/>
        <v>-1.2375789770792123E-3</v>
      </c>
      <c r="P452" s="12">
        <f t="shared" si="67"/>
        <v>-2.9029331720592522E-3</v>
      </c>
      <c r="Q452" s="12">
        <f t="shared" si="68"/>
        <v>9.8128019323695526E-4</v>
      </c>
      <c r="R452" s="12">
        <f t="shared" si="69"/>
        <v>-9.1548549008519942E-3</v>
      </c>
      <c r="S452" s="12">
        <f t="shared" si="70"/>
        <v>2.8781818861438602E-3</v>
      </c>
      <c r="T452" s="12">
        <f t="shared" si="71"/>
        <v>-5.3182163520544279E-3</v>
      </c>
      <c r="U452" s="12">
        <f t="shared" si="72"/>
        <v>-1.1812665029879099E-2</v>
      </c>
      <c r="V452" s="12">
        <f t="shared" si="73"/>
        <v>-1.4602247476349639E-3</v>
      </c>
      <c r="W452" s="12">
        <f t="shared" si="74"/>
        <v>5.150266602035769E-3</v>
      </c>
      <c r="X452" s="12">
        <f t="shared" si="75"/>
        <v>8.295804693055242E-3</v>
      </c>
      <c r="Y452" s="12">
        <f t="shared" si="76"/>
        <v>2.2654943632343105E-3</v>
      </c>
    </row>
    <row r="453" spans="1:25" x14ac:dyDescent="0.35">
      <c r="A453" s="6">
        <v>44782</v>
      </c>
      <c r="B453" s="8">
        <v>4122.47</v>
      </c>
      <c r="C453" s="2">
        <v>164.92</v>
      </c>
      <c r="D453" s="2">
        <v>129.47</v>
      </c>
      <c r="E453" s="2">
        <v>282.3</v>
      </c>
      <c r="F453" s="2">
        <v>537.26</v>
      </c>
      <c r="G453" s="2">
        <v>170.18</v>
      </c>
      <c r="H453" s="2">
        <v>210.26</v>
      </c>
      <c r="I453" s="2">
        <v>158.80000000000001</v>
      </c>
      <c r="J453" s="2">
        <v>164.85</v>
      </c>
      <c r="K453" s="2">
        <v>42.96</v>
      </c>
      <c r="L453" s="2">
        <v>186.03</v>
      </c>
      <c r="M453" s="64">
        <v>5.2</v>
      </c>
      <c r="N453" s="1"/>
      <c r="O453" s="12">
        <f t="shared" ref="O453:O516" si="77">(B453/B452)-1</f>
        <v>-4.248730694724312E-3</v>
      </c>
      <c r="P453" s="12">
        <f t="shared" ref="P453:P516" si="78">(C453/C452)-1</f>
        <v>3.0326924243340159E-4</v>
      </c>
      <c r="Q453" s="12">
        <f t="shared" ref="Q453:Q516" si="79">(D453/D452)-1</f>
        <v>-2.3678455621748085E-2</v>
      </c>
      <c r="R453" s="12">
        <f t="shared" ref="R453:R516" si="80">(E453/E452)-1</f>
        <v>7.0633561643835829E-3</v>
      </c>
      <c r="S453" s="12">
        <f t="shared" ref="S453:S516" si="81">(F453/F452)-1</f>
        <v>1.2299664554602519E-3</v>
      </c>
      <c r="T453" s="12">
        <f t="shared" ref="T453:T516" si="82">(G453/G452)-1</f>
        <v>-1.1750881316086037E-4</v>
      </c>
      <c r="U453" s="12">
        <f t="shared" ref="U453:U516" si="83">(H453/H452)-1</f>
        <v>-1.434464654040879E-2</v>
      </c>
      <c r="V453" s="12">
        <f t="shared" ref="V453:V516" si="84">(I453/I452)-1</f>
        <v>9.6642929806713962E-3</v>
      </c>
      <c r="W453" s="12">
        <f t="shared" ref="W453:W516" si="85">(J453/J452)-1</f>
        <v>-6.2692145397552634E-3</v>
      </c>
      <c r="X453" s="12">
        <f t="shared" ref="X453:X516" si="86">(K453/K452)-1</f>
        <v>9.873060648801113E-3</v>
      </c>
      <c r="Y453" s="12">
        <f t="shared" ref="Y453:Y516" si="87">(L453/L452)-1</f>
        <v>1.1840051665679141E-3</v>
      </c>
    </row>
    <row r="454" spans="1:25" x14ac:dyDescent="0.35">
      <c r="A454" s="6">
        <v>44783</v>
      </c>
      <c r="B454" s="8">
        <v>4210.24</v>
      </c>
      <c r="C454" s="2">
        <v>169.24</v>
      </c>
      <c r="D454" s="2">
        <v>131.5</v>
      </c>
      <c r="E454" s="2">
        <v>289.16000000000003</v>
      </c>
      <c r="F454" s="2">
        <v>537.72</v>
      </c>
      <c r="G454" s="2">
        <v>170.67</v>
      </c>
      <c r="H454" s="2">
        <v>212.1</v>
      </c>
      <c r="I454" s="2">
        <v>162.44</v>
      </c>
      <c r="J454" s="2">
        <v>169.02</v>
      </c>
      <c r="K454" s="2">
        <v>43.05</v>
      </c>
      <c r="L454" s="2">
        <v>190.72</v>
      </c>
      <c r="M454" s="64" t="s">
        <v>77</v>
      </c>
      <c r="N454" s="1"/>
      <c r="O454" s="12">
        <f t="shared" si="77"/>
        <v>2.1290634013103604E-2</v>
      </c>
      <c r="P454" s="12">
        <f t="shared" si="78"/>
        <v>2.6194518554450763E-2</v>
      </c>
      <c r="Q454" s="12">
        <f t="shared" si="79"/>
        <v>1.5679307947787047E-2</v>
      </c>
      <c r="R454" s="12">
        <f t="shared" si="80"/>
        <v>2.4300389656394028E-2</v>
      </c>
      <c r="S454" s="12">
        <f t="shared" si="81"/>
        <v>8.5619625507216135E-4</v>
      </c>
      <c r="T454" s="12">
        <f t="shared" si="82"/>
        <v>2.879304266071081E-3</v>
      </c>
      <c r="U454" s="12">
        <f t="shared" si="83"/>
        <v>8.7510701036812577E-3</v>
      </c>
      <c r="V454" s="12">
        <f t="shared" si="84"/>
        <v>2.2921914357682427E-2</v>
      </c>
      <c r="W454" s="12">
        <f t="shared" si="85"/>
        <v>2.5295723384895386E-2</v>
      </c>
      <c r="X454" s="12">
        <f t="shared" si="86"/>
        <v>2.0949720670391248E-3</v>
      </c>
      <c r="Y454" s="12">
        <f t="shared" si="87"/>
        <v>2.5210987475138502E-2</v>
      </c>
    </row>
    <row r="455" spans="1:25" x14ac:dyDescent="0.35">
      <c r="A455" s="6">
        <v>44784</v>
      </c>
      <c r="B455" s="8">
        <v>4207.2700000000004</v>
      </c>
      <c r="C455" s="2">
        <v>168.49</v>
      </c>
      <c r="D455" s="2">
        <v>132.54</v>
      </c>
      <c r="E455" s="2">
        <v>287.02</v>
      </c>
      <c r="F455" s="2">
        <v>532.86</v>
      </c>
      <c r="G455" s="2">
        <v>167.14</v>
      </c>
      <c r="H455" s="2">
        <v>211.08</v>
      </c>
      <c r="I455" s="2">
        <v>162.99</v>
      </c>
      <c r="J455" s="2">
        <v>167.88</v>
      </c>
      <c r="K455" s="2">
        <v>43.27</v>
      </c>
      <c r="L455" s="2">
        <v>194</v>
      </c>
      <c r="M455" s="64" t="s">
        <v>77</v>
      </c>
      <c r="N455" s="1"/>
      <c r="O455" s="12">
        <f t="shared" si="77"/>
        <v>-7.0542296876174859E-4</v>
      </c>
      <c r="P455" s="12">
        <f t="shared" si="78"/>
        <v>-4.4315764594659024E-3</v>
      </c>
      <c r="Q455" s="12">
        <f t="shared" si="79"/>
        <v>7.9087452471482411E-3</v>
      </c>
      <c r="R455" s="12">
        <f t="shared" si="80"/>
        <v>-7.4007469912852342E-3</v>
      </c>
      <c r="S455" s="12">
        <f t="shared" si="81"/>
        <v>-9.0381611247489779E-3</v>
      </c>
      <c r="T455" s="12">
        <f t="shared" si="82"/>
        <v>-2.0683189781449562E-2</v>
      </c>
      <c r="U455" s="12">
        <f t="shared" si="83"/>
        <v>-4.8090523338046864E-3</v>
      </c>
      <c r="V455" s="12">
        <f t="shared" si="84"/>
        <v>3.3858655503571367E-3</v>
      </c>
      <c r="W455" s="12">
        <f t="shared" si="85"/>
        <v>-6.7447639332623988E-3</v>
      </c>
      <c r="X455" s="12">
        <f t="shared" si="86"/>
        <v>5.1103368176539377E-3</v>
      </c>
      <c r="Y455" s="12">
        <f t="shared" si="87"/>
        <v>1.719798657718119E-2</v>
      </c>
    </row>
    <row r="456" spans="1:25" x14ac:dyDescent="0.35">
      <c r="A456" s="6">
        <v>44785</v>
      </c>
      <c r="B456" s="8">
        <v>4280.1499999999996</v>
      </c>
      <c r="C456" s="2">
        <v>172.1</v>
      </c>
      <c r="D456" s="2">
        <v>134.01</v>
      </c>
      <c r="E456" s="2">
        <v>291.91000000000003</v>
      </c>
      <c r="F456" s="2">
        <v>543.70000000000005</v>
      </c>
      <c r="G456" s="2">
        <v>165.3</v>
      </c>
      <c r="H456" s="2">
        <v>211.33</v>
      </c>
      <c r="I456" s="2">
        <v>165.84</v>
      </c>
      <c r="J456" s="2">
        <v>169.99</v>
      </c>
      <c r="K456" s="2">
        <v>44.07</v>
      </c>
      <c r="L456" s="2">
        <v>196.84</v>
      </c>
      <c r="M456" s="64" t="s">
        <v>77</v>
      </c>
      <c r="N456" s="1"/>
      <c r="O456" s="12">
        <f t="shared" si="77"/>
        <v>1.7322396708554288E-2</v>
      </c>
      <c r="P456" s="12">
        <f t="shared" si="78"/>
        <v>2.1425603893405976E-2</v>
      </c>
      <c r="Q456" s="12">
        <f t="shared" si="79"/>
        <v>1.109099139882308E-2</v>
      </c>
      <c r="R456" s="12">
        <f t="shared" si="80"/>
        <v>1.7037140268970852E-2</v>
      </c>
      <c r="S456" s="12">
        <f t="shared" si="81"/>
        <v>2.0343054460834065E-2</v>
      </c>
      <c r="T456" s="12">
        <f t="shared" si="82"/>
        <v>-1.1008735192054364E-2</v>
      </c>
      <c r="U456" s="12">
        <f t="shared" si="83"/>
        <v>1.1843850672730305E-3</v>
      </c>
      <c r="V456" s="12">
        <f t="shared" si="84"/>
        <v>1.7485735321185247E-2</v>
      </c>
      <c r="W456" s="12">
        <f t="shared" si="85"/>
        <v>1.2568501310459945E-2</v>
      </c>
      <c r="X456" s="12">
        <f t="shared" si="86"/>
        <v>1.8488560203374194E-2</v>
      </c>
      <c r="Y456" s="12">
        <f t="shared" si="87"/>
        <v>1.4639175257731951E-2</v>
      </c>
    </row>
    <row r="457" spans="1:25" x14ac:dyDescent="0.35">
      <c r="A457" s="6">
        <v>44788</v>
      </c>
      <c r="B457" s="8">
        <v>4297.1400000000003</v>
      </c>
      <c r="C457" s="2">
        <v>173.19</v>
      </c>
      <c r="D457" s="2">
        <v>134.93</v>
      </c>
      <c r="E457" s="2">
        <v>293.47000000000003</v>
      </c>
      <c r="F457" s="2">
        <v>544.64</v>
      </c>
      <c r="G457" s="2">
        <v>166.09</v>
      </c>
      <c r="H457" s="2">
        <v>216.42</v>
      </c>
      <c r="I457" s="2">
        <v>165.4</v>
      </c>
      <c r="J457" s="2">
        <v>170.47</v>
      </c>
      <c r="K457" s="2">
        <v>44.2</v>
      </c>
      <c r="L457" s="2">
        <v>195.95</v>
      </c>
      <c r="M457" s="64" t="s">
        <v>77</v>
      </c>
      <c r="N457" s="1"/>
      <c r="O457" s="12">
        <f t="shared" si="77"/>
        <v>3.96948705068767E-3</v>
      </c>
      <c r="P457" s="12">
        <f t="shared" si="78"/>
        <v>6.3335270191748894E-3</v>
      </c>
      <c r="Q457" s="12">
        <f t="shared" si="79"/>
        <v>6.8651593164690272E-3</v>
      </c>
      <c r="R457" s="12">
        <f t="shared" si="80"/>
        <v>5.3441129115139319E-3</v>
      </c>
      <c r="S457" s="12">
        <f t="shared" si="81"/>
        <v>1.7288946109985659E-3</v>
      </c>
      <c r="T457" s="12">
        <f t="shared" si="82"/>
        <v>4.7791893526920592E-3</v>
      </c>
      <c r="U457" s="12">
        <f t="shared" si="83"/>
        <v>2.408555339989582E-2</v>
      </c>
      <c r="V457" s="12">
        <f t="shared" si="84"/>
        <v>-2.6531596719729933E-3</v>
      </c>
      <c r="W457" s="12">
        <f t="shared" si="85"/>
        <v>2.8236955115006346E-3</v>
      </c>
      <c r="X457" s="12">
        <f t="shared" si="86"/>
        <v>2.9498525073747839E-3</v>
      </c>
      <c r="Y457" s="12">
        <f t="shared" si="87"/>
        <v>-4.5214387319650884E-3</v>
      </c>
    </row>
    <row r="458" spans="1:25" x14ac:dyDescent="0.35">
      <c r="A458" s="6">
        <v>44789</v>
      </c>
      <c r="B458" s="8">
        <v>4305.2</v>
      </c>
      <c r="C458" s="2">
        <v>173.03</v>
      </c>
      <c r="D458" s="2">
        <v>136.56</v>
      </c>
      <c r="E458" s="2">
        <v>292.70999999999998</v>
      </c>
      <c r="F458" s="2">
        <v>546.12</v>
      </c>
      <c r="G458" s="2">
        <v>167.57</v>
      </c>
      <c r="H458" s="2">
        <v>217.14</v>
      </c>
      <c r="I458" s="2">
        <v>165.35</v>
      </c>
      <c r="J458" s="2">
        <v>172.08</v>
      </c>
      <c r="K458" s="2">
        <v>46.46</v>
      </c>
      <c r="L458" s="2">
        <v>197.52</v>
      </c>
      <c r="M458" s="64">
        <v>5.2</v>
      </c>
      <c r="N458" s="1"/>
      <c r="O458" s="12">
        <f t="shared" si="77"/>
        <v>1.8756661407353103E-3</v>
      </c>
      <c r="P458" s="12">
        <f t="shared" si="78"/>
        <v>-9.2384086841035273E-4</v>
      </c>
      <c r="Q458" s="12">
        <f t="shared" si="79"/>
        <v>1.2080337953012554E-2</v>
      </c>
      <c r="R458" s="12">
        <f t="shared" si="80"/>
        <v>-2.589702524960158E-3</v>
      </c>
      <c r="S458" s="12">
        <f t="shared" si="81"/>
        <v>2.7173913043478937E-3</v>
      </c>
      <c r="T458" s="12">
        <f t="shared" si="82"/>
        <v>8.9108314769099639E-3</v>
      </c>
      <c r="U458" s="12">
        <f t="shared" si="83"/>
        <v>3.3268644302744121E-3</v>
      </c>
      <c r="V458" s="12">
        <f t="shared" si="84"/>
        <v>-3.0229746070142838E-4</v>
      </c>
      <c r="W458" s="12">
        <f t="shared" si="85"/>
        <v>9.4444770340822437E-3</v>
      </c>
      <c r="X458" s="12">
        <f t="shared" si="86"/>
        <v>5.1131221719457054E-2</v>
      </c>
      <c r="Y458" s="12">
        <f t="shared" si="87"/>
        <v>8.0122480224549264E-3</v>
      </c>
    </row>
    <row r="459" spans="1:25" x14ac:dyDescent="0.35">
      <c r="A459" s="6">
        <v>44790</v>
      </c>
      <c r="B459" s="8">
        <v>4274.04</v>
      </c>
      <c r="C459" s="2">
        <v>174.55</v>
      </c>
      <c r="D459" s="2">
        <v>137.79</v>
      </c>
      <c r="E459" s="2">
        <v>291.32</v>
      </c>
      <c r="F459" s="2">
        <v>545</v>
      </c>
      <c r="G459" s="2">
        <v>167.58</v>
      </c>
      <c r="H459" s="2">
        <v>214.52</v>
      </c>
      <c r="I459" s="2">
        <v>163.9</v>
      </c>
      <c r="J459" s="2">
        <v>167.2</v>
      </c>
      <c r="K459" s="2">
        <v>46.51</v>
      </c>
      <c r="L459" s="2">
        <v>195.93</v>
      </c>
      <c r="M459" s="64" t="s">
        <v>77</v>
      </c>
      <c r="N459" s="1"/>
      <c r="O459" s="12">
        <f t="shared" si="77"/>
        <v>-7.2377589891293725E-3</v>
      </c>
      <c r="P459" s="12">
        <f t="shared" si="78"/>
        <v>8.7846038259262738E-3</v>
      </c>
      <c r="Q459" s="12">
        <f t="shared" si="79"/>
        <v>9.0070298769771018E-3</v>
      </c>
      <c r="R459" s="12">
        <f t="shared" si="80"/>
        <v>-4.7487274093812593E-3</v>
      </c>
      <c r="S459" s="12">
        <f t="shared" si="81"/>
        <v>-2.0508313191239802E-3</v>
      </c>
      <c r="T459" s="12">
        <f t="shared" si="82"/>
        <v>5.9676553082477213E-5</v>
      </c>
      <c r="U459" s="12">
        <f t="shared" si="83"/>
        <v>-1.2065948236160917E-2</v>
      </c>
      <c r="V459" s="12">
        <f t="shared" si="84"/>
        <v>-8.7692772905956229E-3</v>
      </c>
      <c r="W459" s="12">
        <f t="shared" si="85"/>
        <v>-2.8358902835890376E-2</v>
      </c>
      <c r="X459" s="12">
        <f t="shared" si="86"/>
        <v>1.0761945759791836E-3</v>
      </c>
      <c r="Y459" s="12">
        <f t="shared" si="87"/>
        <v>-8.0498177399757065E-3</v>
      </c>
    </row>
    <row r="460" spans="1:25" x14ac:dyDescent="0.35">
      <c r="A460" s="6">
        <v>44791</v>
      </c>
      <c r="B460" s="8">
        <v>4283.74</v>
      </c>
      <c r="C460" s="2">
        <v>174.15</v>
      </c>
      <c r="D460" s="2">
        <v>139.07</v>
      </c>
      <c r="E460" s="2">
        <v>290.17</v>
      </c>
      <c r="F460" s="2">
        <v>545.22</v>
      </c>
      <c r="G460" s="2">
        <v>166.77</v>
      </c>
      <c r="H460" s="2">
        <v>215.25</v>
      </c>
      <c r="I460" s="2">
        <v>164.65</v>
      </c>
      <c r="J460" s="2">
        <v>168.69</v>
      </c>
      <c r="K460" s="2">
        <v>46.36</v>
      </c>
      <c r="L460" s="2">
        <v>197.35</v>
      </c>
      <c r="M460" s="64" t="s">
        <v>77</v>
      </c>
      <c r="N460" s="1"/>
      <c r="O460" s="12">
        <f t="shared" si="77"/>
        <v>2.2695154935377104E-3</v>
      </c>
      <c r="P460" s="12">
        <f t="shared" si="78"/>
        <v>-2.2916069894013402E-3</v>
      </c>
      <c r="Q460" s="12">
        <f t="shared" si="79"/>
        <v>9.289498512228711E-3</v>
      </c>
      <c r="R460" s="12">
        <f t="shared" si="80"/>
        <v>-3.9475490869146368E-3</v>
      </c>
      <c r="S460" s="12">
        <f t="shared" si="81"/>
        <v>4.036697247706833E-4</v>
      </c>
      <c r="T460" s="12">
        <f t="shared" si="82"/>
        <v>-4.8335123523093326E-3</v>
      </c>
      <c r="U460" s="12">
        <f t="shared" si="83"/>
        <v>3.402946112250449E-3</v>
      </c>
      <c r="V460" s="12">
        <f t="shared" si="84"/>
        <v>4.5759609517999067E-3</v>
      </c>
      <c r="W460" s="12">
        <f t="shared" si="85"/>
        <v>8.9114832535885924E-3</v>
      </c>
      <c r="X460" s="12">
        <f t="shared" si="86"/>
        <v>-3.2251128789507755E-3</v>
      </c>
      <c r="Y460" s="12">
        <f t="shared" si="87"/>
        <v>7.2474863471647666E-3</v>
      </c>
    </row>
    <row r="461" spans="1:25" x14ac:dyDescent="0.35">
      <c r="A461" s="6">
        <v>44792</v>
      </c>
      <c r="B461" s="8">
        <v>4228.4799999999996</v>
      </c>
      <c r="C461" s="2">
        <v>171.52</v>
      </c>
      <c r="D461" s="2">
        <v>138.37</v>
      </c>
      <c r="E461" s="2">
        <v>286.14999999999998</v>
      </c>
      <c r="F461" s="2">
        <v>548.32000000000005</v>
      </c>
      <c r="G461" s="2">
        <v>169.31</v>
      </c>
      <c r="H461" s="2">
        <v>212.82</v>
      </c>
      <c r="I461" s="2">
        <v>162.24</v>
      </c>
      <c r="J461" s="2">
        <v>162.91999999999999</v>
      </c>
      <c r="K461" s="2">
        <v>45.67</v>
      </c>
      <c r="L461" s="2">
        <v>195.6</v>
      </c>
      <c r="M461" s="64" t="s">
        <v>77</v>
      </c>
      <c r="N461" s="1"/>
      <c r="O461" s="12">
        <f t="shared" si="77"/>
        <v>-1.2899942573545653E-2</v>
      </c>
      <c r="P461" s="12">
        <f t="shared" si="78"/>
        <v>-1.510192362905538E-2</v>
      </c>
      <c r="Q461" s="12">
        <f t="shared" si="79"/>
        <v>-5.03343639893572E-3</v>
      </c>
      <c r="R461" s="12">
        <f t="shared" si="80"/>
        <v>-1.3853947685839474E-2</v>
      </c>
      <c r="S461" s="12">
        <f t="shared" si="81"/>
        <v>5.685778217967119E-3</v>
      </c>
      <c r="T461" s="12">
        <f t="shared" si="82"/>
        <v>1.5230557054626059E-2</v>
      </c>
      <c r="U461" s="12">
        <f t="shared" si="83"/>
        <v>-1.1289198606271755E-2</v>
      </c>
      <c r="V461" s="12">
        <f t="shared" si="84"/>
        <v>-1.4637109019131511E-2</v>
      </c>
      <c r="W461" s="12">
        <f t="shared" si="85"/>
        <v>-3.4204754283004402E-2</v>
      </c>
      <c r="X461" s="12">
        <f t="shared" si="86"/>
        <v>-1.4883520276100071E-2</v>
      </c>
      <c r="Y461" s="12">
        <f t="shared" si="87"/>
        <v>-8.8674942994679817E-3</v>
      </c>
    </row>
    <row r="462" spans="1:25" x14ac:dyDescent="0.35">
      <c r="A462" s="6">
        <v>44795</v>
      </c>
      <c r="B462" s="8">
        <v>4137.99</v>
      </c>
      <c r="C462" s="2">
        <v>167.57</v>
      </c>
      <c r="D462" s="2">
        <v>135.55000000000001</v>
      </c>
      <c r="E462" s="2">
        <v>277.75</v>
      </c>
      <c r="F462" s="2">
        <v>544.57000000000005</v>
      </c>
      <c r="G462" s="2">
        <v>167.59</v>
      </c>
      <c r="H462" s="2">
        <v>208.61</v>
      </c>
      <c r="I462" s="2">
        <v>157.69999999999999</v>
      </c>
      <c r="J462" s="2">
        <v>158.97999999999999</v>
      </c>
      <c r="K462" s="2">
        <v>44.86</v>
      </c>
      <c r="L462" s="2">
        <v>191.76</v>
      </c>
      <c r="M462" s="64" t="s">
        <v>77</v>
      </c>
      <c r="N462" s="1"/>
      <c r="O462" s="12">
        <f t="shared" si="77"/>
        <v>-2.1400124867564707E-2</v>
      </c>
      <c r="P462" s="12">
        <f t="shared" si="78"/>
        <v>-2.3029384328358327E-2</v>
      </c>
      <c r="Q462" s="12">
        <f t="shared" si="79"/>
        <v>-2.03801402038013E-2</v>
      </c>
      <c r="R462" s="12">
        <f t="shared" si="80"/>
        <v>-2.9355233269264258E-2</v>
      </c>
      <c r="S462" s="12">
        <f t="shared" si="81"/>
        <v>-6.8390720747009137E-3</v>
      </c>
      <c r="T462" s="12">
        <f t="shared" si="82"/>
        <v>-1.0158880160652028E-2</v>
      </c>
      <c r="U462" s="12">
        <f t="shared" si="83"/>
        <v>-1.978197537825388E-2</v>
      </c>
      <c r="V462" s="12">
        <f t="shared" si="84"/>
        <v>-2.7983234714004102E-2</v>
      </c>
      <c r="W462" s="12">
        <f t="shared" si="85"/>
        <v>-2.4183648416400638E-2</v>
      </c>
      <c r="X462" s="12">
        <f t="shared" si="86"/>
        <v>-1.7735931683818706E-2</v>
      </c>
      <c r="Y462" s="12">
        <f t="shared" si="87"/>
        <v>-1.9631901840490795E-2</v>
      </c>
    </row>
    <row r="463" spans="1:25" x14ac:dyDescent="0.35">
      <c r="A463" s="6">
        <v>44796</v>
      </c>
      <c r="B463" s="8">
        <v>4128.7299999999996</v>
      </c>
      <c r="C463" s="2">
        <v>167.23</v>
      </c>
      <c r="D463" s="2">
        <v>134.74</v>
      </c>
      <c r="E463" s="2">
        <v>276.44</v>
      </c>
      <c r="F463" s="2">
        <v>535.79999999999995</v>
      </c>
      <c r="G463" s="2">
        <v>166.13</v>
      </c>
      <c r="H463" s="2">
        <v>206.8</v>
      </c>
      <c r="I463" s="2">
        <v>157.33000000000001</v>
      </c>
      <c r="J463" s="2">
        <v>160.07</v>
      </c>
      <c r="K463" s="2">
        <v>44.67</v>
      </c>
      <c r="L463" s="2">
        <v>197.21</v>
      </c>
      <c r="M463" s="64">
        <v>5.45</v>
      </c>
      <c r="N463" s="1"/>
      <c r="O463" s="12">
        <f t="shared" si="77"/>
        <v>-2.2378014446627903E-3</v>
      </c>
      <c r="P463" s="12">
        <f t="shared" si="78"/>
        <v>-2.029002804798008E-3</v>
      </c>
      <c r="Q463" s="12">
        <f t="shared" si="79"/>
        <v>-5.9756547399483217E-3</v>
      </c>
      <c r="R463" s="12">
        <f t="shared" si="80"/>
        <v>-4.7164716471647106E-3</v>
      </c>
      <c r="S463" s="12">
        <f t="shared" si="81"/>
        <v>-1.6104449382081443E-2</v>
      </c>
      <c r="T463" s="12">
        <f t="shared" si="82"/>
        <v>-8.7117369771466668E-3</v>
      </c>
      <c r="U463" s="12">
        <f t="shared" si="83"/>
        <v>-8.6764776376971886E-3</v>
      </c>
      <c r="V463" s="12">
        <f t="shared" si="84"/>
        <v>-2.3462270133163265E-3</v>
      </c>
      <c r="W463" s="12">
        <f t="shared" si="85"/>
        <v>6.8562083280916397E-3</v>
      </c>
      <c r="X463" s="12">
        <f t="shared" si="86"/>
        <v>-4.2353990191706936E-3</v>
      </c>
      <c r="Y463" s="12">
        <f t="shared" si="87"/>
        <v>2.842094284522334E-2</v>
      </c>
    </row>
    <row r="464" spans="1:25" x14ac:dyDescent="0.35">
      <c r="A464" s="6">
        <v>44797</v>
      </c>
      <c r="B464" s="8">
        <v>4140.7700000000004</v>
      </c>
      <c r="C464" s="2">
        <v>167.53</v>
      </c>
      <c r="D464" s="2">
        <v>133.22999999999999</v>
      </c>
      <c r="E464" s="2">
        <v>275.79000000000002</v>
      </c>
      <c r="F464" s="2">
        <v>536.46</v>
      </c>
      <c r="G464" s="2">
        <v>165.58</v>
      </c>
      <c r="H464" s="2">
        <v>206.67</v>
      </c>
      <c r="I464" s="2">
        <v>159.13</v>
      </c>
      <c r="J464" s="2">
        <v>163.6</v>
      </c>
      <c r="K464" s="2">
        <v>44.99</v>
      </c>
      <c r="L464" s="2">
        <v>194.16</v>
      </c>
      <c r="M464" s="64" t="s">
        <v>77</v>
      </c>
      <c r="N464" s="1"/>
      <c r="O464" s="12">
        <f t="shared" si="77"/>
        <v>2.9161509713642175E-3</v>
      </c>
      <c r="P464" s="12">
        <f t="shared" si="78"/>
        <v>1.7939364946482073E-3</v>
      </c>
      <c r="Q464" s="12">
        <f t="shared" si="79"/>
        <v>-1.1206768591361271E-2</v>
      </c>
      <c r="R464" s="12">
        <f t="shared" si="80"/>
        <v>-2.3513239762695815E-3</v>
      </c>
      <c r="S464" s="12">
        <f t="shared" si="81"/>
        <v>1.2318029115343521E-3</v>
      </c>
      <c r="T464" s="12">
        <f t="shared" si="82"/>
        <v>-3.3106603262503809E-3</v>
      </c>
      <c r="U464" s="12">
        <f t="shared" si="83"/>
        <v>-6.2862669245655756E-4</v>
      </c>
      <c r="V464" s="12">
        <f t="shared" si="84"/>
        <v>1.1440920358481987E-2</v>
      </c>
      <c r="W464" s="12">
        <f t="shared" si="85"/>
        <v>2.205285187730377E-2</v>
      </c>
      <c r="X464" s="12">
        <f t="shared" si="86"/>
        <v>7.1636445041414198E-3</v>
      </c>
      <c r="Y464" s="12">
        <f t="shared" si="87"/>
        <v>-1.5465747173064259E-2</v>
      </c>
    </row>
    <row r="465" spans="1:25" x14ac:dyDescent="0.35">
      <c r="A465" s="6">
        <v>44798</v>
      </c>
      <c r="B465" s="8">
        <v>4199.12</v>
      </c>
      <c r="C465" s="2">
        <v>170.03</v>
      </c>
      <c r="D465" s="2">
        <v>133.97999999999999</v>
      </c>
      <c r="E465" s="2">
        <v>278.85000000000002</v>
      </c>
      <c r="F465" s="2">
        <v>541.57000000000005</v>
      </c>
      <c r="G465" s="2">
        <v>167.13</v>
      </c>
      <c r="H465" s="2">
        <v>209.82</v>
      </c>
      <c r="I465" s="2">
        <v>162.22999999999999</v>
      </c>
      <c r="J465" s="2">
        <v>169.38</v>
      </c>
      <c r="K465" s="2">
        <v>45.29</v>
      </c>
      <c r="L465" s="2">
        <v>198.88</v>
      </c>
      <c r="M465" s="64" t="s">
        <v>77</v>
      </c>
      <c r="N465" s="1"/>
      <c r="O465" s="12">
        <f t="shared" si="77"/>
        <v>1.4091582000449021E-2</v>
      </c>
      <c r="P465" s="12">
        <f t="shared" si="78"/>
        <v>1.4922700411866607E-2</v>
      </c>
      <c r="Q465" s="12">
        <f t="shared" si="79"/>
        <v>5.6293627561359028E-3</v>
      </c>
      <c r="R465" s="12">
        <f t="shared" si="80"/>
        <v>1.1095398672903212E-2</v>
      </c>
      <c r="S465" s="12">
        <f t="shared" si="81"/>
        <v>9.5254072997055239E-3</v>
      </c>
      <c r="T465" s="12">
        <f t="shared" si="82"/>
        <v>9.3610339412970589E-3</v>
      </c>
      <c r="U465" s="12">
        <f t="shared" si="83"/>
        <v>1.5241689650167034E-2</v>
      </c>
      <c r="V465" s="12">
        <f t="shared" si="84"/>
        <v>1.9480927543517934E-2</v>
      </c>
      <c r="W465" s="12">
        <f t="shared" si="85"/>
        <v>3.533007334963334E-2</v>
      </c>
      <c r="X465" s="12">
        <f t="shared" si="86"/>
        <v>6.6681484774393507E-3</v>
      </c>
      <c r="Y465" s="12">
        <f t="shared" si="87"/>
        <v>2.4309847548413588E-2</v>
      </c>
    </row>
    <row r="466" spans="1:25" x14ac:dyDescent="0.35">
      <c r="A466" s="6">
        <v>44799</v>
      </c>
      <c r="B466" s="8">
        <v>4057.66</v>
      </c>
      <c r="C466" s="2">
        <v>163.62</v>
      </c>
      <c r="D466" s="2">
        <v>130.38</v>
      </c>
      <c r="E466" s="2">
        <v>268.08999999999997</v>
      </c>
      <c r="F466" s="2">
        <v>529.25</v>
      </c>
      <c r="G466" s="2">
        <v>164.27</v>
      </c>
      <c r="H466" s="2">
        <v>202.89</v>
      </c>
      <c r="I466" s="2">
        <v>157.31</v>
      </c>
      <c r="J466" s="2">
        <v>164.53</v>
      </c>
      <c r="K466" s="2">
        <v>43.87</v>
      </c>
      <c r="L466" s="2">
        <v>191.92</v>
      </c>
      <c r="M466" s="64" t="s">
        <v>77</v>
      </c>
      <c r="N466" s="1"/>
      <c r="O466" s="12">
        <f t="shared" si="77"/>
        <v>-3.3688010821315006E-2</v>
      </c>
      <c r="P466" s="12">
        <f t="shared" si="78"/>
        <v>-3.7699229547726865E-2</v>
      </c>
      <c r="Q466" s="12">
        <f t="shared" si="79"/>
        <v>-2.6869682042095833E-2</v>
      </c>
      <c r="R466" s="12">
        <f t="shared" si="80"/>
        <v>-3.8587053971669505E-2</v>
      </c>
      <c r="S466" s="12">
        <f t="shared" si="81"/>
        <v>-2.2748675148180353E-2</v>
      </c>
      <c r="T466" s="12">
        <f t="shared" si="82"/>
        <v>-1.7112427451684176E-2</v>
      </c>
      <c r="U466" s="12">
        <f t="shared" si="83"/>
        <v>-3.3028309979982851E-2</v>
      </c>
      <c r="V466" s="12">
        <f t="shared" si="84"/>
        <v>-3.0327313074030582E-2</v>
      </c>
      <c r="W466" s="12">
        <f t="shared" si="85"/>
        <v>-2.8633841067422283E-2</v>
      </c>
      <c r="X466" s="12">
        <f t="shared" si="86"/>
        <v>-3.1353499668801077E-2</v>
      </c>
      <c r="Y466" s="12">
        <f t="shared" si="87"/>
        <v>-3.4995977473853634E-2</v>
      </c>
    </row>
    <row r="467" spans="1:25" x14ac:dyDescent="0.35">
      <c r="A467" s="6">
        <v>44802</v>
      </c>
      <c r="B467" s="8">
        <v>4030.61</v>
      </c>
      <c r="C467" s="2">
        <v>161.38</v>
      </c>
      <c r="D467" s="2">
        <v>130.31</v>
      </c>
      <c r="E467" s="2">
        <v>265.23</v>
      </c>
      <c r="F467" s="2">
        <v>529.77</v>
      </c>
      <c r="G467" s="2">
        <v>163</v>
      </c>
      <c r="H467" s="2">
        <v>202.33</v>
      </c>
      <c r="I467" s="2">
        <v>154.54</v>
      </c>
      <c r="J467" s="2">
        <v>165.42</v>
      </c>
      <c r="K467" s="2">
        <v>44.29</v>
      </c>
      <c r="L467" s="2">
        <v>191.78</v>
      </c>
      <c r="M467" s="64" t="s">
        <v>77</v>
      </c>
      <c r="N467" s="1"/>
      <c r="O467" s="12">
        <f t="shared" si="77"/>
        <v>-6.6664037893761074E-3</v>
      </c>
      <c r="P467" s="12">
        <f t="shared" si="78"/>
        <v>-1.369025791468037E-2</v>
      </c>
      <c r="Q467" s="12">
        <f t="shared" si="79"/>
        <v>-5.3689216137442486E-4</v>
      </c>
      <c r="R467" s="12">
        <f t="shared" si="80"/>
        <v>-1.0668059233839178E-2</v>
      </c>
      <c r="S467" s="12">
        <f t="shared" si="81"/>
        <v>9.8252243741137057E-4</v>
      </c>
      <c r="T467" s="12">
        <f t="shared" si="82"/>
        <v>-7.7311742862361532E-3</v>
      </c>
      <c r="U467" s="12">
        <f t="shared" si="83"/>
        <v>-2.7601163191875999E-3</v>
      </c>
      <c r="V467" s="12">
        <f t="shared" si="84"/>
        <v>-1.7608543639946683E-2</v>
      </c>
      <c r="W467" s="12">
        <f t="shared" si="85"/>
        <v>5.4093478392998051E-3</v>
      </c>
      <c r="X467" s="12">
        <f t="shared" si="86"/>
        <v>9.5737405972191603E-3</v>
      </c>
      <c r="Y467" s="12">
        <f t="shared" si="87"/>
        <v>-7.2947061275518976E-4</v>
      </c>
    </row>
    <row r="468" spans="1:25" x14ac:dyDescent="0.35">
      <c r="A468" s="6">
        <v>44803</v>
      </c>
      <c r="B468" s="8">
        <v>3986.16</v>
      </c>
      <c r="C468" s="2">
        <v>158.91</v>
      </c>
      <c r="D468" s="2">
        <v>129.58000000000001</v>
      </c>
      <c r="E468" s="2">
        <v>262.97000000000003</v>
      </c>
      <c r="F468" s="2">
        <v>522.84</v>
      </c>
      <c r="G468" s="2">
        <v>162.43</v>
      </c>
      <c r="H468" s="2">
        <v>201.38</v>
      </c>
      <c r="I468" s="2">
        <v>154.66</v>
      </c>
      <c r="J468" s="2">
        <v>162.21</v>
      </c>
      <c r="K468" s="2">
        <v>44.16</v>
      </c>
      <c r="L468" s="2">
        <v>186.94</v>
      </c>
      <c r="M468" s="64">
        <v>5.49</v>
      </c>
      <c r="N468" s="1"/>
      <c r="O468" s="12">
        <f t="shared" si="77"/>
        <v>-1.1028107408059928E-2</v>
      </c>
      <c r="P468" s="12">
        <f t="shared" si="78"/>
        <v>-1.5305490147477951E-2</v>
      </c>
      <c r="Q468" s="12">
        <f t="shared" si="79"/>
        <v>-5.6020259381474036E-3</v>
      </c>
      <c r="R468" s="12">
        <f t="shared" si="80"/>
        <v>-8.5209063831391818E-3</v>
      </c>
      <c r="S468" s="12">
        <f t="shared" si="81"/>
        <v>-1.3081148422900424E-2</v>
      </c>
      <c r="T468" s="12">
        <f t="shared" si="82"/>
        <v>-3.4969325153373365E-3</v>
      </c>
      <c r="U468" s="12">
        <f t="shared" si="83"/>
        <v>-4.6952997578214584E-3</v>
      </c>
      <c r="V468" s="12">
        <f t="shared" si="84"/>
        <v>7.7649799404677644E-4</v>
      </c>
      <c r="W468" s="12">
        <f t="shared" si="85"/>
        <v>-1.9405150525933834E-2</v>
      </c>
      <c r="X468" s="12">
        <f t="shared" si="86"/>
        <v>-2.9351998193724027E-3</v>
      </c>
      <c r="Y468" s="12">
        <f t="shared" si="87"/>
        <v>-2.5237251016790085E-2</v>
      </c>
    </row>
    <row r="469" spans="1:25" x14ac:dyDescent="0.35">
      <c r="A469" s="6">
        <v>44804</v>
      </c>
      <c r="B469" s="8">
        <v>3955</v>
      </c>
      <c r="C469" s="2">
        <v>157.22</v>
      </c>
      <c r="D469" s="2">
        <v>128.44999999999999</v>
      </c>
      <c r="E469" s="2">
        <v>261.47000000000003</v>
      </c>
      <c r="F469" s="2">
        <v>519.33000000000004</v>
      </c>
      <c r="G469" s="2">
        <v>161.34</v>
      </c>
      <c r="H469" s="2">
        <v>198.71</v>
      </c>
      <c r="I469" s="2">
        <v>152</v>
      </c>
      <c r="J469" s="2">
        <v>160.25</v>
      </c>
      <c r="K469" s="2">
        <v>44.18</v>
      </c>
      <c r="L469" s="2">
        <v>184.71</v>
      </c>
      <c r="M469" s="64" t="s">
        <v>77</v>
      </c>
      <c r="N469" s="1"/>
      <c r="O469" s="12">
        <f t="shared" si="77"/>
        <v>-7.8170469825595834E-3</v>
      </c>
      <c r="P469" s="12">
        <f t="shared" si="78"/>
        <v>-1.0634950600969084E-2</v>
      </c>
      <c r="Q469" s="12">
        <f t="shared" si="79"/>
        <v>-8.7204815557958559E-3</v>
      </c>
      <c r="R469" s="12">
        <f t="shared" si="80"/>
        <v>-5.704072707913399E-3</v>
      </c>
      <c r="S469" s="12">
        <f t="shared" si="81"/>
        <v>-6.7133348634381695E-3</v>
      </c>
      <c r="T469" s="12">
        <f t="shared" si="82"/>
        <v>-6.7105830203780803E-3</v>
      </c>
      <c r="U469" s="12">
        <f t="shared" si="83"/>
        <v>-1.325851623795804E-2</v>
      </c>
      <c r="V469" s="12">
        <f t="shared" si="84"/>
        <v>-1.7199017199017175E-2</v>
      </c>
      <c r="W469" s="12">
        <f t="shared" si="85"/>
        <v>-1.2083102151531966E-2</v>
      </c>
      <c r="X469" s="12">
        <f t="shared" si="86"/>
        <v>4.5289855072461194E-4</v>
      </c>
      <c r="Y469" s="12">
        <f t="shared" si="87"/>
        <v>-1.1928961164009766E-2</v>
      </c>
    </row>
    <row r="470" spans="1:25" x14ac:dyDescent="0.35">
      <c r="A470" s="6">
        <v>44805</v>
      </c>
      <c r="B470" s="8">
        <v>3966.85</v>
      </c>
      <c r="C470" s="2">
        <v>157.96</v>
      </c>
      <c r="D470" s="2">
        <v>129.66</v>
      </c>
      <c r="E470" s="2">
        <v>260.39999999999998</v>
      </c>
      <c r="F470" s="2">
        <v>524</v>
      </c>
      <c r="G470" s="2">
        <v>165.34</v>
      </c>
      <c r="H470" s="2">
        <v>200.13</v>
      </c>
      <c r="I470" s="2">
        <v>151.11000000000001</v>
      </c>
      <c r="J470" s="2">
        <v>153.66</v>
      </c>
      <c r="K470" s="2">
        <v>44.83</v>
      </c>
      <c r="L470" s="2">
        <v>182.44</v>
      </c>
      <c r="M470" s="64" t="s">
        <v>77</v>
      </c>
      <c r="N470" s="1"/>
      <c r="O470" s="12">
        <f t="shared" si="77"/>
        <v>2.9962073324905081E-3</v>
      </c>
      <c r="P470" s="12">
        <f t="shared" si="78"/>
        <v>4.706780307848879E-3</v>
      </c>
      <c r="Q470" s="12">
        <f t="shared" si="79"/>
        <v>9.4200077851305242E-3</v>
      </c>
      <c r="R470" s="12">
        <f t="shared" si="80"/>
        <v>-4.0922476765978821E-3</v>
      </c>
      <c r="S470" s="12">
        <f t="shared" si="81"/>
        <v>8.9923555350162054E-3</v>
      </c>
      <c r="T470" s="12">
        <f t="shared" si="82"/>
        <v>2.4792363951902763E-2</v>
      </c>
      <c r="U470" s="12">
        <f t="shared" si="83"/>
        <v>7.1460922953046069E-3</v>
      </c>
      <c r="V470" s="12">
        <f t="shared" si="84"/>
        <v>-5.8552631578946412E-3</v>
      </c>
      <c r="W470" s="12">
        <f t="shared" si="85"/>
        <v>-4.1123244929797242E-2</v>
      </c>
      <c r="X470" s="12">
        <f t="shared" si="86"/>
        <v>1.4712539610683528E-2</v>
      </c>
      <c r="Y470" s="12">
        <f t="shared" si="87"/>
        <v>-1.2289534946673175E-2</v>
      </c>
    </row>
    <row r="471" spans="1:25" x14ac:dyDescent="0.35">
      <c r="A471" s="6">
        <v>44806</v>
      </c>
      <c r="B471" s="8">
        <v>3924.26</v>
      </c>
      <c r="C471" s="2">
        <v>155.81</v>
      </c>
      <c r="D471" s="2">
        <v>127.79</v>
      </c>
      <c r="E471" s="2">
        <v>256.06</v>
      </c>
      <c r="F471" s="2">
        <v>516.35</v>
      </c>
      <c r="G471" s="2">
        <v>162.74</v>
      </c>
      <c r="H471" s="2">
        <v>197.76</v>
      </c>
      <c r="I471" s="2">
        <v>149.79</v>
      </c>
      <c r="J471" s="2">
        <v>151.82</v>
      </c>
      <c r="K471" s="2">
        <v>44.33</v>
      </c>
      <c r="L471" s="2">
        <v>180.83</v>
      </c>
      <c r="M471" s="64" t="s">
        <v>77</v>
      </c>
      <c r="N471" s="1"/>
      <c r="O471" s="12">
        <f t="shared" si="77"/>
        <v>-1.0736478566116592E-2</v>
      </c>
      <c r="P471" s="12">
        <f t="shared" si="78"/>
        <v>-1.361104076981523E-2</v>
      </c>
      <c r="Q471" s="12">
        <f t="shared" si="79"/>
        <v>-1.442233533857773E-2</v>
      </c>
      <c r="R471" s="12">
        <f t="shared" si="80"/>
        <v>-1.6666666666666607E-2</v>
      </c>
      <c r="S471" s="12">
        <f t="shared" si="81"/>
        <v>-1.4599236641221314E-2</v>
      </c>
      <c r="T471" s="12">
        <f t="shared" si="82"/>
        <v>-1.5725172372081708E-2</v>
      </c>
      <c r="U471" s="12">
        <f t="shared" si="83"/>
        <v>-1.1842302503372815E-2</v>
      </c>
      <c r="V471" s="12">
        <f t="shared" si="84"/>
        <v>-8.7353583482232544E-3</v>
      </c>
      <c r="W471" s="12">
        <f t="shared" si="85"/>
        <v>-1.1974489131849508E-2</v>
      </c>
      <c r="X471" s="12">
        <f t="shared" si="86"/>
        <v>-1.1153245594467953E-2</v>
      </c>
      <c r="Y471" s="12">
        <f t="shared" si="87"/>
        <v>-8.8248191186142133E-3</v>
      </c>
    </row>
    <row r="472" spans="1:25" x14ac:dyDescent="0.35">
      <c r="A472" s="6">
        <v>44810</v>
      </c>
      <c r="B472" s="8">
        <v>3908.19</v>
      </c>
      <c r="C472" s="2">
        <v>154.53</v>
      </c>
      <c r="D472" s="2">
        <v>126.72</v>
      </c>
      <c r="E472" s="2">
        <v>253.25</v>
      </c>
      <c r="F472" s="2">
        <v>517.67999999999995</v>
      </c>
      <c r="G472" s="2">
        <v>163.18</v>
      </c>
      <c r="H472" s="2">
        <v>198.64</v>
      </c>
      <c r="I472" s="2">
        <v>148.6</v>
      </c>
      <c r="J472" s="2">
        <v>152.38999999999999</v>
      </c>
      <c r="K472" s="2">
        <v>44.11</v>
      </c>
      <c r="L472" s="2">
        <v>180.66</v>
      </c>
      <c r="M472" s="64" t="s">
        <v>77</v>
      </c>
      <c r="N472" s="1"/>
      <c r="O472" s="12">
        <f t="shared" si="77"/>
        <v>-4.095039574340209E-3</v>
      </c>
      <c r="P472" s="12">
        <f t="shared" si="78"/>
        <v>-8.2151338168281463E-3</v>
      </c>
      <c r="Q472" s="12">
        <f t="shared" si="79"/>
        <v>-8.3731121371000139E-3</v>
      </c>
      <c r="R472" s="12">
        <f t="shared" si="80"/>
        <v>-1.0973990470983352E-2</v>
      </c>
      <c r="S472" s="12">
        <f t="shared" si="81"/>
        <v>2.5757722475063805E-3</v>
      </c>
      <c r="T472" s="12">
        <f t="shared" si="82"/>
        <v>2.7036991520215103E-3</v>
      </c>
      <c r="U472" s="12">
        <f t="shared" si="83"/>
        <v>4.4498381877022819E-3</v>
      </c>
      <c r="V472" s="12">
        <f t="shared" si="84"/>
        <v>-7.9444555711328801E-3</v>
      </c>
      <c r="W472" s="12">
        <f t="shared" si="85"/>
        <v>3.7544460545382297E-3</v>
      </c>
      <c r="X472" s="12">
        <f t="shared" si="86"/>
        <v>-4.9627791563274792E-3</v>
      </c>
      <c r="Y472" s="12">
        <f t="shared" si="87"/>
        <v>-9.4010949510603403E-4</v>
      </c>
    </row>
    <row r="473" spans="1:25" x14ac:dyDescent="0.35">
      <c r="A473" s="6">
        <v>44811</v>
      </c>
      <c r="B473" s="8">
        <v>3979.87</v>
      </c>
      <c r="C473" s="2">
        <v>155.96</v>
      </c>
      <c r="D473" s="2">
        <v>127.71</v>
      </c>
      <c r="E473" s="2">
        <v>258.08999999999997</v>
      </c>
      <c r="F473" s="2">
        <v>521.67999999999995</v>
      </c>
      <c r="G473" s="2">
        <v>164.07</v>
      </c>
      <c r="H473" s="2">
        <v>200.42</v>
      </c>
      <c r="I473" s="2">
        <v>152.25</v>
      </c>
      <c r="J473" s="2">
        <v>155.94999999999999</v>
      </c>
      <c r="K473" s="2">
        <v>45.25</v>
      </c>
      <c r="L473" s="2">
        <v>180.86</v>
      </c>
      <c r="M473" s="64">
        <v>5.51</v>
      </c>
      <c r="N473" s="1"/>
      <c r="O473" s="12">
        <f t="shared" si="77"/>
        <v>1.8340971140093032E-2</v>
      </c>
      <c r="P473" s="12">
        <f t="shared" si="78"/>
        <v>9.253866563126989E-3</v>
      </c>
      <c r="Q473" s="12">
        <f t="shared" si="79"/>
        <v>7.8125E-3</v>
      </c>
      <c r="R473" s="12">
        <f t="shared" si="80"/>
        <v>1.911154985192498E-2</v>
      </c>
      <c r="S473" s="12">
        <f t="shared" si="81"/>
        <v>7.7267810230257084E-3</v>
      </c>
      <c r="T473" s="12">
        <f t="shared" si="82"/>
        <v>5.4540997671281843E-3</v>
      </c>
      <c r="U473" s="12">
        <f t="shared" si="83"/>
        <v>8.960934353604566E-3</v>
      </c>
      <c r="V473" s="12">
        <f t="shared" si="84"/>
        <v>2.4562584118438702E-2</v>
      </c>
      <c r="W473" s="12">
        <f t="shared" si="85"/>
        <v>2.3361112933919514E-2</v>
      </c>
      <c r="X473" s="12">
        <f t="shared" si="86"/>
        <v>2.5844479709816293E-2</v>
      </c>
      <c r="Y473" s="12">
        <f t="shared" si="87"/>
        <v>1.1070519207352358E-3</v>
      </c>
    </row>
    <row r="474" spans="1:25" x14ac:dyDescent="0.35">
      <c r="A474" s="6">
        <v>44812</v>
      </c>
      <c r="B474" s="8">
        <v>4006.18</v>
      </c>
      <c r="C474" s="2">
        <v>154.46</v>
      </c>
      <c r="D474" s="2">
        <v>128.47</v>
      </c>
      <c r="E474" s="2">
        <v>258.52</v>
      </c>
      <c r="F474" s="2">
        <v>527.51</v>
      </c>
      <c r="G474" s="2">
        <v>165.39</v>
      </c>
      <c r="H474" s="2">
        <v>200.71</v>
      </c>
      <c r="I474" s="2">
        <v>153.52000000000001</v>
      </c>
      <c r="J474" s="2">
        <v>157.79</v>
      </c>
      <c r="K474" s="2">
        <v>45.48</v>
      </c>
      <c r="L474" s="2">
        <v>183.15</v>
      </c>
      <c r="M474" s="64" t="s">
        <v>77</v>
      </c>
      <c r="N474" s="1"/>
      <c r="O474" s="12">
        <f t="shared" si="77"/>
        <v>6.6107686934497867E-3</v>
      </c>
      <c r="P474" s="12">
        <f t="shared" si="78"/>
        <v>-9.6178507309566674E-3</v>
      </c>
      <c r="Q474" s="12">
        <f t="shared" si="79"/>
        <v>5.9509826951686939E-3</v>
      </c>
      <c r="R474" s="12">
        <f t="shared" si="80"/>
        <v>1.6660854740595532E-3</v>
      </c>
      <c r="S474" s="12">
        <f t="shared" si="81"/>
        <v>1.117543321576453E-2</v>
      </c>
      <c r="T474" s="12">
        <f t="shared" si="82"/>
        <v>8.0453464984457934E-3</v>
      </c>
      <c r="U474" s="12">
        <f t="shared" si="83"/>
        <v>1.4469613810998982E-3</v>
      </c>
      <c r="V474" s="12">
        <f t="shared" si="84"/>
        <v>8.341543513957328E-3</v>
      </c>
      <c r="W474" s="12">
        <f t="shared" si="85"/>
        <v>1.1798653414555993E-2</v>
      </c>
      <c r="X474" s="12">
        <f t="shared" si="86"/>
        <v>5.0828729281766627E-3</v>
      </c>
      <c r="Y474" s="12">
        <f t="shared" si="87"/>
        <v>1.2661727302886172E-2</v>
      </c>
    </row>
    <row r="475" spans="1:25" x14ac:dyDescent="0.35">
      <c r="A475" s="6">
        <v>44813</v>
      </c>
      <c r="B475" s="8">
        <v>4067.36</v>
      </c>
      <c r="C475" s="2">
        <v>157.37</v>
      </c>
      <c r="D475" s="2">
        <v>129.19</v>
      </c>
      <c r="E475" s="2">
        <v>264.45999999999998</v>
      </c>
      <c r="F475" s="2">
        <v>524.34</v>
      </c>
      <c r="G475" s="2">
        <v>165.71</v>
      </c>
      <c r="H475" s="2">
        <v>205.2</v>
      </c>
      <c r="I475" s="2">
        <v>158.44</v>
      </c>
      <c r="J475" s="2">
        <v>157.52000000000001</v>
      </c>
      <c r="K475" s="2">
        <v>45.61</v>
      </c>
      <c r="L475" s="2">
        <v>189.49</v>
      </c>
      <c r="M475" s="64" t="s">
        <v>77</v>
      </c>
      <c r="N475" s="1"/>
      <c r="O475" s="12">
        <f t="shared" si="77"/>
        <v>1.5271405678227268E-2</v>
      </c>
      <c r="P475" s="12">
        <f t="shared" si="78"/>
        <v>1.8839829081962911E-2</v>
      </c>
      <c r="Q475" s="12">
        <f t="shared" si="79"/>
        <v>5.6044212656651826E-3</v>
      </c>
      <c r="R475" s="12">
        <f t="shared" si="80"/>
        <v>2.2976945690855732E-2</v>
      </c>
      <c r="S475" s="12">
        <f t="shared" si="81"/>
        <v>-6.0093647513790316E-3</v>
      </c>
      <c r="T475" s="12">
        <f t="shared" si="82"/>
        <v>1.9348207267670947E-3</v>
      </c>
      <c r="U475" s="12">
        <f t="shared" si="83"/>
        <v>2.2370584425290163E-2</v>
      </c>
      <c r="V475" s="12">
        <f t="shared" si="84"/>
        <v>3.2047941636268895E-2</v>
      </c>
      <c r="W475" s="12">
        <f t="shared" si="85"/>
        <v>-1.7111350529183111E-3</v>
      </c>
      <c r="X475" s="12">
        <f t="shared" si="86"/>
        <v>2.8583992963939764E-3</v>
      </c>
      <c r="Y475" s="12">
        <f t="shared" si="87"/>
        <v>3.4616434616434599E-2</v>
      </c>
    </row>
    <row r="476" spans="1:25" x14ac:dyDescent="0.35">
      <c r="A476" s="6">
        <v>44816</v>
      </c>
      <c r="B476" s="8">
        <v>4110.41</v>
      </c>
      <c r="C476" s="2">
        <v>163.43</v>
      </c>
      <c r="D476" s="2">
        <v>130.66</v>
      </c>
      <c r="E476" s="2">
        <v>266.64999999999998</v>
      </c>
      <c r="F476" s="2">
        <v>531.25</v>
      </c>
      <c r="G476" s="2">
        <v>165.64</v>
      </c>
      <c r="H476" s="2">
        <v>206.63</v>
      </c>
      <c r="I476" s="2">
        <v>162.44999999999999</v>
      </c>
      <c r="J476" s="2">
        <v>158.72</v>
      </c>
      <c r="K476" s="2">
        <v>46.02</v>
      </c>
      <c r="L476" s="2">
        <v>192.4</v>
      </c>
      <c r="M476" s="64" t="s">
        <v>77</v>
      </c>
      <c r="N476" s="1"/>
      <c r="O476" s="12">
        <f t="shared" si="77"/>
        <v>1.058426104401855E-2</v>
      </c>
      <c r="P476" s="12">
        <f t="shared" si="78"/>
        <v>3.8507974836372805E-2</v>
      </c>
      <c r="Q476" s="12">
        <f t="shared" si="79"/>
        <v>1.1378589674123418E-2</v>
      </c>
      <c r="R476" s="12">
        <f t="shared" si="80"/>
        <v>8.281025485895821E-3</v>
      </c>
      <c r="S476" s="12">
        <f t="shared" si="81"/>
        <v>1.3178471983827267E-2</v>
      </c>
      <c r="T476" s="12">
        <f t="shared" si="82"/>
        <v>-4.2242471788078717E-4</v>
      </c>
      <c r="U476" s="12">
        <f t="shared" si="83"/>
        <v>6.9688109161794021E-3</v>
      </c>
      <c r="V476" s="12">
        <f t="shared" si="84"/>
        <v>2.5309265337036146E-2</v>
      </c>
      <c r="W476" s="12">
        <f t="shared" si="85"/>
        <v>7.6180802437784134E-3</v>
      </c>
      <c r="X476" s="12">
        <f t="shared" si="86"/>
        <v>8.9892567419427305E-3</v>
      </c>
      <c r="Y476" s="12">
        <f t="shared" si="87"/>
        <v>1.5357010924059278E-2</v>
      </c>
    </row>
    <row r="477" spans="1:25" x14ac:dyDescent="0.35">
      <c r="A477" s="6">
        <v>44817</v>
      </c>
      <c r="B477" s="8">
        <v>3932.69</v>
      </c>
      <c r="C477" s="2">
        <v>153.84</v>
      </c>
      <c r="D477" s="2">
        <v>127.25</v>
      </c>
      <c r="E477" s="2">
        <v>251.99</v>
      </c>
      <c r="F477" s="2">
        <v>513.96</v>
      </c>
      <c r="G477" s="2">
        <v>161.33000000000001</v>
      </c>
      <c r="H477" s="2">
        <v>199.67</v>
      </c>
      <c r="I477" s="2">
        <v>155.35</v>
      </c>
      <c r="J477" s="2">
        <v>147.31</v>
      </c>
      <c r="K477" s="2">
        <v>45.07</v>
      </c>
      <c r="L477" s="2">
        <v>184.31</v>
      </c>
      <c r="M477" s="64" t="s">
        <v>77</v>
      </c>
      <c r="N477" s="1"/>
      <c r="O477" s="12">
        <f t="shared" si="77"/>
        <v>-4.3236562775976095E-2</v>
      </c>
      <c r="P477" s="12">
        <f t="shared" si="78"/>
        <v>-5.8679556996879434E-2</v>
      </c>
      <c r="Q477" s="12">
        <f t="shared" si="79"/>
        <v>-2.6098270319914296E-2</v>
      </c>
      <c r="R477" s="12">
        <f t="shared" si="80"/>
        <v>-5.4978436152259391E-2</v>
      </c>
      <c r="S477" s="12">
        <f t="shared" si="81"/>
        <v>-3.2545882352941091E-2</v>
      </c>
      <c r="T477" s="12">
        <f t="shared" si="82"/>
        <v>-2.6020284955324602E-2</v>
      </c>
      <c r="U477" s="12">
        <f t="shared" si="83"/>
        <v>-3.368339544112664E-2</v>
      </c>
      <c r="V477" s="12">
        <f t="shared" si="84"/>
        <v>-4.3705755617112874E-2</v>
      </c>
      <c r="W477" s="12">
        <f t="shared" si="85"/>
        <v>-7.1887600806451624E-2</v>
      </c>
      <c r="X477" s="12">
        <f t="shared" si="86"/>
        <v>-2.0643198609300417E-2</v>
      </c>
      <c r="Y477" s="12">
        <f t="shared" si="87"/>
        <v>-4.2047817047817015E-2</v>
      </c>
    </row>
    <row r="478" spans="1:25" x14ac:dyDescent="0.35">
      <c r="A478" s="6">
        <v>44818</v>
      </c>
      <c r="B478" s="8">
        <v>3946.01</v>
      </c>
      <c r="C478" s="2">
        <v>155.31</v>
      </c>
      <c r="D478" s="2">
        <v>127.69</v>
      </c>
      <c r="E478" s="2">
        <v>252.22</v>
      </c>
      <c r="F478" s="2">
        <v>509.77</v>
      </c>
      <c r="G478" s="2">
        <v>164.66</v>
      </c>
      <c r="H478" s="2">
        <v>199.41</v>
      </c>
      <c r="I478" s="2">
        <v>156.30000000000001</v>
      </c>
      <c r="J478" s="2">
        <v>149.26</v>
      </c>
      <c r="K478" s="2">
        <v>44.97</v>
      </c>
      <c r="L478" s="2">
        <v>184.65</v>
      </c>
      <c r="M478" s="64">
        <v>5.52</v>
      </c>
      <c r="N478" s="1"/>
      <c r="O478" s="12">
        <f t="shared" si="77"/>
        <v>3.3869946525153516E-3</v>
      </c>
      <c r="P478" s="12">
        <f t="shared" si="78"/>
        <v>9.5553822152885104E-3</v>
      </c>
      <c r="Q478" s="12">
        <f t="shared" si="79"/>
        <v>3.4577603143417512E-3</v>
      </c>
      <c r="R478" s="12">
        <f t="shared" si="80"/>
        <v>9.1273463232655061E-4</v>
      </c>
      <c r="S478" s="12">
        <f t="shared" si="81"/>
        <v>-8.1523853996421369E-3</v>
      </c>
      <c r="T478" s="12">
        <f t="shared" si="82"/>
        <v>2.0640922333105882E-2</v>
      </c>
      <c r="U478" s="12">
        <f t="shared" si="83"/>
        <v>-1.3021485450993575E-3</v>
      </c>
      <c r="V478" s="12">
        <f t="shared" si="84"/>
        <v>6.1152236884456368E-3</v>
      </c>
      <c r="W478" s="12">
        <f t="shared" si="85"/>
        <v>1.3237390536962712E-2</v>
      </c>
      <c r="X478" s="12">
        <f t="shared" si="86"/>
        <v>-2.2187708009763218E-3</v>
      </c>
      <c r="Y478" s="12">
        <f t="shared" si="87"/>
        <v>1.8447181379197541E-3</v>
      </c>
    </row>
    <row r="479" spans="1:25" x14ac:dyDescent="0.35">
      <c r="A479" s="6">
        <v>44819</v>
      </c>
      <c r="B479" s="8">
        <v>3901.35</v>
      </c>
      <c r="C479" s="2">
        <v>152.37</v>
      </c>
      <c r="D479" s="2">
        <v>125.49</v>
      </c>
      <c r="E479" s="2">
        <v>245.38</v>
      </c>
      <c r="F479" s="2">
        <v>522.91</v>
      </c>
      <c r="G479" s="2">
        <v>165.08</v>
      </c>
      <c r="H479" s="2">
        <v>195.37</v>
      </c>
      <c r="I479" s="2">
        <v>156.13</v>
      </c>
      <c r="J479" s="2">
        <v>149.78</v>
      </c>
      <c r="K479" s="2">
        <v>44.49</v>
      </c>
      <c r="L479" s="2">
        <v>182.49</v>
      </c>
      <c r="M479" s="64" t="s">
        <v>77</v>
      </c>
      <c r="N479" s="1"/>
      <c r="O479" s="12">
        <f t="shared" si="77"/>
        <v>-1.1317761485652666E-2</v>
      </c>
      <c r="P479" s="12">
        <f t="shared" si="78"/>
        <v>-1.8929882171141554E-2</v>
      </c>
      <c r="Q479" s="12">
        <f t="shared" si="79"/>
        <v>-1.7229227034223582E-2</v>
      </c>
      <c r="R479" s="12">
        <f t="shared" si="80"/>
        <v>-2.7119181666798831E-2</v>
      </c>
      <c r="S479" s="12">
        <f t="shared" si="81"/>
        <v>2.5776330501991129E-2</v>
      </c>
      <c r="T479" s="12">
        <f t="shared" si="82"/>
        <v>2.5507105550832687E-3</v>
      </c>
      <c r="U479" s="12">
        <f t="shared" si="83"/>
        <v>-2.0259766310616323E-2</v>
      </c>
      <c r="V479" s="12">
        <f t="shared" si="84"/>
        <v>-1.0876519513756122E-3</v>
      </c>
      <c r="W479" s="12">
        <f t="shared" si="85"/>
        <v>3.483853678145632E-3</v>
      </c>
      <c r="X479" s="12">
        <f t="shared" si="86"/>
        <v>-1.0673782521681052E-2</v>
      </c>
      <c r="Y479" s="12">
        <f t="shared" si="87"/>
        <v>-1.1697806661250976E-2</v>
      </c>
    </row>
    <row r="480" spans="1:25" x14ac:dyDescent="0.35">
      <c r="A480" s="6">
        <v>44820</v>
      </c>
      <c r="B480" s="8">
        <v>3873.33</v>
      </c>
      <c r="C480" s="2">
        <v>150.69999999999999</v>
      </c>
      <c r="D480" s="2">
        <v>127.27</v>
      </c>
      <c r="E480" s="2">
        <v>244.74</v>
      </c>
      <c r="F480" s="2">
        <v>521.02</v>
      </c>
      <c r="G480" s="2">
        <v>167.6</v>
      </c>
      <c r="H480" s="2">
        <v>193.3</v>
      </c>
      <c r="I480" s="2">
        <v>153.08000000000001</v>
      </c>
      <c r="J480" s="2">
        <v>144.29</v>
      </c>
      <c r="K480" s="2">
        <v>44.4</v>
      </c>
      <c r="L480" s="2">
        <v>179.47</v>
      </c>
      <c r="M480" s="64" t="s">
        <v>77</v>
      </c>
      <c r="N480" s="1"/>
      <c r="O480" s="12">
        <f t="shared" si="77"/>
        <v>-7.1821292629474787E-3</v>
      </c>
      <c r="P480" s="12">
        <f t="shared" si="78"/>
        <v>-1.0960162761698644E-2</v>
      </c>
      <c r="Q480" s="12">
        <f t="shared" si="79"/>
        <v>1.4184397163120588E-2</v>
      </c>
      <c r="R480" s="12">
        <f t="shared" si="80"/>
        <v>-2.6081995272637659E-3</v>
      </c>
      <c r="S480" s="12">
        <f t="shared" si="81"/>
        <v>-3.6143887093380567E-3</v>
      </c>
      <c r="T480" s="12">
        <f t="shared" si="82"/>
        <v>1.5265325902592553E-2</v>
      </c>
      <c r="U480" s="12">
        <f t="shared" si="83"/>
        <v>-1.0595280749347347E-2</v>
      </c>
      <c r="V480" s="12">
        <f t="shared" si="84"/>
        <v>-1.9535002882213437E-2</v>
      </c>
      <c r="W480" s="12">
        <f t="shared" si="85"/>
        <v>-3.6653758846307949E-2</v>
      </c>
      <c r="X480" s="12">
        <f t="shared" si="86"/>
        <v>-2.0229265003371966E-3</v>
      </c>
      <c r="Y480" s="12">
        <f t="shared" si="87"/>
        <v>-1.6548851991890046E-2</v>
      </c>
    </row>
    <row r="481" spans="1:25" x14ac:dyDescent="0.35">
      <c r="A481" s="6">
        <v>44823</v>
      </c>
      <c r="B481" s="8">
        <v>3899.89</v>
      </c>
      <c r="C481" s="2">
        <v>154.47999999999999</v>
      </c>
      <c r="D481" s="2">
        <v>127.73</v>
      </c>
      <c r="E481" s="2">
        <v>244.52</v>
      </c>
      <c r="F481" s="2">
        <v>523.54999999999995</v>
      </c>
      <c r="G481" s="2">
        <v>166.28</v>
      </c>
      <c r="H481" s="2">
        <v>193.13</v>
      </c>
      <c r="I481" s="2">
        <v>155.36000000000001</v>
      </c>
      <c r="J481" s="2">
        <v>144.88</v>
      </c>
      <c r="K481" s="2">
        <v>44.78</v>
      </c>
      <c r="L481" s="2">
        <v>182.11</v>
      </c>
      <c r="M481" s="64" t="s">
        <v>77</v>
      </c>
      <c r="N481" s="1"/>
      <c r="O481" s="12">
        <f t="shared" si="77"/>
        <v>6.8571487583035662E-3</v>
      </c>
      <c r="P481" s="12">
        <f t="shared" si="78"/>
        <v>2.5082946250829519E-2</v>
      </c>
      <c r="Q481" s="12">
        <f t="shared" si="79"/>
        <v>3.6143631649250274E-3</v>
      </c>
      <c r="R481" s="12">
        <f t="shared" si="80"/>
        <v>-8.9891313230361369E-4</v>
      </c>
      <c r="S481" s="12">
        <f t="shared" si="81"/>
        <v>4.8558596598977655E-3</v>
      </c>
      <c r="T481" s="12">
        <f t="shared" si="82"/>
        <v>-7.8758949880667339E-3</v>
      </c>
      <c r="U481" s="12">
        <f t="shared" si="83"/>
        <v>-8.794619762029221E-4</v>
      </c>
      <c r="V481" s="12">
        <f t="shared" si="84"/>
        <v>1.4894172981447573E-2</v>
      </c>
      <c r="W481" s="12">
        <f t="shared" si="85"/>
        <v>4.0889874558180939E-3</v>
      </c>
      <c r="X481" s="12">
        <f t="shared" si="86"/>
        <v>8.5585585585585822E-3</v>
      </c>
      <c r="Y481" s="12">
        <f t="shared" si="87"/>
        <v>1.4709979383741079E-2</v>
      </c>
    </row>
    <row r="482" spans="1:25" x14ac:dyDescent="0.35">
      <c r="A482" s="6">
        <v>44824</v>
      </c>
      <c r="B482" s="8">
        <v>3855.93</v>
      </c>
      <c r="C482" s="2">
        <v>156.9</v>
      </c>
      <c r="D482" s="2">
        <v>126.3</v>
      </c>
      <c r="E482" s="2">
        <v>242.45</v>
      </c>
      <c r="F482" s="2">
        <v>522.79999999999995</v>
      </c>
      <c r="G482" s="2">
        <v>164.97</v>
      </c>
      <c r="H482" s="2">
        <v>192.07</v>
      </c>
      <c r="I482" s="2">
        <v>153.47999999999999</v>
      </c>
      <c r="J482" s="2">
        <v>145.94</v>
      </c>
      <c r="K482" s="2">
        <v>44.52</v>
      </c>
      <c r="L482" s="2">
        <v>177.99</v>
      </c>
      <c r="M482" s="64" t="s">
        <v>77</v>
      </c>
      <c r="N482" s="1"/>
      <c r="O482" s="12">
        <f t="shared" si="77"/>
        <v>-1.1272112803181633E-2</v>
      </c>
      <c r="P482" s="12">
        <f t="shared" si="78"/>
        <v>1.5665458311755698E-2</v>
      </c>
      <c r="Q482" s="12">
        <f t="shared" si="79"/>
        <v>-1.1195490487747595E-2</v>
      </c>
      <c r="R482" s="12">
        <f t="shared" si="80"/>
        <v>-8.4655651889417038E-3</v>
      </c>
      <c r="S482" s="12">
        <f t="shared" si="81"/>
        <v>-1.4325279342947139E-3</v>
      </c>
      <c r="T482" s="12">
        <f t="shared" si="82"/>
        <v>-7.8782776040413616E-3</v>
      </c>
      <c r="U482" s="12">
        <f t="shared" si="83"/>
        <v>-5.4885310412675636E-3</v>
      </c>
      <c r="V482" s="12">
        <f t="shared" si="84"/>
        <v>-1.2100926879505813E-2</v>
      </c>
      <c r="W482" s="12">
        <f t="shared" si="85"/>
        <v>7.3163997791276802E-3</v>
      </c>
      <c r="X482" s="12">
        <f t="shared" si="86"/>
        <v>-5.8061634658329586E-3</v>
      </c>
      <c r="Y482" s="12">
        <f t="shared" si="87"/>
        <v>-2.2623688979188428E-2</v>
      </c>
    </row>
    <row r="483" spans="1:25" x14ac:dyDescent="0.35">
      <c r="A483" s="6">
        <v>44825</v>
      </c>
      <c r="B483" s="8">
        <v>3789.93</v>
      </c>
      <c r="C483" s="2">
        <v>153.72</v>
      </c>
      <c r="D483" s="2">
        <v>124.93</v>
      </c>
      <c r="E483" s="2">
        <v>238.95</v>
      </c>
      <c r="F483" s="2">
        <v>512.08000000000004</v>
      </c>
      <c r="G483" s="2">
        <v>163.28</v>
      </c>
      <c r="H483" s="2">
        <v>187.02</v>
      </c>
      <c r="I483" s="2">
        <v>148.71</v>
      </c>
      <c r="J483" s="2">
        <v>143.29</v>
      </c>
      <c r="K483" s="2">
        <v>44.92</v>
      </c>
      <c r="L483" s="2">
        <v>171.95</v>
      </c>
      <c r="M483" s="64">
        <v>5.57</v>
      </c>
      <c r="N483" s="1"/>
      <c r="O483" s="12">
        <f t="shared" si="77"/>
        <v>-1.7116493297336777E-2</v>
      </c>
      <c r="P483" s="12">
        <f t="shared" si="78"/>
        <v>-2.0267686424474185E-2</v>
      </c>
      <c r="Q483" s="12">
        <f t="shared" si="79"/>
        <v>-1.0847189231987242E-2</v>
      </c>
      <c r="R483" s="12">
        <f t="shared" si="80"/>
        <v>-1.4435966178593551E-2</v>
      </c>
      <c r="S483" s="12">
        <f t="shared" si="81"/>
        <v>-2.0504973221116884E-2</v>
      </c>
      <c r="T483" s="12">
        <f t="shared" si="82"/>
        <v>-1.0244286840031536E-2</v>
      </c>
      <c r="U483" s="12">
        <f t="shared" si="83"/>
        <v>-2.6292497526943182E-2</v>
      </c>
      <c r="V483" s="12">
        <f t="shared" si="84"/>
        <v>-3.1078967943705904E-2</v>
      </c>
      <c r="W483" s="12">
        <f t="shared" si="85"/>
        <v>-1.8158147183774176E-2</v>
      </c>
      <c r="X483" s="12">
        <f t="shared" si="86"/>
        <v>8.9847259658579759E-3</v>
      </c>
      <c r="Y483" s="12">
        <f t="shared" si="87"/>
        <v>-3.393449070172494E-2</v>
      </c>
    </row>
    <row r="484" spans="1:25" x14ac:dyDescent="0.35">
      <c r="A484" s="6">
        <v>44826</v>
      </c>
      <c r="B484" s="8">
        <v>3757.99</v>
      </c>
      <c r="C484" s="2">
        <v>152.74</v>
      </c>
      <c r="D484" s="2">
        <v>125.31</v>
      </c>
      <c r="E484" s="2">
        <v>240.98</v>
      </c>
      <c r="F484" s="2">
        <v>517.46</v>
      </c>
      <c r="G484" s="2">
        <v>166.18</v>
      </c>
      <c r="H484" s="2">
        <v>185.79</v>
      </c>
      <c r="I484" s="2">
        <v>143.03</v>
      </c>
      <c r="J484" s="2">
        <v>138.71</v>
      </c>
      <c r="K484" s="2">
        <v>44.46</v>
      </c>
      <c r="L484" s="2">
        <v>170.55</v>
      </c>
      <c r="M484" s="64" t="s">
        <v>77</v>
      </c>
      <c r="N484" s="1"/>
      <c r="O484" s="12">
        <f t="shared" si="77"/>
        <v>-8.4275962880581146E-3</v>
      </c>
      <c r="P484" s="12">
        <f t="shared" si="78"/>
        <v>-6.3752276867030666E-3</v>
      </c>
      <c r="Q484" s="12">
        <f t="shared" si="79"/>
        <v>3.0417033538781002E-3</v>
      </c>
      <c r="R484" s="12">
        <f t="shared" si="80"/>
        <v>8.4955011508682787E-3</v>
      </c>
      <c r="S484" s="12">
        <f t="shared" si="81"/>
        <v>1.0506170910795198E-2</v>
      </c>
      <c r="T484" s="12">
        <f t="shared" si="82"/>
        <v>1.7760901518863337E-2</v>
      </c>
      <c r="U484" s="12">
        <f t="shared" si="83"/>
        <v>-6.5768367019570784E-3</v>
      </c>
      <c r="V484" s="12">
        <f t="shared" si="84"/>
        <v>-3.8195144912917756E-2</v>
      </c>
      <c r="W484" s="12">
        <f t="shared" si="85"/>
        <v>-3.19631516504989E-2</v>
      </c>
      <c r="X484" s="12">
        <f t="shared" si="86"/>
        <v>-1.0240427426536081E-2</v>
      </c>
      <c r="Y484" s="12">
        <f t="shared" si="87"/>
        <v>-8.1419017156149076E-3</v>
      </c>
    </row>
    <row r="485" spans="1:25" x14ac:dyDescent="0.35">
      <c r="A485" s="6">
        <v>44827</v>
      </c>
      <c r="B485" s="8">
        <v>3693.23</v>
      </c>
      <c r="C485" s="2">
        <v>150.43</v>
      </c>
      <c r="D485" s="2">
        <v>122.71</v>
      </c>
      <c r="E485" s="2">
        <v>237.92</v>
      </c>
      <c r="F485" s="2">
        <v>513.61</v>
      </c>
      <c r="G485" s="2">
        <v>166.72</v>
      </c>
      <c r="H485" s="2">
        <v>183.96</v>
      </c>
      <c r="I485" s="2">
        <v>140.26</v>
      </c>
      <c r="J485" s="2">
        <v>131.26</v>
      </c>
      <c r="K485" s="2">
        <v>43.35</v>
      </c>
      <c r="L485" s="2">
        <v>164.24</v>
      </c>
      <c r="M485" s="64" t="s">
        <v>77</v>
      </c>
      <c r="N485" s="1"/>
      <c r="O485" s="12">
        <f t="shared" si="77"/>
        <v>-1.7232616372049869E-2</v>
      </c>
      <c r="P485" s="12">
        <f t="shared" si="78"/>
        <v>-1.5123739688359339E-2</v>
      </c>
      <c r="Q485" s="12">
        <f t="shared" si="79"/>
        <v>-2.0748543611842751E-2</v>
      </c>
      <c r="R485" s="12">
        <f t="shared" si="80"/>
        <v>-1.2698149224002031E-2</v>
      </c>
      <c r="S485" s="12">
        <f t="shared" si="81"/>
        <v>-7.4401886136127304E-3</v>
      </c>
      <c r="T485" s="12">
        <f t="shared" si="82"/>
        <v>3.2494885064386914E-3</v>
      </c>
      <c r="U485" s="12">
        <f t="shared" si="83"/>
        <v>-9.8498304537379955E-3</v>
      </c>
      <c r="V485" s="12">
        <f t="shared" si="84"/>
        <v>-1.9366566454590006E-2</v>
      </c>
      <c r="W485" s="12">
        <f t="shared" si="85"/>
        <v>-5.3709177420517729E-2</v>
      </c>
      <c r="X485" s="12">
        <f t="shared" si="86"/>
        <v>-2.496626180836703E-2</v>
      </c>
      <c r="Y485" s="12">
        <f t="shared" si="87"/>
        <v>-3.6997947815889831E-2</v>
      </c>
    </row>
    <row r="486" spans="1:25" x14ac:dyDescent="0.35">
      <c r="A486" s="6">
        <v>44830</v>
      </c>
      <c r="B486" s="8">
        <v>3655.04</v>
      </c>
      <c r="C486" s="2">
        <v>150.77000000000001</v>
      </c>
      <c r="D486" s="2">
        <v>122.01</v>
      </c>
      <c r="E486" s="2">
        <v>237.45</v>
      </c>
      <c r="F486" s="2">
        <v>508.36</v>
      </c>
      <c r="G486" s="2">
        <v>165.7</v>
      </c>
      <c r="H486" s="2">
        <v>180.59</v>
      </c>
      <c r="I486" s="2">
        <v>137.44999999999999</v>
      </c>
      <c r="J486" s="2">
        <v>127.34</v>
      </c>
      <c r="K486" s="2">
        <v>43.77</v>
      </c>
      <c r="L486" s="2">
        <v>162.62</v>
      </c>
      <c r="M486" s="64" t="s">
        <v>77</v>
      </c>
      <c r="N486" s="1"/>
      <c r="O486" s="12">
        <f t="shared" si="77"/>
        <v>-1.0340542018774879E-2</v>
      </c>
      <c r="P486" s="12">
        <f t="shared" si="78"/>
        <v>2.2601874626071439E-3</v>
      </c>
      <c r="Q486" s="12">
        <f t="shared" si="79"/>
        <v>-5.7045065601823985E-3</v>
      </c>
      <c r="R486" s="12">
        <f t="shared" si="80"/>
        <v>-1.9754539340954835E-3</v>
      </c>
      <c r="S486" s="12">
        <f t="shared" si="81"/>
        <v>-1.0221763594945532E-2</v>
      </c>
      <c r="T486" s="12">
        <f t="shared" si="82"/>
        <v>-6.1180422264875967E-3</v>
      </c>
      <c r="U486" s="12">
        <f t="shared" si="83"/>
        <v>-1.8319199826049126E-2</v>
      </c>
      <c r="V486" s="12">
        <f t="shared" si="84"/>
        <v>-2.003422215884787E-2</v>
      </c>
      <c r="W486" s="12">
        <f t="shared" si="85"/>
        <v>-2.986439128447349E-2</v>
      </c>
      <c r="X486" s="12">
        <f t="shared" si="86"/>
        <v>9.6885813148790412E-3</v>
      </c>
      <c r="Y486" s="12">
        <f t="shared" si="87"/>
        <v>-9.8636142230882351E-3</v>
      </c>
    </row>
    <row r="487" spans="1:25" x14ac:dyDescent="0.35">
      <c r="A487" s="6">
        <v>44831</v>
      </c>
      <c r="B487" s="8">
        <v>3647.29</v>
      </c>
      <c r="C487" s="2">
        <v>151.76</v>
      </c>
      <c r="D487" s="2">
        <v>121.74</v>
      </c>
      <c r="E487" s="2">
        <v>236.41</v>
      </c>
      <c r="F487" s="2">
        <v>508.37</v>
      </c>
      <c r="G487" s="2">
        <v>164.94</v>
      </c>
      <c r="H487" s="2">
        <v>177.87</v>
      </c>
      <c r="I487" s="2">
        <v>137.49</v>
      </c>
      <c r="J487" s="2">
        <v>127.51</v>
      </c>
      <c r="K487" s="2">
        <v>43.65</v>
      </c>
      <c r="L487" s="2">
        <v>162.44</v>
      </c>
      <c r="M487" s="64" t="s">
        <v>77</v>
      </c>
      <c r="N487" s="1"/>
      <c r="O487" s="12">
        <f t="shared" si="77"/>
        <v>-2.1203598319033956E-3</v>
      </c>
      <c r="P487" s="12">
        <f t="shared" si="78"/>
        <v>6.5662930291170429E-3</v>
      </c>
      <c r="Q487" s="12">
        <f t="shared" si="79"/>
        <v>-2.2129333661176087E-3</v>
      </c>
      <c r="R487" s="12">
        <f t="shared" si="80"/>
        <v>-4.3798694461991694E-3</v>
      </c>
      <c r="S487" s="12">
        <f t="shared" si="81"/>
        <v>1.9671099221074684E-5</v>
      </c>
      <c r="T487" s="12">
        <f t="shared" si="82"/>
        <v>-4.5866022933011008E-3</v>
      </c>
      <c r="U487" s="12">
        <f t="shared" si="83"/>
        <v>-1.5061742067667083E-2</v>
      </c>
      <c r="V487" s="12">
        <f t="shared" si="84"/>
        <v>2.9101491451455352E-4</v>
      </c>
      <c r="W487" s="12">
        <f t="shared" si="85"/>
        <v>1.3350086382912796E-3</v>
      </c>
      <c r="X487" s="12">
        <f t="shared" si="86"/>
        <v>-2.7416038382455099E-3</v>
      </c>
      <c r="Y487" s="12">
        <f t="shared" si="87"/>
        <v>-1.1068749231337716E-3</v>
      </c>
    </row>
    <row r="488" spans="1:25" x14ac:dyDescent="0.35">
      <c r="A488" s="6">
        <v>44832</v>
      </c>
      <c r="B488" s="8">
        <v>3719.04</v>
      </c>
      <c r="C488" s="2">
        <v>149.84</v>
      </c>
      <c r="D488" s="2">
        <v>122.76</v>
      </c>
      <c r="E488" s="2">
        <v>241.07</v>
      </c>
      <c r="F488" s="2">
        <v>513.94000000000005</v>
      </c>
      <c r="G488" s="2">
        <v>166.36</v>
      </c>
      <c r="H488" s="2">
        <v>179.18</v>
      </c>
      <c r="I488" s="2">
        <v>140.56</v>
      </c>
      <c r="J488" s="2">
        <v>133.44</v>
      </c>
      <c r="K488" s="2">
        <v>44.37</v>
      </c>
      <c r="L488" s="2">
        <v>167.76</v>
      </c>
      <c r="M488" s="64">
        <v>5.5</v>
      </c>
      <c r="N488" s="1"/>
      <c r="O488" s="12">
        <f t="shared" si="77"/>
        <v>1.9672140136923533E-2</v>
      </c>
      <c r="P488" s="12">
        <f t="shared" si="78"/>
        <v>-1.2651555086979349E-2</v>
      </c>
      <c r="Q488" s="12">
        <f t="shared" si="79"/>
        <v>8.3785115820602662E-3</v>
      </c>
      <c r="R488" s="12">
        <f t="shared" si="80"/>
        <v>1.9711518125290706E-2</v>
      </c>
      <c r="S488" s="12">
        <f t="shared" si="81"/>
        <v>1.0956586738005925E-2</v>
      </c>
      <c r="T488" s="12">
        <f t="shared" si="82"/>
        <v>8.6091912210501942E-3</v>
      </c>
      <c r="U488" s="12">
        <f t="shared" si="83"/>
        <v>7.3649294428514978E-3</v>
      </c>
      <c r="V488" s="12">
        <f t="shared" si="84"/>
        <v>2.2328896647028751E-2</v>
      </c>
      <c r="W488" s="12">
        <f t="shared" si="85"/>
        <v>4.6506156379891639E-2</v>
      </c>
      <c r="X488" s="12">
        <f t="shared" si="86"/>
        <v>1.6494845360824684E-2</v>
      </c>
      <c r="Y488" s="12">
        <f t="shared" si="87"/>
        <v>3.2750554050726466E-2</v>
      </c>
    </row>
    <row r="489" spans="1:25" x14ac:dyDescent="0.35">
      <c r="A489" s="6">
        <v>44833</v>
      </c>
      <c r="B489" s="8">
        <v>3640.47</v>
      </c>
      <c r="C489" s="2">
        <v>142.47999999999999</v>
      </c>
      <c r="D489" s="2">
        <v>121.63</v>
      </c>
      <c r="E489" s="2">
        <v>237.5</v>
      </c>
      <c r="F489" s="2">
        <v>508.83</v>
      </c>
      <c r="G489" s="2">
        <v>164.53</v>
      </c>
      <c r="H489" s="2">
        <v>180.06</v>
      </c>
      <c r="I489" s="2">
        <v>137.79</v>
      </c>
      <c r="J489" s="2">
        <v>125.33</v>
      </c>
      <c r="K489" s="2">
        <v>44.08</v>
      </c>
      <c r="L489" s="2">
        <v>165.9</v>
      </c>
      <c r="M489" s="64" t="s">
        <v>77</v>
      </c>
      <c r="N489" s="1"/>
      <c r="O489" s="12">
        <f t="shared" si="77"/>
        <v>-2.1126419721218426E-2</v>
      </c>
      <c r="P489" s="12">
        <f t="shared" si="78"/>
        <v>-4.911906033101987E-2</v>
      </c>
      <c r="Q489" s="12">
        <f t="shared" si="79"/>
        <v>-9.2049527533398789E-3</v>
      </c>
      <c r="R489" s="12">
        <f t="shared" si="80"/>
        <v>-1.4808976645787508E-2</v>
      </c>
      <c r="S489" s="12">
        <f t="shared" si="81"/>
        <v>-9.9427948787798037E-3</v>
      </c>
      <c r="T489" s="12">
        <f t="shared" si="82"/>
        <v>-1.10002404424141E-2</v>
      </c>
      <c r="U489" s="12">
        <f t="shared" si="83"/>
        <v>4.9112624176805841E-3</v>
      </c>
      <c r="V489" s="12">
        <f t="shared" si="84"/>
        <v>-1.9706886738759311E-2</v>
      </c>
      <c r="W489" s="12">
        <f t="shared" si="85"/>
        <v>-6.0776378896882477E-2</v>
      </c>
      <c r="X489" s="12">
        <f t="shared" si="86"/>
        <v>-6.5359477124182774E-3</v>
      </c>
      <c r="Y489" s="12">
        <f t="shared" si="87"/>
        <v>-1.1087267525035638E-2</v>
      </c>
    </row>
    <row r="490" spans="1:25" x14ac:dyDescent="0.35">
      <c r="A490" s="6">
        <v>44834</v>
      </c>
      <c r="B490" s="8">
        <v>3585.62</v>
      </c>
      <c r="C490" s="2">
        <v>138.19999999999999</v>
      </c>
      <c r="D490" s="2">
        <v>118.81</v>
      </c>
      <c r="E490" s="2">
        <v>232.9</v>
      </c>
      <c r="F490" s="2">
        <v>505.04</v>
      </c>
      <c r="G490" s="2">
        <v>163.36000000000001</v>
      </c>
      <c r="H490" s="2">
        <v>177.65</v>
      </c>
      <c r="I490" s="2">
        <v>134.91</v>
      </c>
      <c r="J490" s="2">
        <v>121.08</v>
      </c>
      <c r="K490" s="2">
        <v>43.23</v>
      </c>
      <c r="L490" s="2">
        <v>164.08</v>
      </c>
      <c r="M490" s="64" t="s">
        <v>77</v>
      </c>
      <c r="N490" s="1"/>
      <c r="O490" s="12">
        <f t="shared" si="77"/>
        <v>-1.506673588849794E-2</v>
      </c>
      <c r="P490" s="12">
        <f t="shared" si="78"/>
        <v>-3.0039303761931535E-2</v>
      </c>
      <c r="Q490" s="12">
        <f t="shared" si="79"/>
        <v>-2.3185069472991815E-2</v>
      </c>
      <c r="R490" s="12">
        <f t="shared" si="80"/>
        <v>-1.936842105263159E-2</v>
      </c>
      <c r="S490" s="12">
        <f t="shared" si="81"/>
        <v>-7.4484601929917238E-3</v>
      </c>
      <c r="T490" s="12">
        <f t="shared" si="82"/>
        <v>-7.1111651370570073E-3</v>
      </c>
      <c r="U490" s="12">
        <f t="shared" si="83"/>
        <v>-1.3384427413084543E-2</v>
      </c>
      <c r="V490" s="12">
        <f t="shared" si="84"/>
        <v>-2.0901371652514711E-2</v>
      </c>
      <c r="W490" s="12">
        <f t="shared" si="85"/>
        <v>-3.391047634245592E-2</v>
      </c>
      <c r="X490" s="12">
        <f t="shared" si="86"/>
        <v>-1.928312159709622E-2</v>
      </c>
      <c r="Y490" s="12">
        <f t="shared" si="87"/>
        <v>-1.0970464135021007E-2</v>
      </c>
    </row>
    <row r="491" spans="1:25" x14ac:dyDescent="0.35">
      <c r="A491" s="6">
        <v>44837</v>
      </c>
      <c r="B491" s="8">
        <v>3678.43</v>
      </c>
      <c r="C491" s="2">
        <v>142.44999999999999</v>
      </c>
      <c r="D491" s="2">
        <v>121.51</v>
      </c>
      <c r="E491" s="2">
        <v>240.74</v>
      </c>
      <c r="F491" s="2">
        <v>515.51</v>
      </c>
      <c r="G491" s="2">
        <v>163.19999999999999</v>
      </c>
      <c r="H491" s="2">
        <v>181.65</v>
      </c>
      <c r="I491" s="2">
        <v>140.02000000000001</v>
      </c>
      <c r="J491" s="2">
        <v>126.05</v>
      </c>
      <c r="K491" s="2">
        <v>44.18</v>
      </c>
      <c r="L491" s="2">
        <v>171.23</v>
      </c>
      <c r="M491" s="64" t="s">
        <v>77</v>
      </c>
      <c r="N491" s="1"/>
      <c r="O491" s="12">
        <f t="shared" si="77"/>
        <v>2.5883947546031072E-2</v>
      </c>
      <c r="P491" s="12">
        <f t="shared" si="78"/>
        <v>3.0752532561505008E-2</v>
      </c>
      <c r="Q491" s="12">
        <f t="shared" si="79"/>
        <v>2.2725359818197122E-2</v>
      </c>
      <c r="R491" s="12">
        <f t="shared" si="80"/>
        <v>3.3662516101331086E-2</v>
      </c>
      <c r="S491" s="12">
        <f t="shared" si="81"/>
        <v>2.0731031205448947E-2</v>
      </c>
      <c r="T491" s="12">
        <f t="shared" si="82"/>
        <v>-9.7943192948102276E-4</v>
      </c>
      <c r="U491" s="12">
        <f t="shared" si="83"/>
        <v>2.251618350689566E-2</v>
      </c>
      <c r="V491" s="12">
        <f t="shared" si="84"/>
        <v>3.7877103254021272E-2</v>
      </c>
      <c r="W491" s="12">
        <f t="shared" si="85"/>
        <v>4.1047241493227693E-2</v>
      </c>
      <c r="X491" s="12">
        <f t="shared" si="86"/>
        <v>2.1975479990747226E-2</v>
      </c>
      <c r="Y491" s="12">
        <f t="shared" si="87"/>
        <v>4.3576304241833119E-2</v>
      </c>
    </row>
    <row r="492" spans="1:25" x14ac:dyDescent="0.35">
      <c r="A492" s="6">
        <v>44838</v>
      </c>
      <c r="B492" s="8">
        <v>3790.93</v>
      </c>
      <c r="C492" s="2">
        <v>146.1</v>
      </c>
      <c r="D492" s="2">
        <v>125.5</v>
      </c>
      <c r="E492" s="2">
        <v>248.88</v>
      </c>
      <c r="F492" s="2">
        <v>523.16999999999996</v>
      </c>
      <c r="G492" s="2">
        <v>165.62</v>
      </c>
      <c r="H492" s="2">
        <v>185.65</v>
      </c>
      <c r="I492" s="2">
        <v>145.46</v>
      </c>
      <c r="J492" s="2">
        <v>133.51</v>
      </c>
      <c r="K492" s="2">
        <v>44.75</v>
      </c>
      <c r="L492" s="2">
        <v>179.63</v>
      </c>
      <c r="M492" s="64" t="s">
        <v>77</v>
      </c>
      <c r="N492" s="1"/>
      <c r="O492" s="12">
        <f t="shared" si="77"/>
        <v>3.0583700111188827E-2</v>
      </c>
      <c r="P492" s="12">
        <f t="shared" si="78"/>
        <v>2.5623025623025653E-2</v>
      </c>
      <c r="Q492" s="12">
        <f t="shared" si="79"/>
        <v>3.2836803555262861E-2</v>
      </c>
      <c r="R492" s="12">
        <f t="shared" si="80"/>
        <v>3.3812411730497649E-2</v>
      </c>
      <c r="S492" s="12">
        <f t="shared" si="81"/>
        <v>1.4859071598998908E-2</v>
      </c>
      <c r="T492" s="12">
        <f t="shared" si="82"/>
        <v>1.4828431372549078E-2</v>
      </c>
      <c r="U492" s="12">
        <f t="shared" si="83"/>
        <v>2.2020368841178195E-2</v>
      </c>
      <c r="V492" s="12">
        <f t="shared" si="84"/>
        <v>3.8851592629624232E-2</v>
      </c>
      <c r="W492" s="12">
        <f t="shared" si="85"/>
        <v>5.9182863942879749E-2</v>
      </c>
      <c r="X492" s="12">
        <f t="shared" si="86"/>
        <v>1.2901765504753193E-2</v>
      </c>
      <c r="Y492" s="12">
        <f t="shared" si="87"/>
        <v>4.9056824154645851E-2</v>
      </c>
    </row>
    <row r="493" spans="1:25" x14ac:dyDescent="0.35">
      <c r="A493" s="6">
        <v>44839</v>
      </c>
      <c r="B493" s="8">
        <v>3783.28</v>
      </c>
      <c r="C493" s="2">
        <v>146.4</v>
      </c>
      <c r="D493" s="2">
        <v>125.74</v>
      </c>
      <c r="E493" s="2">
        <v>249.2</v>
      </c>
      <c r="F493" s="2">
        <v>527.07000000000005</v>
      </c>
      <c r="G493" s="2">
        <v>165.11</v>
      </c>
      <c r="H493" s="2">
        <v>187.67</v>
      </c>
      <c r="I493" s="2">
        <v>144.37</v>
      </c>
      <c r="J493" s="2">
        <v>132.11000000000001</v>
      </c>
      <c r="K493" s="2">
        <v>44.31</v>
      </c>
      <c r="L493" s="2">
        <v>178.38</v>
      </c>
      <c r="M493" s="64">
        <v>5.84</v>
      </c>
      <c r="N493" s="1"/>
      <c r="O493" s="12">
        <f t="shared" si="77"/>
        <v>-2.0179744811957834E-3</v>
      </c>
      <c r="P493" s="12">
        <f t="shared" si="78"/>
        <v>2.0533880903490509E-3</v>
      </c>
      <c r="Q493" s="12">
        <f t="shared" si="79"/>
        <v>1.9123505976095245E-3</v>
      </c>
      <c r="R493" s="12">
        <f t="shared" si="80"/>
        <v>1.2857602057216866E-3</v>
      </c>
      <c r="S493" s="12">
        <f t="shared" si="81"/>
        <v>7.4545558804979262E-3</v>
      </c>
      <c r="T493" s="12">
        <f t="shared" si="82"/>
        <v>-3.0793382441733907E-3</v>
      </c>
      <c r="U493" s="12">
        <f t="shared" si="83"/>
        <v>1.0880689469431548E-2</v>
      </c>
      <c r="V493" s="12">
        <f t="shared" si="84"/>
        <v>-7.4934689949127664E-3</v>
      </c>
      <c r="W493" s="12">
        <f t="shared" si="85"/>
        <v>-1.0486105909669474E-2</v>
      </c>
      <c r="X493" s="12">
        <f t="shared" si="86"/>
        <v>-9.8324022346367723E-3</v>
      </c>
      <c r="Y493" s="12">
        <f t="shared" si="87"/>
        <v>-6.9587485386628511E-3</v>
      </c>
    </row>
    <row r="494" spans="1:25" x14ac:dyDescent="0.35">
      <c r="A494" s="6">
        <v>44840</v>
      </c>
      <c r="B494" s="8">
        <v>3744.52</v>
      </c>
      <c r="C494" s="2">
        <v>145.43</v>
      </c>
      <c r="D494" s="2">
        <v>122.23</v>
      </c>
      <c r="E494" s="2">
        <v>246.79</v>
      </c>
      <c r="F494" s="2">
        <v>519.13</v>
      </c>
      <c r="G494" s="2">
        <v>161.91</v>
      </c>
      <c r="H494" s="2">
        <v>185.59</v>
      </c>
      <c r="I494" s="2">
        <v>142.38</v>
      </c>
      <c r="J494" s="2">
        <v>132.19999999999999</v>
      </c>
      <c r="K494" s="2">
        <v>43.89</v>
      </c>
      <c r="L494" s="2">
        <v>178.81</v>
      </c>
      <c r="M494" s="64" t="s">
        <v>77</v>
      </c>
      <c r="N494" s="1"/>
      <c r="O494" s="12">
        <f t="shared" si="77"/>
        <v>-1.0245078344716774E-2</v>
      </c>
      <c r="P494" s="12">
        <f t="shared" si="78"/>
        <v>-6.6256830601092442E-3</v>
      </c>
      <c r="Q494" s="12">
        <f t="shared" si="79"/>
        <v>-2.7914744711308948E-2</v>
      </c>
      <c r="R494" s="12">
        <f t="shared" si="80"/>
        <v>-9.6709470304975342E-3</v>
      </c>
      <c r="S494" s="12">
        <f t="shared" si="81"/>
        <v>-1.5064412696605856E-2</v>
      </c>
      <c r="T494" s="12">
        <f t="shared" si="82"/>
        <v>-1.938101871479625E-2</v>
      </c>
      <c r="U494" s="12">
        <f t="shared" si="83"/>
        <v>-1.1083284488730083E-2</v>
      </c>
      <c r="V494" s="12">
        <f t="shared" si="84"/>
        <v>-1.3784027152455525E-2</v>
      </c>
      <c r="W494" s="12">
        <f t="shared" si="85"/>
        <v>6.812504730904223E-4</v>
      </c>
      <c r="X494" s="12">
        <f t="shared" si="86"/>
        <v>-9.4786729857819774E-3</v>
      </c>
      <c r="Y494" s="12">
        <f t="shared" si="87"/>
        <v>2.4105841462047639E-3</v>
      </c>
    </row>
    <row r="495" spans="1:25" x14ac:dyDescent="0.35">
      <c r="A495" s="6">
        <v>44841</v>
      </c>
      <c r="B495" s="8">
        <v>3639.66</v>
      </c>
      <c r="C495" s="2">
        <v>140.09</v>
      </c>
      <c r="D495" s="2">
        <v>118.82</v>
      </c>
      <c r="E495" s="2">
        <v>234.24</v>
      </c>
      <c r="F495" s="2">
        <v>504.85</v>
      </c>
      <c r="G495" s="2">
        <v>160.19999999999999</v>
      </c>
      <c r="H495" s="2">
        <v>183.83</v>
      </c>
      <c r="I495" s="2">
        <v>139</v>
      </c>
      <c r="J495" s="2">
        <v>129.79</v>
      </c>
      <c r="K495" s="2">
        <v>42.85</v>
      </c>
      <c r="L495" s="2">
        <v>177.55</v>
      </c>
      <c r="M495" s="64" t="s">
        <v>77</v>
      </c>
      <c r="N495" s="1"/>
      <c r="O495" s="12">
        <f t="shared" si="77"/>
        <v>-2.8003589245083504E-2</v>
      </c>
      <c r="P495" s="12">
        <f t="shared" si="78"/>
        <v>-3.6718696279997243E-2</v>
      </c>
      <c r="Q495" s="12">
        <f t="shared" si="79"/>
        <v>-2.7898224658430948E-2</v>
      </c>
      <c r="R495" s="12">
        <f t="shared" si="80"/>
        <v>-5.0852951902427113E-2</v>
      </c>
      <c r="S495" s="12">
        <f t="shared" si="81"/>
        <v>-2.7507560726600211E-2</v>
      </c>
      <c r="T495" s="12">
        <f t="shared" si="82"/>
        <v>-1.0561423012784954E-2</v>
      </c>
      <c r="U495" s="12">
        <f t="shared" si="83"/>
        <v>-9.4832695727139482E-3</v>
      </c>
      <c r="V495" s="12">
        <f t="shared" si="84"/>
        <v>-2.373928922601487E-2</v>
      </c>
      <c r="W495" s="12">
        <f t="shared" si="85"/>
        <v>-1.8229954614220834E-2</v>
      </c>
      <c r="X495" s="12">
        <f t="shared" si="86"/>
        <v>-2.3695602642970992E-2</v>
      </c>
      <c r="Y495" s="12">
        <f t="shared" si="87"/>
        <v>-7.0465857614226968E-3</v>
      </c>
    </row>
    <row r="496" spans="1:25" x14ac:dyDescent="0.35">
      <c r="A496" s="6">
        <v>44844</v>
      </c>
      <c r="B496" s="8">
        <v>3612.39</v>
      </c>
      <c r="C496" s="2">
        <v>140.41999999999999</v>
      </c>
      <c r="D496" s="2">
        <v>117.75</v>
      </c>
      <c r="E496" s="2">
        <v>229.25</v>
      </c>
      <c r="F496" s="2">
        <v>498.86</v>
      </c>
      <c r="G496" s="2">
        <v>160.41</v>
      </c>
      <c r="H496" s="2">
        <v>182.18</v>
      </c>
      <c r="I496" s="2">
        <v>137.51</v>
      </c>
      <c r="J496" s="2">
        <v>131.9</v>
      </c>
      <c r="K496" s="2">
        <v>43.11</v>
      </c>
      <c r="L496" s="2">
        <v>178.67</v>
      </c>
      <c r="M496" s="64" t="s">
        <v>77</v>
      </c>
      <c r="N496" s="1"/>
      <c r="O496" s="12">
        <f t="shared" si="77"/>
        <v>-7.4924580867443691E-3</v>
      </c>
      <c r="P496" s="12">
        <f t="shared" si="78"/>
        <v>2.3556285245198705E-3</v>
      </c>
      <c r="Q496" s="12">
        <f t="shared" si="79"/>
        <v>-9.0052179767715623E-3</v>
      </c>
      <c r="R496" s="12">
        <f t="shared" si="80"/>
        <v>-2.1302937158469981E-2</v>
      </c>
      <c r="S496" s="12">
        <f t="shared" si="81"/>
        <v>-1.1864910369416726E-2</v>
      </c>
      <c r="T496" s="12">
        <f t="shared" si="82"/>
        <v>1.3108614232211213E-3</v>
      </c>
      <c r="U496" s="12">
        <f t="shared" si="83"/>
        <v>-8.9756840559213069E-3</v>
      </c>
      <c r="V496" s="12">
        <f t="shared" si="84"/>
        <v>-1.0719424460431726E-2</v>
      </c>
      <c r="W496" s="12">
        <f t="shared" si="85"/>
        <v>1.6257030587872867E-2</v>
      </c>
      <c r="X496" s="12">
        <f t="shared" si="86"/>
        <v>6.0676779463242347E-3</v>
      </c>
      <c r="Y496" s="12">
        <f t="shared" si="87"/>
        <v>6.3080822303576145E-3</v>
      </c>
    </row>
    <row r="497" spans="1:25" x14ac:dyDescent="0.35">
      <c r="A497" s="6">
        <v>44845</v>
      </c>
      <c r="B497" s="8">
        <v>3588.84</v>
      </c>
      <c r="C497" s="2">
        <v>138.97999999999999</v>
      </c>
      <c r="D497" s="2">
        <v>117.8</v>
      </c>
      <c r="E497" s="2">
        <v>225.41</v>
      </c>
      <c r="F497" s="2">
        <v>499.81</v>
      </c>
      <c r="G497" s="2">
        <v>162.72999999999999</v>
      </c>
      <c r="H497" s="2">
        <v>179.14</v>
      </c>
      <c r="I497" s="2">
        <v>137.35</v>
      </c>
      <c r="J497" s="2">
        <v>131.57</v>
      </c>
      <c r="K497" s="2">
        <v>44.22</v>
      </c>
      <c r="L497" s="2">
        <v>179.75</v>
      </c>
      <c r="M497" s="64">
        <v>5.75</v>
      </c>
      <c r="N497" s="1"/>
      <c r="O497" s="12">
        <f t="shared" si="77"/>
        <v>-6.5192296512833758E-3</v>
      </c>
      <c r="P497" s="12">
        <f t="shared" si="78"/>
        <v>-1.0254949437402017E-2</v>
      </c>
      <c r="Q497" s="12">
        <f t="shared" si="79"/>
        <v>4.2462845010615702E-4</v>
      </c>
      <c r="R497" s="12">
        <f t="shared" si="80"/>
        <v>-1.6750272628135221E-2</v>
      </c>
      <c r="S497" s="12">
        <f t="shared" si="81"/>
        <v>1.9043418995308148E-3</v>
      </c>
      <c r="T497" s="12">
        <f t="shared" si="82"/>
        <v>1.4462938719531193E-2</v>
      </c>
      <c r="U497" s="12">
        <f t="shared" si="83"/>
        <v>-1.6686793281370238E-2</v>
      </c>
      <c r="V497" s="12">
        <f t="shared" si="84"/>
        <v>-1.1635517416914709E-3</v>
      </c>
      <c r="W497" s="12">
        <f t="shared" si="85"/>
        <v>-2.5018953752844464E-3</v>
      </c>
      <c r="X497" s="12">
        <f t="shared" si="86"/>
        <v>2.5748086290883876E-2</v>
      </c>
      <c r="Y497" s="12">
        <f t="shared" si="87"/>
        <v>6.0446633458330901E-3</v>
      </c>
    </row>
    <row r="498" spans="1:25" x14ac:dyDescent="0.35">
      <c r="A498" s="6">
        <v>44846</v>
      </c>
      <c r="B498" s="8">
        <v>3577.03</v>
      </c>
      <c r="C498" s="2">
        <v>138.34</v>
      </c>
      <c r="D498" s="2">
        <v>117.57</v>
      </c>
      <c r="E498" s="2">
        <v>225.75</v>
      </c>
      <c r="F498" s="2">
        <v>499.96</v>
      </c>
      <c r="G498" s="2">
        <v>162.69</v>
      </c>
      <c r="H498" s="2">
        <v>178.24</v>
      </c>
      <c r="I498" s="2">
        <v>136.74</v>
      </c>
      <c r="J498" s="2">
        <v>130.41999999999999</v>
      </c>
      <c r="K498" s="2">
        <v>43.72</v>
      </c>
      <c r="L498" s="2">
        <v>179.5</v>
      </c>
      <c r="M498" s="64" t="s">
        <v>77</v>
      </c>
      <c r="N498" s="1"/>
      <c r="O498" s="12">
        <f t="shared" si="77"/>
        <v>-3.2907569019515748E-3</v>
      </c>
      <c r="P498" s="12">
        <f t="shared" si="78"/>
        <v>-4.6049791336881807E-3</v>
      </c>
      <c r="Q498" s="12">
        <f t="shared" si="79"/>
        <v>-1.9524617996604654E-3</v>
      </c>
      <c r="R498" s="12">
        <f t="shared" si="80"/>
        <v>1.5083625393728095E-3</v>
      </c>
      <c r="S498" s="12">
        <f t="shared" si="81"/>
        <v>3.0011404333651903E-4</v>
      </c>
      <c r="T498" s="12">
        <f t="shared" si="82"/>
        <v>-2.4580593621326141E-4</v>
      </c>
      <c r="U498" s="12">
        <f t="shared" si="83"/>
        <v>-5.024003572624669E-3</v>
      </c>
      <c r="V498" s="12">
        <f t="shared" si="84"/>
        <v>-4.4412085911902377E-3</v>
      </c>
      <c r="W498" s="12">
        <f t="shared" si="85"/>
        <v>-8.7405943604165204E-3</v>
      </c>
      <c r="X498" s="12">
        <f t="shared" si="86"/>
        <v>-1.1307100859339614E-2</v>
      </c>
      <c r="Y498" s="12">
        <f t="shared" si="87"/>
        <v>-1.3908205841446364E-3</v>
      </c>
    </row>
    <row r="499" spans="1:25" x14ac:dyDescent="0.35">
      <c r="A499" s="6">
        <v>44847</v>
      </c>
      <c r="B499" s="8">
        <v>3669.91</v>
      </c>
      <c r="C499" s="2">
        <v>142.99</v>
      </c>
      <c r="D499" s="2">
        <v>121.79</v>
      </c>
      <c r="E499" s="2">
        <v>234.24</v>
      </c>
      <c r="F499" s="2">
        <v>509.91</v>
      </c>
      <c r="G499" s="2">
        <v>165.15</v>
      </c>
      <c r="H499" s="2">
        <v>184.66</v>
      </c>
      <c r="I499" s="2">
        <v>141.55000000000001</v>
      </c>
      <c r="J499" s="2">
        <v>132.4</v>
      </c>
      <c r="K499" s="2">
        <v>44.09</v>
      </c>
      <c r="L499" s="2">
        <v>183.14</v>
      </c>
      <c r="M499" s="64" t="s">
        <v>77</v>
      </c>
      <c r="N499" s="1"/>
      <c r="O499" s="12">
        <f t="shared" si="77"/>
        <v>2.5965675434648228E-2</v>
      </c>
      <c r="P499" s="12">
        <f t="shared" si="78"/>
        <v>3.3612837935521167E-2</v>
      </c>
      <c r="Q499" s="12">
        <f t="shared" si="79"/>
        <v>3.5893510249213278E-2</v>
      </c>
      <c r="R499" s="12">
        <f t="shared" si="80"/>
        <v>3.760797342192701E-2</v>
      </c>
      <c r="S499" s="12">
        <f t="shared" si="81"/>
        <v>1.9901592127370193E-2</v>
      </c>
      <c r="T499" s="12">
        <f t="shared" si="82"/>
        <v>1.5120781855061827E-2</v>
      </c>
      <c r="U499" s="12">
        <f t="shared" si="83"/>
        <v>3.6018850987432627E-2</v>
      </c>
      <c r="V499" s="12">
        <f t="shared" si="84"/>
        <v>3.5176246891911678E-2</v>
      </c>
      <c r="W499" s="12">
        <f t="shared" si="85"/>
        <v>1.5181720595000892E-2</v>
      </c>
      <c r="X499" s="12">
        <f t="shared" si="86"/>
        <v>8.4629460201282036E-3</v>
      </c>
      <c r="Y499" s="12">
        <f t="shared" si="87"/>
        <v>2.0278551532033395E-2</v>
      </c>
    </row>
    <row r="500" spans="1:25" x14ac:dyDescent="0.35">
      <c r="A500" s="6">
        <v>44848</v>
      </c>
      <c r="B500" s="8">
        <v>3583.07</v>
      </c>
      <c r="C500" s="2">
        <v>138.38</v>
      </c>
      <c r="D500" s="2">
        <v>120.04</v>
      </c>
      <c r="E500" s="2">
        <v>228.56</v>
      </c>
      <c r="F500" s="2">
        <v>513.13</v>
      </c>
      <c r="G500" s="2">
        <v>164.46</v>
      </c>
      <c r="H500" s="2">
        <v>182.62</v>
      </c>
      <c r="I500" s="2">
        <v>136.81</v>
      </c>
      <c r="J500" s="2">
        <v>133.15</v>
      </c>
      <c r="K500" s="2">
        <v>43.48</v>
      </c>
      <c r="L500" s="2">
        <v>178.19</v>
      </c>
      <c r="M500" s="64" t="s">
        <v>77</v>
      </c>
      <c r="N500" s="1"/>
      <c r="O500" s="12">
        <f t="shared" si="77"/>
        <v>-2.3662705624933444E-2</v>
      </c>
      <c r="P500" s="12">
        <f t="shared" si="78"/>
        <v>-3.224001678439059E-2</v>
      </c>
      <c r="Q500" s="12">
        <f t="shared" si="79"/>
        <v>-1.4368995812464092E-2</v>
      </c>
      <c r="R500" s="12">
        <f t="shared" si="80"/>
        <v>-2.4248633879781489E-2</v>
      </c>
      <c r="S500" s="12">
        <f t="shared" si="81"/>
        <v>6.3148398737031819E-3</v>
      </c>
      <c r="T500" s="12">
        <f t="shared" si="82"/>
        <v>-4.1780199818346464E-3</v>
      </c>
      <c r="U500" s="12">
        <f t="shared" si="83"/>
        <v>-1.1047330228528107E-2</v>
      </c>
      <c r="V500" s="12">
        <f t="shared" si="84"/>
        <v>-3.3486400565171381E-2</v>
      </c>
      <c r="W500" s="12">
        <f t="shared" si="85"/>
        <v>5.6646525679757698E-3</v>
      </c>
      <c r="X500" s="12">
        <f t="shared" si="86"/>
        <v>-1.3835336811068411E-2</v>
      </c>
      <c r="Y500" s="12">
        <f t="shared" si="87"/>
        <v>-2.7028502784754771E-2</v>
      </c>
    </row>
    <row r="501" spans="1:25" x14ac:dyDescent="0.35">
      <c r="A501" s="6">
        <v>44851</v>
      </c>
      <c r="B501" s="8">
        <v>3677.95</v>
      </c>
      <c r="C501" s="2">
        <v>142.41</v>
      </c>
      <c r="D501" s="2">
        <v>121.52</v>
      </c>
      <c r="E501" s="2">
        <v>237.53</v>
      </c>
      <c r="F501" s="2">
        <v>521.88</v>
      </c>
      <c r="G501" s="2">
        <v>166.59</v>
      </c>
      <c r="H501" s="2">
        <v>185.25</v>
      </c>
      <c r="I501" s="2">
        <v>141.54</v>
      </c>
      <c r="J501" s="2">
        <v>136.09</v>
      </c>
      <c r="K501" s="2">
        <v>43.79</v>
      </c>
      <c r="L501" s="2">
        <v>180.8</v>
      </c>
      <c r="M501" s="64" t="s">
        <v>77</v>
      </c>
      <c r="N501" s="1"/>
      <c r="O501" s="12">
        <f t="shared" si="77"/>
        <v>2.6480085513260976E-2</v>
      </c>
      <c r="P501" s="12">
        <f t="shared" si="78"/>
        <v>2.9122705593293885E-2</v>
      </c>
      <c r="Q501" s="12">
        <f t="shared" si="79"/>
        <v>1.2329223592135952E-2</v>
      </c>
      <c r="R501" s="12">
        <f t="shared" si="80"/>
        <v>3.9245712285614243E-2</v>
      </c>
      <c r="S501" s="12">
        <f t="shared" si="81"/>
        <v>1.705220899187343E-2</v>
      </c>
      <c r="T501" s="12">
        <f t="shared" si="82"/>
        <v>1.2951477562933134E-2</v>
      </c>
      <c r="U501" s="12">
        <f t="shared" si="83"/>
        <v>1.4401489431606684E-2</v>
      </c>
      <c r="V501" s="12">
        <f t="shared" si="84"/>
        <v>3.4573496089467026E-2</v>
      </c>
      <c r="W501" s="12">
        <f t="shared" si="85"/>
        <v>2.2080360495681628E-2</v>
      </c>
      <c r="X501" s="12">
        <f t="shared" si="86"/>
        <v>7.1297148114075615E-3</v>
      </c>
      <c r="Y501" s="12">
        <f t="shared" si="87"/>
        <v>1.4647286604186682E-2</v>
      </c>
    </row>
    <row r="502" spans="1:25" x14ac:dyDescent="0.35">
      <c r="A502" s="6">
        <v>44852</v>
      </c>
      <c r="B502" s="8">
        <v>3719.98</v>
      </c>
      <c r="C502" s="2">
        <v>143.75</v>
      </c>
      <c r="D502" s="2">
        <v>122.94</v>
      </c>
      <c r="E502" s="2">
        <v>238.5</v>
      </c>
      <c r="F502" s="2">
        <v>522.21</v>
      </c>
      <c r="G502" s="2">
        <v>166.01</v>
      </c>
      <c r="H502" s="2">
        <v>187.17</v>
      </c>
      <c r="I502" s="2">
        <v>145.99</v>
      </c>
      <c r="J502" s="2">
        <v>137.34</v>
      </c>
      <c r="K502" s="2">
        <v>44.71</v>
      </c>
      <c r="L502" s="2">
        <v>183.55</v>
      </c>
      <c r="M502" s="64">
        <v>5.95</v>
      </c>
      <c r="N502" s="1"/>
      <c r="O502" s="12">
        <f t="shared" si="77"/>
        <v>1.1427561549232745E-2</v>
      </c>
      <c r="P502" s="12">
        <f t="shared" si="78"/>
        <v>9.4094515834561854E-3</v>
      </c>
      <c r="Q502" s="12">
        <f t="shared" si="79"/>
        <v>1.1685319289005847E-2</v>
      </c>
      <c r="R502" s="12">
        <f t="shared" si="80"/>
        <v>4.0836946911968486E-3</v>
      </c>
      <c r="S502" s="12">
        <f t="shared" si="81"/>
        <v>6.3232927109679871E-4</v>
      </c>
      <c r="T502" s="12">
        <f t="shared" si="82"/>
        <v>-3.4816015367069575E-3</v>
      </c>
      <c r="U502" s="12">
        <f t="shared" si="83"/>
        <v>1.0364372469635619E-2</v>
      </c>
      <c r="V502" s="12">
        <f t="shared" si="84"/>
        <v>3.1439875653525684E-2</v>
      </c>
      <c r="W502" s="12">
        <f t="shared" si="85"/>
        <v>9.1850980968477547E-3</v>
      </c>
      <c r="X502" s="12">
        <f t="shared" si="86"/>
        <v>2.1009362868234849E-2</v>
      </c>
      <c r="Y502" s="12">
        <f t="shared" si="87"/>
        <v>1.5210176991150348E-2</v>
      </c>
    </row>
    <row r="503" spans="1:25" x14ac:dyDescent="0.35">
      <c r="A503" s="6">
        <v>44853</v>
      </c>
      <c r="B503" s="8">
        <v>3695.16</v>
      </c>
      <c r="C503" s="2">
        <v>143.86000000000001</v>
      </c>
      <c r="D503" s="2">
        <v>122.51</v>
      </c>
      <c r="E503" s="2">
        <v>236.48</v>
      </c>
      <c r="F503" s="2">
        <v>520.32000000000005</v>
      </c>
      <c r="G503" s="2">
        <v>164.69</v>
      </c>
      <c r="H503" s="2">
        <v>186.41</v>
      </c>
      <c r="I503" s="2">
        <v>143.97</v>
      </c>
      <c r="J503" s="2">
        <v>138.38999999999999</v>
      </c>
      <c r="K503" s="2">
        <v>44.59</v>
      </c>
      <c r="L503" s="2">
        <v>184.41</v>
      </c>
      <c r="M503" s="64" t="s">
        <v>77</v>
      </c>
      <c r="N503" s="1"/>
      <c r="O503" s="12">
        <f t="shared" si="77"/>
        <v>-6.6720788821446053E-3</v>
      </c>
      <c r="P503" s="12">
        <f t="shared" si="78"/>
        <v>7.6521739130441802E-4</v>
      </c>
      <c r="Q503" s="12">
        <f t="shared" si="79"/>
        <v>-3.4976411257523488E-3</v>
      </c>
      <c r="R503" s="12">
        <f t="shared" si="80"/>
        <v>-8.4696016771489413E-3</v>
      </c>
      <c r="S503" s="12">
        <f t="shared" si="81"/>
        <v>-3.6192336416384085E-3</v>
      </c>
      <c r="T503" s="12">
        <f t="shared" si="82"/>
        <v>-7.9513282332389634E-3</v>
      </c>
      <c r="U503" s="12">
        <f t="shared" si="83"/>
        <v>-4.0604797777421542E-3</v>
      </c>
      <c r="V503" s="12">
        <f t="shared" si="84"/>
        <v>-1.3836564148229424E-2</v>
      </c>
      <c r="W503" s="12">
        <f t="shared" si="85"/>
        <v>7.6452599388376896E-3</v>
      </c>
      <c r="X503" s="12">
        <f t="shared" si="86"/>
        <v>-2.6839633191678702E-3</v>
      </c>
      <c r="Y503" s="12">
        <f t="shared" si="87"/>
        <v>4.6853718332877659E-3</v>
      </c>
    </row>
    <row r="504" spans="1:25" x14ac:dyDescent="0.35">
      <c r="A504" s="6">
        <v>44854</v>
      </c>
      <c r="B504" s="8">
        <v>3665.78</v>
      </c>
      <c r="C504" s="2">
        <v>143.38999999999999</v>
      </c>
      <c r="D504" s="2">
        <v>128.30000000000001</v>
      </c>
      <c r="E504" s="2">
        <v>236.15</v>
      </c>
      <c r="F504" s="2">
        <v>520.88</v>
      </c>
      <c r="G504" s="2">
        <v>165.11</v>
      </c>
      <c r="H504" s="2">
        <v>187.22</v>
      </c>
      <c r="I504" s="2">
        <v>142.41999999999999</v>
      </c>
      <c r="J504" s="2">
        <v>139.13</v>
      </c>
      <c r="K504" s="2">
        <v>44.7</v>
      </c>
      <c r="L504" s="2">
        <v>180.54</v>
      </c>
      <c r="M504" s="64" t="s">
        <v>77</v>
      </c>
      <c r="N504" s="1"/>
      <c r="O504" s="12">
        <f t="shared" si="77"/>
        <v>-7.9509412312320782E-3</v>
      </c>
      <c r="P504" s="12">
        <f t="shared" si="78"/>
        <v>-3.2670652022801505E-3</v>
      </c>
      <c r="Q504" s="12">
        <f t="shared" si="79"/>
        <v>4.7261448045057497E-2</v>
      </c>
      <c r="R504" s="12">
        <f t="shared" si="80"/>
        <v>-1.3954668470905762E-3</v>
      </c>
      <c r="S504" s="12">
        <f t="shared" si="81"/>
        <v>1.0762607626075837E-3</v>
      </c>
      <c r="T504" s="12">
        <f t="shared" si="82"/>
        <v>2.5502459165707148E-3</v>
      </c>
      <c r="U504" s="12">
        <f t="shared" si="83"/>
        <v>4.3452604474008005E-3</v>
      </c>
      <c r="V504" s="12">
        <f t="shared" si="84"/>
        <v>-1.0766131833020887E-2</v>
      </c>
      <c r="W504" s="12">
        <f t="shared" si="85"/>
        <v>5.3472071681479605E-3</v>
      </c>
      <c r="X504" s="12">
        <f t="shared" si="86"/>
        <v>2.4669208342678051E-3</v>
      </c>
      <c r="Y504" s="12">
        <f t="shared" si="87"/>
        <v>-2.0985846754514426E-2</v>
      </c>
    </row>
    <row r="505" spans="1:25" x14ac:dyDescent="0.35">
      <c r="A505" s="6">
        <v>44855</v>
      </c>
      <c r="B505" s="8">
        <v>3752.75</v>
      </c>
      <c r="C505" s="2">
        <v>147.27000000000001</v>
      </c>
      <c r="D505" s="2">
        <v>129.9</v>
      </c>
      <c r="E505" s="2">
        <v>242.12</v>
      </c>
      <c r="F505" s="2">
        <v>533.73</v>
      </c>
      <c r="G505" s="2">
        <v>168.71</v>
      </c>
      <c r="H505" s="2">
        <v>190.37</v>
      </c>
      <c r="I505" s="2">
        <v>140.04</v>
      </c>
      <c r="J505" s="2">
        <v>141.32</v>
      </c>
      <c r="K505" s="2">
        <v>45.6</v>
      </c>
      <c r="L505" s="2">
        <v>190.22</v>
      </c>
      <c r="M505" s="64" t="s">
        <v>77</v>
      </c>
      <c r="N505" s="1"/>
      <c r="O505" s="12">
        <f t="shared" si="77"/>
        <v>2.3724828003862664E-2</v>
      </c>
      <c r="P505" s="12">
        <f t="shared" si="78"/>
        <v>2.7059069670130498E-2</v>
      </c>
      <c r="Q505" s="12">
        <f t="shared" si="79"/>
        <v>1.2470771628994459E-2</v>
      </c>
      <c r="R505" s="12">
        <f t="shared" si="80"/>
        <v>2.5280542028371711E-2</v>
      </c>
      <c r="S505" s="12">
        <f t="shared" si="81"/>
        <v>2.4669789586853064E-2</v>
      </c>
      <c r="T505" s="12">
        <f t="shared" si="82"/>
        <v>2.1803646054145753E-2</v>
      </c>
      <c r="U505" s="12">
        <f t="shared" si="83"/>
        <v>1.682512552077764E-2</v>
      </c>
      <c r="V505" s="12">
        <f t="shared" si="84"/>
        <v>-1.671113607639374E-2</v>
      </c>
      <c r="W505" s="12">
        <f t="shared" si="85"/>
        <v>1.5740674189606896E-2</v>
      </c>
      <c r="X505" s="12">
        <f t="shared" si="86"/>
        <v>2.0134228187919323E-2</v>
      </c>
      <c r="Y505" s="12">
        <f t="shared" si="87"/>
        <v>5.361692699678744E-2</v>
      </c>
    </row>
    <row r="506" spans="1:25" x14ac:dyDescent="0.35">
      <c r="A506" s="6">
        <v>44858</v>
      </c>
      <c r="B506" s="8">
        <v>3797.34</v>
      </c>
      <c r="C506" s="2">
        <v>149.44999999999999</v>
      </c>
      <c r="D506" s="2">
        <v>132.69</v>
      </c>
      <c r="E506" s="2">
        <v>247.25</v>
      </c>
      <c r="F506" s="2">
        <v>541.6</v>
      </c>
      <c r="G506" s="2">
        <v>170.98</v>
      </c>
      <c r="H506" s="2">
        <v>190.71</v>
      </c>
      <c r="I506" s="2">
        <v>141.63</v>
      </c>
      <c r="J506" s="2">
        <v>142.05000000000001</v>
      </c>
      <c r="K506" s="2">
        <v>46.47</v>
      </c>
      <c r="L506" s="2">
        <v>191.3</v>
      </c>
      <c r="M506" s="64" t="s">
        <v>77</v>
      </c>
      <c r="N506" s="1"/>
      <c r="O506" s="12">
        <f t="shared" si="77"/>
        <v>1.1881953234294862E-2</v>
      </c>
      <c r="P506" s="12">
        <f t="shared" si="78"/>
        <v>1.4802743260677431E-2</v>
      </c>
      <c r="Q506" s="12">
        <f t="shared" si="79"/>
        <v>2.147806004618924E-2</v>
      </c>
      <c r="R506" s="12">
        <f t="shared" si="80"/>
        <v>2.1187840740128916E-2</v>
      </c>
      <c r="S506" s="12">
        <f t="shared" si="81"/>
        <v>1.4745283195623182E-2</v>
      </c>
      <c r="T506" s="12">
        <f t="shared" si="82"/>
        <v>1.345504119494989E-2</v>
      </c>
      <c r="U506" s="12">
        <f t="shared" si="83"/>
        <v>1.7859956925987408E-3</v>
      </c>
      <c r="V506" s="12">
        <f t="shared" si="84"/>
        <v>1.1353898886032665E-2</v>
      </c>
      <c r="W506" s="12">
        <f t="shared" si="85"/>
        <v>5.1655816586471115E-3</v>
      </c>
      <c r="X506" s="12">
        <f t="shared" si="86"/>
        <v>1.9078947368420973E-2</v>
      </c>
      <c r="Y506" s="12">
        <f t="shared" si="87"/>
        <v>5.6776364209862873E-3</v>
      </c>
    </row>
    <row r="507" spans="1:25" x14ac:dyDescent="0.35">
      <c r="A507" s="6">
        <v>44859</v>
      </c>
      <c r="B507" s="8">
        <v>3859.11</v>
      </c>
      <c r="C507" s="2">
        <v>152.34</v>
      </c>
      <c r="D507" s="2">
        <v>132.93</v>
      </c>
      <c r="E507" s="2">
        <v>250.66</v>
      </c>
      <c r="F507" s="2">
        <v>540.22</v>
      </c>
      <c r="G507" s="2">
        <v>170.71</v>
      </c>
      <c r="H507" s="2">
        <v>194.38</v>
      </c>
      <c r="I507" s="2">
        <v>147.02000000000001</v>
      </c>
      <c r="J507" s="2">
        <v>146.65</v>
      </c>
      <c r="K507" s="2">
        <v>46.69</v>
      </c>
      <c r="L507" s="2">
        <v>194.84</v>
      </c>
      <c r="M507" s="64">
        <v>5.94</v>
      </c>
      <c r="N507" s="1"/>
      <c r="O507" s="12">
        <f t="shared" si="77"/>
        <v>1.6266649812763712E-2</v>
      </c>
      <c r="P507" s="12">
        <f t="shared" si="78"/>
        <v>1.9337571094011574E-2</v>
      </c>
      <c r="Q507" s="12">
        <f t="shared" si="79"/>
        <v>1.8087271082976031E-3</v>
      </c>
      <c r="R507" s="12">
        <f t="shared" si="80"/>
        <v>1.3791708796764501E-2</v>
      </c>
      <c r="S507" s="12">
        <f t="shared" si="81"/>
        <v>-2.5480059084195261E-3</v>
      </c>
      <c r="T507" s="12">
        <f t="shared" si="82"/>
        <v>-1.5791320622293714E-3</v>
      </c>
      <c r="U507" s="12">
        <f t="shared" si="83"/>
        <v>1.9243878139583614E-2</v>
      </c>
      <c r="V507" s="12">
        <f t="shared" si="84"/>
        <v>3.8056908846995752E-2</v>
      </c>
      <c r="W507" s="12">
        <f t="shared" si="85"/>
        <v>3.2382963745160032E-2</v>
      </c>
      <c r="X507" s="12">
        <f t="shared" si="86"/>
        <v>4.7342371422423035E-3</v>
      </c>
      <c r="Y507" s="12">
        <f t="shared" si="87"/>
        <v>1.8504966021954949E-2</v>
      </c>
    </row>
    <row r="508" spans="1:25" x14ac:dyDescent="0.35">
      <c r="A508" s="6">
        <v>44860</v>
      </c>
      <c r="B508" s="8">
        <v>3830.6</v>
      </c>
      <c r="C508" s="2">
        <v>149.35</v>
      </c>
      <c r="D508" s="2">
        <v>135.01</v>
      </c>
      <c r="E508" s="2">
        <v>231.32</v>
      </c>
      <c r="F508" s="2">
        <v>543.16999999999996</v>
      </c>
      <c r="G508" s="2">
        <v>172.21</v>
      </c>
      <c r="H508" s="2">
        <v>203.33</v>
      </c>
      <c r="I508" s="2">
        <v>146.88</v>
      </c>
      <c r="J508" s="2">
        <v>133.79</v>
      </c>
      <c r="K508" s="2">
        <v>47.05</v>
      </c>
      <c r="L508" s="2">
        <v>196.96</v>
      </c>
      <c r="M508" s="64" t="s">
        <v>77</v>
      </c>
      <c r="N508" s="1"/>
      <c r="O508" s="12">
        <f t="shared" si="77"/>
        <v>-7.3877137474703813E-3</v>
      </c>
      <c r="P508" s="12">
        <f t="shared" si="78"/>
        <v>-1.9627149796507926E-2</v>
      </c>
      <c r="Q508" s="12">
        <f t="shared" si="79"/>
        <v>1.5647333182878143E-2</v>
      </c>
      <c r="R508" s="12">
        <f t="shared" si="80"/>
        <v>-7.7156307348599684E-2</v>
      </c>
      <c r="S508" s="12">
        <f t="shared" si="81"/>
        <v>5.4607382177629393E-3</v>
      </c>
      <c r="T508" s="12">
        <f t="shared" si="82"/>
        <v>8.7868314685723981E-3</v>
      </c>
      <c r="U508" s="12">
        <f t="shared" si="83"/>
        <v>4.6043831669924984E-2</v>
      </c>
      <c r="V508" s="12">
        <f t="shared" si="84"/>
        <v>-9.5225139436816431E-4</v>
      </c>
      <c r="W508" s="12">
        <f t="shared" si="85"/>
        <v>-8.7691783157177072E-2</v>
      </c>
      <c r="X508" s="12">
        <f t="shared" si="86"/>
        <v>7.7104304990360806E-3</v>
      </c>
      <c r="Y508" s="12">
        <f t="shared" si="87"/>
        <v>1.0880722644220908E-2</v>
      </c>
    </row>
    <row r="509" spans="1:25" x14ac:dyDescent="0.35">
      <c r="A509" s="6">
        <v>44861</v>
      </c>
      <c r="B509" s="8">
        <v>3807.3</v>
      </c>
      <c r="C509" s="2">
        <v>144.80000000000001</v>
      </c>
      <c r="D509" s="2">
        <v>134.77000000000001</v>
      </c>
      <c r="E509" s="2">
        <v>226.75</v>
      </c>
      <c r="F509" s="2">
        <v>541.79999999999995</v>
      </c>
      <c r="G509" s="2">
        <v>172.31</v>
      </c>
      <c r="H509" s="2">
        <v>204.29</v>
      </c>
      <c r="I509" s="2">
        <v>146.97</v>
      </c>
      <c r="J509" s="2">
        <v>139.76</v>
      </c>
      <c r="K509" s="2">
        <v>46.91</v>
      </c>
      <c r="L509" s="2">
        <v>212.14</v>
      </c>
      <c r="M509" s="64" t="s">
        <v>77</v>
      </c>
      <c r="N509" s="1"/>
      <c r="O509" s="12">
        <f t="shared" si="77"/>
        <v>-6.0825980264187507E-3</v>
      </c>
      <c r="P509" s="12">
        <f t="shared" si="78"/>
        <v>-3.0465349849347012E-2</v>
      </c>
      <c r="Q509" s="12">
        <f t="shared" si="79"/>
        <v>-1.7776461002887434E-3</v>
      </c>
      <c r="R509" s="12">
        <f t="shared" si="80"/>
        <v>-1.9756181912502169E-2</v>
      </c>
      <c r="S509" s="12">
        <f t="shared" si="81"/>
        <v>-2.5222306092015367E-3</v>
      </c>
      <c r="T509" s="12">
        <f t="shared" si="82"/>
        <v>5.8068637129093936E-4</v>
      </c>
      <c r="U509" s="12">
        <f t="shared" si="83"/>
        <v>4.7213888752273281E-3</v>
      </c>
      <c r="V509" s="12">
        <f t="shared" si="84"/>
        <v>6.1274509803932453E-4</v>
      </c>
      <c r="W509" s="12">
        <f t="shared" si="85"/>
        <v>4.4622169070932083E-2</v>
      </c>
      <c r="X509" s="12">
        <f t="shared" si="86"/>
        <v>-2.9755579171094615E-3</v>
      </c>
      <c r="Y509" s="12">
        <f t="shared" si="87"/>
        <v>7.7071486596263172E-2</v>
      </c>
    </row>
    <row r="510" spans="1:25" x14ac:dyDescent="0.35">
      <c r="A510" s="6">
        <v>44862</v>
      </c>
      <c r="B510" s="8">
        <v>3901.06</v>
      </c>
      <c r="C510" s="2">
        <v>155.74</v>
      </c>
      <c r="D510" s="2">
        <v>138.51</v>
      </c>
      <c r="E510" s="2">
        <v>235.87</v>
      </c>
      <c r="F510" s="2">
        <v>551.24</v>
      </c>
      <c r="G510" s="2">
        <v>174.87</v>
      </c>
      <c r="H510" s="2">
        <v>209.34</v>
      </c>
      <c r="I510" s="2">
        <v>150.44</v>
      </c>
      <c r="J510" s="2">
        <v>143.84</v>
      </c>
      <c r="K510" s="2">
        <v>47.5</v>
      </c>
      <c r="L510" s="2">
        <v>219.34</v>
      </c>
      <c r="M510" s="64" t="s">
        <v>77</v>
      </c>
      <c r="N510" s="1"/>
      <c r="O510" s="12">
        <f t="shared" si="77"/>
        <v>2.4626375646783716E-2</v>
      </c>
      <c r="P510" s="12">
        <f t="shared" si="78"/>
        <v>7.555248618784538E-2</v>
      </c>
      <c r="Q510" s="12">
        <f t="shared" si="79"/>
        <v>2.7750983156488607E-2</v>
      </c>
      <c r="R510" s="12">
        <f t="shared" si="80"/>
        <v>4.0220507166482955E-2</v>
      </c>
      <c r="S510" s="12">
        <f t="shared" si="81"/>
        <v>1.7423403469915222E-2</v>
      </c>
      <c r="T510" s="12">
        <f t="shared" si="82"/>
        <v>1.4856943880215967E-2</v>
      </c>
      <c r="U510" s="12">
        <f t="shared" si="83"/>
        <v>2.4719761123892514E-2</v>
      </c>
      <c r="V510" s="12">
        <f t="shared" si="84"/>
        <v>2.3610260597400901E-2</v>
      </c>
      <c r="W510" s="12">
        <f t="shared" si="85"/>
        <v>2.9192902117916475E-2</v>
      </c>
      <c r="X510" s="12">
        <f t="shared" si="86"/>
        <v>1.2577275634193308E-2</v>
      </c>
      <c r="Y510" s="12">
        <f t="shared" si="87"/>
        <v>3.3939851041765001E-2</v>
      </c>
    </row>
    <row r="511" spans="1:25" x14ac:dyDescent="0.35">
      <c r="A511" s="6">
        <v>44865</v>
      </c>
      <c r="B511" s="8">
        <v>3871.98</v>
      </c>
      <c r="C511" s="2">
        <v>153.34</v>
      </c>
      <c r="D511" s="2">
        <v>138.29</v>
      </c>
      <c r="E511" s="2">
        <v>232.13</v>
      </c>
      <c r="F511" s="2">
        <v>555.15</v>
      </c>
      <c r="G511" s="2">
        <v>173.97</v>
      </c>
      <c r="H511" s="2">
        <v>207.16</v>
      </c>
      <c r="I511" s="2">
        <v>148.44999999999999</v>
      </c>
      <c r="J511" s="2">
        <v>142.51</v>
      </c>
      <c r="K511" s="2">
        <v>47.44</v>
      </c>
      <c r="L511" s="2">
        <v>216.46</v>
      </c>
      <c r="M511" s="64" t="s">
        <v>77</v>
      </c>
      <c r="N511" s="1"/>
      <c r="O511" s="12">
        <f t="shared" si="77"/>
        <v>-7.4543841930141408E-3</v>
      </c>
      <c r="P511" s="12">
        <f t="shared" si="78"/>
        <v>-1.5410299216643164E-2</v>
      </c>
      <c r="Q511" s="12">
        <f t="shared" si="79"/>
        <v>-1.5883329723485051E-3</v>
      </c>
      <c r="R511" s="12">
        <f t="shared" si="80"/>
        <v>-1.5856191970153088E-2</v>
      </c>
      <c r="S511" s="12">
        <f t="shared" si="81"/>
        <v>7.093099194543262E-3</v>
      </c>
      <c r="T511" s="12">
        <f t="shared" si="82"/>
        <v>-5.1466803911477399E-3</v>
      </c>
      <c r="U511" s="12">
        <f t="shared" si="83"/>
        <v>-1.0413681092958815E-2</v>
      </c>
      <c r="V511" s="12">
        <f t="shared" si="84"/>
        <v>-1.322786492954009E-2</v>
      </c>
      <c r="W511" s="12">
        <f t="shared" si="85"/>
        <v>-9.2463848720801822E-3</v>
      </c>
      <c r="X511" s="12">
        <f t="shared" si="86"/>
        <v>-1.2631578947368549E-3</v>
      </c>
      <c r="Y511" s="12">
        <f t="shared" si="87"/>
        <v>-1.3130299990881666E-2</v>
      </c>
    </row>
    <row r="512" spans="1:25" x14ac:dyDescent="0.35">
      <c r="A512" s="6">
        <v>44866</v>
      </c>
      <c r="B512" s="8">
        <v>3856.1</v>
      </c>
      <c r="C512" s="2">
        <v>150.65</v>
      </c>
      <c r="D512" s="2">
        <v>138.19999999999999</v>
      </c>
      <c r="E512" s="2">
        <v>228.17</v>
      </c>
      <c r="F512" s="2">
        <v>547.30999999999995</v>
      </c>
      <c r="G512" s="2">
        <v>173.09</v>
      </c>
      <c r="H512" s="2">
        <v>206.93</v>
      </c>
      <c r="I512" s="2">
        <v>147.08000000000001</v>
      </c>
      <c r="J512" s="2">
        <v>143.38</v>
      </c>
      <c r="K512" s="2">
        <v>47.23</v>
      </c>
      <c r="L512" s="2">
        <v>218.5</v>
      </c>
      <c r="M512" s="64">
        <v>6.06</v>
      </c>
      <c r="N512" s="1"/>
      <c r="O512" s="12">
        <f t="shared" si="77"/>
        <v>-4.10126085362017E-3</v>
      </c>
      <c r="P512" s="12">
        <f t="shared" si="78"/>
        <v>-1.7542715534107245E-2</v>
      </c>
      <c r="Q512" s="12">
        <f t="shared" si="79"/>
        <v>-6.5080627666502799E-4</v>
      </c>
      <c r="R512" s="12">
        <f t="shared" si="80"/>
        <v>-1.7059406367121888E-2</v>
      </c>
      <c r="S512" s="12">
        <f t="shared" si="81"/>
        <v>-1.4122309285778623E-2</v>
      </c>
      <c r="T512" s="12">
        <f t="shared" si="82"/>
        <v>-5.0583433925389665E-3</v>
      </c>
      <c r="U512" s="12">
        <f t="shared" si="83"/>
        <v>-1.1102529445838893E-3</v>
      </c>
      <c r="V512" s="12">
        <f t="shared" si="84"/>
        <v>-9.2286965308182589E-3</v>
      </c>
      <c r="W512" s="12">
        <f t="shared" si="85"/>
        <v>6.1048347484387033E-3</v>
      </c>
      <c r="X512" s="12">
        <f t="shared" si="86"/>
        <v>-4.4266441821247948E-3</v>
      </c>
      <c r="Y512" s="12">
        <f t="shared" si="87"/>
        <v>9.4243740182944347E-3</v>
      </c>
    </row>
    <row r="513" spans="1:25" x14ac:dyDescent="0.35">
      <c r="A513" s="6">
        <v>44867</v>
      </c>
      <c r="B513" s="8">
        <v>3759.69</v>
      </c>
      <c r="C513" s="2">
        <v>145.03</v>
      </c>
      <c r="D513" s="2">
        <v>136.83000000000001</v>
      </c>
      <c r="E513" s="2">
        <v>220.1</v>
      </c>
      <c r="F513" s="2">
        <v>543.42999999999995</v>
      </c>
      <c r="G513" s="2">
        <v>170.43</v>
      </c>
      <c r="H513" s="2">
        <v>200.95</v>
      </c>
      <c r="I513" s="2">
        <v>143.5</v>
      </c>
      <c r="J513" s="2">
        <v>147.41</v>
      </c>
      <c r="K513" s="2">
        <v>46.92</v>
      </c>
      <c r="L513" s="2">
        <v>214.54</v>
      </c>
      <c r="M513" s="64" t="s">
        <v>77</v>
      </c>
      <c r="N513" s="1"/>
      <c r="O513" s="12">
        <f t="shared" si="77"/>
        <v>-2.5001944970306722E-2</v>
      </c>
      <c r="P513" s="12">
        <f t="shared" si="78"/>
        <v>-3.7305011616329264E-2</v>
      </c>
      <c r="Q513" s="12">
        <f t="shared" si="79"/>
        <v>-9.9131693198262205E-3</v>
      </c>
      <c r="R513" s="12">
        <f t="shared" si="80"/>
        <v>-3.5368365692246995E-2</v>
      </c>
      <c r="S513" s="12">
        <f t="shared" si="81"/>
        <v>-7.0892181761706974E-3</v>
      </c>
      <c r="T513" s="12">
        <f t="shared" si="82"/>
        <v>-1.5367727771679496E-2</v>
      </c>
      <c r="U513" s="12">
        <f t="shared" si="83"/>
        <v>-2.8898661383076507E-2</v>
      </c>
      <c r="V513" s="12">
        <f t="shared" si="84"/>
        <v>-2.4340494968724591E-2</v>
      </c>
      <c r="W513" s="12">
        <f t="shared" si="85"/>
        <v>2.8107127911842555E-2</v>
      </c>
      <c r="X513" s="12">
        <f t="shared" si="86"/>
        <v>-6.5636248147362686E-3</v>
      </c>
      <c r="Y513" s="12">
        <f t="shared" si="87"/>
        <v>-1.8123569794050387E-2</v>
      </c>
    </row>
    <row r="514" spans="1:25" x14ac:dyDescent="0.35">
      <c r="A514" s="6">
        <v>44868</v>
      </c>
      <c r="B514" s="8">
        <v>3719.89</v>
      </c>
      <c r="C514" s="2">
        <v>138.88</v>
      </c>
      <c r="D514" s="2">
        <v>134.47</v>
      </c>
      <c r="E514" s="2">
        <v>214.25</v>
      </c>
      <c r="F514" s="2">
        <v>543.61</v>
      </c>
      <c r="G514" s="2">
        <v>170.72</v>
      </c>
      <c r="H514" s="2">
        <v>194.75</v>
      </c>
      <c r="I514" s="2">
        <v>139.31</v>
      </c>
      <c r="J514" s="2">
        <v>156.75</v>
      </c>
      <c r="K514" s="2">
        <v>46.91</v>
      </c>
      <c r="L514" s="2">
        <v>219.26</v>
      </c>
      <c r="M514" s="64" t="s">
        <v>77</v>
      </c>
      <c r="N514" s="1"/>
      <c r="O514" s="12">
        <f t="shared" si="77"/>
        <v>-1.0585979163175718E-2</v>
      </c>
      <c r="P514" s="12">
        <f t="shared" si="78"/>
        <v>-4.2405019651106657E-2</v>
      </c>
      <c r="Q514" s="12">
        <f t="shared" si="79"/>
        <v>-1.7247679602426458E-2</v>
      </c>
      <c r="R514" s="12">
        <f t="shared" si="80"/>
        <v>-2.6578827805542882E-2</v>
      </c>
      <c r="S514" s="12">
        <f t="shared" si="81"/>
        <v>3.3122941317209609E-4</v>
      </c>
      <c r="T514" s="12">
        <f t="shared" si="82"/>
        <v>1.7015783606171286E-3</v>
      </c>
      <c r="U514" s="12">
        <f t="shared" si="83"/>
        <v>-3.0853446130878259E-2</v>
      </c>
      <c r="V514" s="12">
        <f t="shared" si="84"/>
        <v>-2.919860627177695E-2</v>
      </c>
      <c r="W514" s="12">
        <f t="shared" si="85"/>
        <v>6.3360694661149131E-2</v>
      </c>
      <c r="X514" s="12">
        <f t="shared" si="86"/>
        <v>-2.1312872975287611E-4</v>
      </c>
      <c r="Y514" s="12">
        <f t="shared" si="87"/>
        <v>2.2000559336254222E-2</v>
      </c>
    </row>
    <row r="515" spans="1:25" x14ac:dyDescent="0.35">
      <c r="A515" s="6">
        <v>44869</v>
      </c>
      <c r="B515" s="8">
        <v>3770.55</v>
      </c>
      <c r="C515" s="2">
        <v>138.38</v>
      </c>
      <c r="D515" s="2">
        <v>136.96</v>
      </c>
      <c r="E515" s="2">
        <v>221.39</v>
      </c>
      <c r="F515" s="2">
        <v>538.16999999999996</v>
      </c>
      <c r="G515" s="2">
        <v>171.48</v>
      </c>
      <c r="H515" s="2">
        <v>196.98</v>
      </c>
      <c r="I515" s="2">
        <v>144.72</v>
      </c>
      <c r="J515" s="2">
        <v>160.01</v>
      </c>
      <c r="K515" s="2">
        <v>46.99</v>
      </c>
      <c r="L515" s="2">
        <v>227.85</v>
      </c>
      <c r="M515" s="64" t="s">
        <v>77</v>
      </c>
      <c r="N515" s="1"/>
      <c r="O515" s="12">
        <f t="shared" si="77"/>
        <v>1.3618682272863003E-2</v>
      </c>
      <c r="P515" s="12">
        <f t="shared" si="78"/>
        <v>-3.6002304147465525E-3</v>
      </c>
      <c r="Q515" s="12">
        <f t="shared" si="79"/>
        <v>1.851714136982241E-2</v>
      </c>
      <c r="R515" s="12">
        <f t="shared" si="80"/>
        <v>3.3325554259043155E-2</v>
      </c>
      <c r="S515" s="12">
        <f t="shared" si="81"/>
        <v>-1.0007174260959206E-2</v>
      </c>
      <c r="T515" s="12">
        <f t="shared" si="82"/>
        <v>4.4517338331770961E-3</v>
      </c>
      <c r="U515" s="12">
        <f t="shared" si="83"/>
        <v>1.1450577663671302E-2</v>
      </c>
      <c r="V515" s="12">
        <f t="shared" si="84"/>
        <v>3.8834254540234037E-2</v>
      </c>
      <c r="W515" s="12">
        <f t="shared" si="85"/>
        <v>2.0797448165869259E-2</v>
      </c>
      <c r="X515" s="12">
        <f t="shared" si="86"/>
        <v>1.7053933063313487E-3</v>
      </c>
      <c r="Y515" s="12">
        <f t="shared" si="87"/>
        <v>3.9177232509349569E-2</v>
      </c>
    </row>
    <row r="516" spans="1:25" x14ac:dyDescent="0.35">
      <c r="A516" s="6">
        <v>44872</v>
      </c>
      <c r="B516" s="8">
        <v>3806.8</v>
      </c>
      <c r="C516" s="2">
        <v>138.91999999999999</v>
      </c>
      <c r="D516" s="2">
        <v>138.34</v>
      </c>
      <c r="E516" s="2">
        <v>227.87</v>
      </c>
      <c r="F516" s="2">
        <v>545.02</v>
      </c>
      <c r="G516" s="2">
        <v>172.98</v>
      </c>
      <c r="H516" s="2">
        <v>200.1</v>
      </c>
      <c r="I516" s="2">
        <v>146.97999999999999</v>
      </c>
      <c r="J516" s="2">
        <v>164.91</v>
      </c>
      <c r="K516" s="2">
        <v>47.48</v>
      </c>
      <c r="L516" s="2">
        <v>228.61</v>
      </c>
      <c r="M516" s="64" t="s">
        <v>77</v>
      </c>
      <c r="N516" s="1"/>
      <c r="O516" s="12">
        <f t="shared" si="77"/>
        <v>9.6139820450598101E-3</v>
      </c>
      <c r="P516" s="12">
        <f t="shared" si="78"/>
        <v>3.9022980199450163E-3</v>
      </c>
      <c r="Q516" s="12">
        <f t="shared" si="79"/>
        <v>1.0075934579439227E-2</v>
      </c>
      <c r="R516" s="12">
        <f t="shared" si="80"/>
        <v>2.9269614707078118E-2</v>
      </c>
      <c r="S516" s="12">
        <f t="shared" si="81"/>
        <v>1.2728320047568742E-2</v>
      </c>
      <c r="T516" s="12">
        <f t="shared" si="82"/>
        <v>8.7473757872638114E-3</v>
      </c>
      <c r="U516" s="12">
        <f t="shared" si="83"/>
        <v>1.5839171489491433E-2</v>
      </c>
      <c r="V516" s="12">
        <f t="shared" si="84"/>
        <v>1.5616362631287961E-2</v>
      </c>
      <c r="W516" s="12">
        <f t="shared" si="85"/>
        <v>3.0623086057121496E-2</v>
      </c>
      <c r="X516" s="12">
        <f t="shared" si="86"/>
        <v>1.0427750585230822E-2</v>
      </c>
      <c r="Y516" s="12">
        <f t="shared" si="87"/>
        <v>3.3355277594910859E-3</v>
      </c>
    </row>
    <row r="517" spans="1:25" x14ac:dyDescent="0.35">
      <c r="A517" s="6">
        <v>44873</v>
      </c>
      <c r="B517" s="8">
        <v>3828.11</v>
      </c>
      <c r="C517" s="2">
        <v>139.5</v>
      </c>
      <c r="D517" s="2">
        <v>140.04</v>
      </c>
      <c r="E517" s="2">
        <v>228.87</v>
      </c>
      <c r="F517" s="2">
        <v>553.04999999999995</v>
      </c>
      <c r="G517" s="2">
        <v>173.84</v>
      </c>
      <c r="H517" s="2">
        <v>201.78</v>
      </c>
      <c r="I517" s="2">
        <v>150.19999999999999</v>
      </c>
      <c r="J517" s="2">
        <v>169.62</v>
      </c>
      <c r="K517" s="2">
        <v>47.6</v>
      </c>
      <c r="L517" s="2">
        <v>229.81</v>
      </c>
      <c r="M517" s="64">
        <v>6.15</v>
      </c>
      <c r="N517" s="1"/>
      <c r="O517" s="12">
        <f t="shared" ref="O517:O580" si="88">(B517/B516)-1</f>
        <v>5.5978774823999267E-3</v>
      </c>
      <c r="P517" s="12">
        <f t="shared" ref="P517:P580" si="89">(C517/C516)-1</f>
        <v>4.1750647854881251E-3</v>
      </c>
      <c r="Q517" s="12">
        <f t="shared" ref="Q517:Q580" si="90">(D517/D516)-1</f>
        <v>1.2288564406534475E-2</v>
      </c>
      <c r="R517" s="12">
        <f t="shared" ref="R517:R580" si="91">(E517/E516)-1</f>
        <v>4.388467108439098E-3</v>
      </c>
      <c r="S517" s="12">
        <f t="shared" ref="S517:S580" si="92">(F517/F516)-1</f>
        <v>1.4733404278741924E-2</v>
      </c>
      <c r="T517" s="12">
        <f t="shared" ref="T517:T580" si="93">(G517/G516)-1</f>
        <v>4.9716730257833852E-3</v>
      </c>
      <c r="U517" s="12">
        <f t="shared" ref="U517:U580" si="94">(H517/H516)-1</f>
        <v>8.3958020989505222E-3</v>
      </c>
      <c r="V517" s="12">
        <f t="shared" ref="V517:V580" si="95">(I517/I516)-1</f>
        <v>2.1907742550006715E-2</v>
      </c>
      <c r="W517" s="12">
        <f t="shared" ref="W517:W580" si="96">(J517/J516)-1</f>
        <v>2.8561033290885884E-2</v>
      </c>
      <c r="X517" s="12">
        <f t="shared" ref="X517:X580" si="97">(K517/K516)-1</f>
        <v>2.5273799494525129E-3</v>
      </c>
      <c r="Y517" s="12">
        <f t="shared" ref="Y517:Y580" si="98">(L517/L516)-1</f>
        <v>5.2491142119766021E-3</v>
      </c>
    </row>
    <row r="518" spans="1:25" x14ac:dyDescent="0.35">
      <c r="A518" s="6">
        <v>44874</v>
      </c>
      <c r="B518" s="8">
        <v>3748.57</v>
      </c>
      <c r="C518" s="2">
        <v>134.87</v>
      </c>
      <c r="D518" s="2">
        <v>137.38999999999999</v>
      </c>
      <c r="E518" s="2">
        <v>224.51</v>
      </c>
      <c r="F518" s="2">
        <v>540.66</v>
      </c>
      <c r="G518" s="2">
        <v>172.45</v>
      </c>
      <c r="H518" s="2">
        <v>193.93</v>
      </c>
      <c r="I518" s="2">
        <v>145.86000000000001</v>
      </c>
      <c r="J518" s="2">
        <v>168.74</v>
      </c>
      <c r="K518" s="2">
        <v>46.49</v>
      </c>
      <c r="L518" s="2">
        <v>225.54</v>
      </c>
      <c r="M518" s="64" t="s">
        <v>77</v>
      </c>
      <c r="N518" s="1"/>
      <c r="O518" s="12">
        <f t="shared" si="88"/>
        <v>-2.0777877333723382E-2</v>
      </c>
      <c r="P518" s="12">
        <f t="shared" si="89"/>
        <v>-3.3189964157706031E-2</v>
      </c>
      <c r="Q518" s="12">
        <f t="shared" si="90"/>
        <v>-1.8923164810054294E-2</v>
      </c>
      <c r="R518" s="12">
        <f t="shared" si="91"/>
        <v>-1.9050115786254262E-2</v>
      </c>
      <c r="S518" s="12">
        <f t="shared" si="92"/>
        <v>-2.2403037700027051E-2</v>
      </c>
      <c r="T518" s="12">
        <f t="shared" si="93"/>
        <v>-7.9958582604694461E-3</v>
      </c>
      <c r="U518" s="12">
        <f t="shared" si="94"/>
        <v>-3.8903756566557646E-2</v>
      </c>
      <c r="V518" s="12">
        <f t="shared" si="95"/>
        <v>-2.8894806924101069E-2</v>
      </c>
      <c r="W518" s="12">
        <f t="shared" si="96"/>
        <v>-5.188067444876765E-3</v>
      </c>
      <c r="X518" s="12">
        <f t="shared" si="97"/>
        <v>-2.3319327731092465E-2</v>
      </c>
      <c r="Y518" s="12">
        <f t="shared" si="98"/>
        <v>-1.8580566554980193E-2</v>
      </c>
    </row>
    <row r="519" spans="1:25" x14ac:dyDescent="0.35">
      <c r="A519" s="6">
        <v>44875</v>
      </c>
      <c r="B519" s="8">
        <v>3956.37</v>
      </c>
      <c r="C519" s="2">
        <v>146.87</v>
      </c>
      <c r="D519" s="2">
        <v>141.22999999999999</v>
      </c>
      <c r="E519" s="2">
        <v>242.98</v>
      </c>
      <c r="F519" s="2">
        <v>544.16999999999996</v>
      </c>
      <c r="G519" s="2">
        <v>174.47</v>
      </c>
      <c r="H519" s="2">
        <v>205.57</v>
      </c>
      <c r="I519" s="2">
        <v>154.75</v>
      </c>
      <c r="J519" s="2">
        <v>177.58</v>
      </c>
      <c r="K519" s="2">
        <v>47.45</v>
      </c>
      <c r="L519" s="2">
        <v>232.45</v>
      </c>
      <c r="M519" s="64" t="s">
        <v>77</v>
      </c>
      <c r="N519" s="1"/>
      <c r="O519" s="12">
        <f t="shared" si="88"/>
        <v>5.5434472345454289E-2</v>
      </c>
      <c r="P519" s="12">
        <f t="shared" si="89"/>
        <v>8.897456810261728E-2</v>
      </c>
      <c r="Q519" s="12">
        <f t="shared" si="90"/>
        <v>2.7949632433219351E-2</v>
      </c>
      <c r="R519" s="12">
        <f t="shared" si="91"/>
        <v>8.2268050420916561E-2</v>
      </c>
      <c r="S519" s="12">
        <f t="shared" si="92"/>
        <v>6.4920652535789269E-3</v>
      </c>
      <c r="T519" s="12">
        <f t="shared" si="93"/>
        <v>1.1713540156567115E-2</v>
      </c>
      <c r="U519" s="12">
        <f t="shared" si="94"/>
        <v>6.0021657299025311E-2</v>
      </c>
      <c r="V519" s="12">
        <f t="shared" si="95"/>
        <v>6.094885506650205E-2</v>
      </c>
      <c r="W519" s="12">
        <f t="shared" si="96"/>
        <v>5.2388289676425392E-2</v>
      </c>
      <c r="X519" s="12">
        <f t="shared" si="97"/>
        <v>2.0649602064960249E-2</v>
      </c>
      <c r="Y519" s="12">
        <f t="shared" si="98"/>
        <v>3.0637580916910601E-2</v>
      </c>
    </row>
    <row r="520" spans="1:25" x14ac:dyDescent="0.35">
      <c r="A520" s="6">
        <v>44876</v>
      </c>
      <c r="B520" s="8">
        <v>3992.93</v>
      </c>
      <c r="C520" s="2">
        <v>149.69999999999999</v>
      </c>
      <c r="D520" s="2">
        <v>143.16999999999999</v>
      </c>
      <c r="E520" s="2">
        <v>247.11</v>
      </c>
      <c r="F520" s="2">
        <v>522.08000000000004</v>
      </c>
      <c r="G520" s="2">
        <v>169.25</v>
      </c>
      <c r="H520" s="2">
        <v>205</v>
      </c>
      <c r="I520" s="2">
        <v>154.88999999999999</v>
      </c>
      <c r="J520" s="2">
        <v>177.49</v>
      </c>
      <c r="K520" s="2">
        <v>47.53</v>
      </c>
      <c r="L520" s="2">
        <v>236.49</v>
      </c>
      <c r="M520" s="64" t="s">
        <v>77</v>
      </c>
      <c r="N520" s="1"/>
      <c r="O520" s="12">
        <f t="shared" si="88"/>
        <v>9.2407939601200084E-3</v>
      </c>
      <c r="P520" s="12">
        <f t="shared" si="89"/>
        <v>1.9268741063525496E-2</v>
      </c>
      <c r="Q520" s="12">
        <f t="shared" si="90"/>
        <v>1.3736458259576478E-2</v>
      </c>
      <c r="R520" s="12">
        <f t="shared" si="91"/>
        <v>1.6997283727055779E-2</v>
      </c>
      <c r="S520" s="12">
        <f t="shared" si="92"/>
        <v>-4.05939320432952E-2</v>
      </c>
      <c r="T520" s="12">
        <f t="shared" si="93"/>
        <v>-2.9919183813836181E-2</v>
      </c>
      <c r="U520" s="12">
        <f t="shared" si="94"/>
        <v>-2.7727781291043696E-3</v>
      </c>
      <c r="V520" s="12">
        <f t="shared" si="95"/>
        <v>9.0468497576723372E-4</v>
      </c>
      <c r="W520" s="12">
        <f t="shared" si="96"/>
        <v>-5.0681383038631012E-4</v>
      </c>
      <c r="X520" s="12">
        <f t="shared" si="97"/>
        <v>1.6859852476289738E-3</v>
      </c>
      <c r="Y520" s="12">
        <f t="shared" si="98"/>
        <v>1.7380081738008313E-2</v>
      </c>
    </row>
    <row r="521" spans="1:25" x14ac:dyDescent="0.35">
      <c r="A521" s="6">
        <v>44879</v>
      </c>
      <c r="B521" s="8">
        <v>3957.25</v>
      </c>
      <c r="C521" s="2">
        <v>148.28</v>
      </c>
      <c r="D521" s="2">
        <v>144.19999999999999</v>
      </c>
      <c r="E521" s="2">
        <v>241.55</v>
      </c>
      <c r="F521" s="2">
        <v>513.75</v>
      </c>
      <c r="G521" s="2">
        <v>171.91</v>
      </c>
      <c r="H521" s="2">
        <v>206.86</v>
      </c>
      <c r="I521" s="2">
        <v>154.13</v>
      </c>
      <c r="J521" s="2">
        <v>173.55</v>
      </c>
      <c r="K521" s="2">
        <v>46.13</v>
      </c>
      <c r="L521" s="2">
        <v>236.5</v>
      </c>
      <c r="M521" s="64" t="s">
        <v>77</v>
      </c>
      <c r="N521" s="1"/>
      <c r="O521" s="12">
        <f t="shared" si="88"/>
        <v>-8.9357940159231486E-3</v>
      </c>
      <c r="P521" s="12">
        <f t="shared" si="89"/>
        <v>-9.4856379425516391E-3</v>
      </c>
      <c r="Q521" s="12">
        <f t="shared" si="90"/>
        <v>7.194244604316502E-3</v>
      </c>
      <c r="R521" s="12">
        <f t="shared" si="91"/>
        <v>-2.2500101169519615E-2</v>
      </c>
      <c r="S521" s="12">
        <f t="shared" si="92"/>
        <v>-1.5955409132699994E-2</v>
      </c>
      <c r="T521" s="12">
        <f t="shared" si="93"/>
        <v>1.5716395864106225E-2</v>
      </c>
      <c r="U521" s="12">
        <f t="shared" si="94"/>
        <v>9.0731707317073251E-3</v>
      </c>
      <c r="V521" s="12">
        <f t="shared" si="95"/>
        <v>-4.9067079863127638E-3</v>
      </c>
      <c r="W521" s="12">
        <f t="shared" si="96"/>
        <v>-2.2198433714575416E-2</v>
      </c>
      <c r="X521" s="12">
        <f t="shared" si="97"/>
        <v>-2.945508100147276E-2</v>
      </c>
      <c r="Y521" s="12">
        <f t="shared" si="98"/>
        <v>4.2285086050197762E-5</v>
      </c>
    </row>
    <row r="522" spans="1:25" x14ac:dyDescent="0.35">
      <c r="A522" s="6">
        <v>44880</v>
      </c>
      <c r="B522" s="8">
        <v>3991.73</v>
      </c>
      <c r="C522" s="2">
        <v>150.04</v>
      </c>
      <c r="D522" s="2">
        <v>144.34</v>
      </c>
      <c r="E522" s="2">
        <v>241.97</v>
      </c>
      <c r="F522" s="2">
        <v>503.01</v>
      </c>
      <c r="G522" s="2">
        <v>172.39</v>
      </c>
      <c r="H522" s="2">
        <v>209.99</v>
      </c>
      <c r="I522" s="2">
        <v>153.88999999999999</v>
      </c>
      <c r="J522" s="2">
        <v>175.35</v>
      </c>
      <c r="K522" s="2">
        <v>49.15</v>
      </c>
      <c r="L522" s="2">
        <v>234.59</v>
      </c>
      <c r="M522" s="64">
        <v>6.33</v>
      </c>
      <c r="N522" s="1"/>
      <c r="O522" s="12">
        <f t="shared" si="88"/>
        <v>8.7131214858804373E-3</v>
      </c>
      <c r="P522" s="12">
        <f t="shared" si="89"/>
        <v>1.1869436201780381E-2</v>
      </c>
      <c r="Q522" s="12">
        <f t="shared" si="90"/>
        <v>9.7087378640781097E-4</v>
      </c>
      <c r="R522" s="12">
        <f t="shared" si="91"/>
        <v>1.7387704409024263E-3</v>
      </c>
      <c r="S522" s="12">
        <f t="shared" si="92"/>
        <v>-2.090510948905111E-2</v>
      </c>
      <c r="T522" s="12">
        <f t="shared" si="93"/>
        <v>2.7921586876853421E-3</v>
      </c>
      <c r="U522" s="12">
        <f t="shared" si="94"/>
        <v>1.513100647781096E-2</v>
      </c>
      <c r="V522" s="12">
        <f t="shared" si="95"/>
        <v>-1.5571271004996001E-3</v>
      </c>
      <c r="W522" s="12">
        <f t="shared" si="96"/>
        <v>1.0371650821088929E-2</v>
      </c>
      <c r="X522" s="12">
        <f t="shared" si="97"/>
        <v>6.5467158031649486E-2</v>
      </c>
      <c r="Y522" s="12">
        <f t="shared" si="98"/>
        <v>-8.0761099365750377E-3</v>
      </c>
    </row>
    <row r="523" spans="1:25" x14ac:dyDescent="0.35">
      <c r="A523" s="6">
        <v>44881</v>
      </c>
      <c r="B523" s="8">
        <v>3958.79</v>
      </c>
      <c r="C523" s="2">
        <v>148.79</v>
      </c>
      <c r="D523" s="2">
        <v>144.52000000000001</v>
      </c>
      <c r="E523" s="2">
        <v>241.73</v>
      </c>
      <c r="F523" s="2">
        <v>511.52</v>
      </c>
      <c r="G523" s="2">
        <v>173.46</v>
      </c>
      <c r="H523" s="2">
        <v>210.14</v>
      </c>
      <c r="I523" s="2">
        <v>152.57</v>
      </c>
      <c r="J523" s="2">
        <v>172.69</v>
      </c>
      <c r="K523" s="2">
        <v>49.5</v>
      </c>
      <c r="L523" s="2">
        <v>232.42</v>
      </c>
      <c r="M523" s="64" t="s">
        <v>77</v>
      </c>
      <c r="N523" s="1"/>
      <c r="O523" s="12">
        <f t="shared" si="88"/>
        <v>-8.2520611363995355E-3</v>
      </c>
      <c r="P523" s="12">
        <f t="shared" si="89"/>
        <v>-8.3311117035457238E-3</v>
      </c>
      <c r="Q523" s="12">
        <f t="shared" si="90"/>
        <v>1.2470555632535518E-3</v>
      </c>
      <c r="R523" s="12">
        <f t="shared" si="91"/>
        <v>-9.9185849485472488E-4</v>
      </c>
      <c r="S523" s="12">
        <f t="shared" si="92"/>
        <v>1.6918152720621915E-2</v>
      </c>
      <c r="T523" s="12">
        <f t="shared" si="93"/>
        <v>6.2068565462034542E-3</v>
      </c>
      <c r="U523" s="12">
        <f t="shared" si="94"/>
        <v>7.143197295107484E-4</v>
      </c>
      <c r="V523" s="12">
        <f t="shared" si="95"/>
        <v>-8.5775553967119E-3</v>
      </c>
      <c r="W523" s="12">
        <f t="shared" si="96"/>
        <v>-1.5169660678642671E-2</v>
      </c>
      <c r="X523" s="12">
        <f t="shared" si="97"/>
        <v>7.1210579857579059E-3</v>
      </c>
      <c r="Y523" s="12">
        <f t="shared" si="98"/>
        <v>-9.2501811671427125E-3</v>
      </c>
    </row>
    <row r="524" spans="1:25" x14ac:dyDescent="0.35">
      <c r="A524" s="6">
        <v>44882</v>
      </c>
      <c r="B524" s="8">
        <v>3946.56</v>
      </c>
      <c r="C524" s="2">
        <v>150.72</v>
      </c>
      <c r="D524" s="2">
        <v>146.09</v>
      </c>
      <c r="E524" s="2">
        <v>241.68</v>
      </c>
      <c r="F524" s="2">
        <v>515.30999999999995</v>
      </c>
      <c r="G524" s="2">
        <v>174.86</v>
      </c>
      <c r="H524" s="2">
        <v>210.99</v>
      </c>
      <c r="I524" s="2">
        <v>150.63999999999999</v>
      </c>
      <c r="J524" s="2">
        <v>172.78</v>
      </c>
      <c r="K524" s="2">
        <v>49.33</v>
      </c>
      <c r="L524" s="2">
        <v>230.44</v>
      </c>
      <c r="M524" s="64" t="s">
        <v>77</v>
      </c>
      <c r="N524" s="1"/>
      <c r="O524" s="12">
        <f t="shared" si="88"/>
        <v>-3.0893277996559831E-3</v>
      </c>
      <c r="P524" s="12">
        <f t="shared" si="89"/>
        <v>1.2971301834800775E-2</v>
      </c>
      <c r="Q524" s="12">
        <f t="shared" si="90"/>
        <v>1.0863548297813441E-2</v>
      </c>
      <c r="R524" s="12">
        <f t="shared" si="91"/>
        <v>-2.0684234476475716E-4</v>
      </c>
      <c r="S524" s="12">
        <f t="shared" si="92"/>
        <v>7.4092899593367623E-3</v>
      </c>
      <c r="T524" s="12">
        <f t="shared" si="93"/>
        <v>8.0710250201776468E-3</v>
      </c>
      <c r="U524" s="12">
        <f t="shared" si="94"/>
        <v>4.0449224326639666E-3</v>
      </c>
      <c r="V524" s="12">
        <f t="shared" si="95"/>
        <v>-1.2649931179130935E-2</v>
      </c>
      <c r="W524" s="12">
        <f t="shared" si="96"/>
        <v>5.211650935201817E-4</v>
      </c>
      <c r="X524" s="12">
        <f t="shared" si="97"/>
        <v>-3.4343434343434565E-3</v>
      </c>
      <c r="Y524" s="12">
        <f t="shared" si="98"/>
        <v>-8.51906032183114E-3</v>
      </c>
    </row>
    <row r="525" spans="1:25" x14ac:dyDescent="0.35">
      <c r="A525" s="6">
        <v>44883</v>
      </c>
      <c r="B525" s="8">
        <v>3965.34</v>
      </c>
      <c r="C525" s="2">
        <v>151.29</v>
      </c>
      <c r="D525" s="2">
        <v>147.63999999999999</v>
      </c>
      <c r="E525" s="2">
        <v>241.22</v>
      </c>
      <c r="F525" s="2">
        <v>530</v>
      </c>
      <c r="G525" s="2">
        <v>176.2</v>
      </c>
      <c r="H525" s="2">
        <v>210.8</v>
      </c>
      <c r="I525" s="2">
        <v>152.5</v>
      </c>
      <c r="J525" s="2">
        <v>173.89</v>
      </c>
      <c r="K525" s="2">
        <v>50.08</v>
      </c>
      <c r="L525" s="2">
        <v>231.43</v>
      </c>
      <c r="M525" s="64" t="s">
        <v>77</v>
      </c>
      <c r="N525" s="1"/>
      <c r="O525" s="12">
        <f t="shared" si="88"/>
        <v>4.7585745560692061E-3</v>
      </c>
      <c r="P525" s="12">
        <f t="shared" si="89"/>
        <v>3.781847133757843E-3</v>
      </c>
      <c r="Q525" s="12">
        <f t="shared" si="90"/>
        <v>1.0609898008077101E-2</v>
      </c>
      <c r="R525" s="12">
        <f t="shared" si="91"/>
        <v>-1.9033432638199121E-3</v>
      </c>
      <c r="S525" s="12">
        <f t="shared" si="92"/>
        <v>2.8507112223710163E-2</v>
      </c>
      <c r="T525" s="12">
        <f t="shared" si="93"/>
        <v>7.6632734759234378E-3</v>
      </c>
      <c r="U525" s="12">
        <f t="shared" si="94"/>
        <v>-9.0051661216172807E-4</v>
      </c>
      <c r="V525" s="12">
        <f t="shared" si="95"/>
        <v>1.2347318109400041E-2</v>
      </c>
      <c r="W525" s="12">
        <f t="shared" si="96"/>
        <v>6.4243546706794774E-3</v>
      </c>
      <c r="X525" s="12">
        <f t="shared" si="97"/>
        <v>1.5203729981755565E-2</v>
      </c>
      <c r="Y525" s="12">
        <f t="shared" si="98"/>
        <v>4.2961291442458194E-3</v>
      </c>
    </row>
    <row r="526" spans="1:25" x14ac:dyDescent="0.35">
      <c r="A526" s="6">
        <v>44886</v>
      </c>
      <c r="B526" s="8">
        <v>3949.94</v>
      </c>
      <c r="C526" s="2">
        <v>148.01</v>
      </c>
      <c r="D526" s="2">
        <v>146.68</v>
      </c>
      <c r="E526" s="2">
        <v>242.05</v>
      </c>
      <c r="F526" s="2">
        <v>517.19000000000005</v>
      </c>
      <c r="G526" s="2">
        <v>175.97</v>
      </c>
      <c r="H526" s="2">
        <v>206.32</v>
      </c>
      <c r="I526" s="2">
        <v>152.81</v>
      </c>
      <c r="J526" s="2">
        <v>172.94</v>
      </c>
      <c r="K526" s="2">
        <v>50.38</v>
      </c>
      <c r="L526" s="2">
        <v>232.17</v>
      </c>
      <c r="M526" s="64">
        <v>6.49</v>
      </c>
      <c r="N526" s="1"/>
      <c r="O526" s="12">
        <f t="shared" si="88"/>
        <v>-3.8836518432215916E-3</v>
      </c>
      <c r="P526" s="12">
        <f t="shared" si="89"/>
        <v>-2.1680216802168029E-2</v>
      </c>
      <c r="Q526" s="12">
        <f t="shared" si="90"/>
        <v>-6.5023028989432685E-3</v>
      </c>
      <c r="R526" s="12">
        <f t="shared" si="91"/>
        <v>3.4408423845453395E-3</v>
      </c>
      <c r="S526" s="12">
        <f t="shared" si="92"/>
        <v>-2.4169811320754575E-2</v>
      </c>
      <c r="T526" s="12">
        <f t="shared" si="93"/>
        <v>-1.3053348467649828E-3</v>
      </c>
      <c r="U526" s="12">
        <f t="shared" si="94"/>
        <v>-2.1252371916508639E-2</v>
      </c>
      <c r="V526" s="12">
        <f t="shared" si="95"/>
        <v>2.0327868852458852E-3</v>
      </c>
      <c r="W526" s="12">
        <f t="shared" si="96"/>
        <v>-5.4632238771636921E-3</v>
      </c>
      <c r="X526" s="12">
        <f t="shared" si="97"/>
        <v>5.990415335463295E-3</v>
      </c>
      <c r="Y526" s="12">
        <f t="shared" si="98"/>
        <v>3.1975111264743727E-3</v>
      </c>
    </row>
    <row r="527" spans="1:25" x14ac:dyDescent="0.35">
      <c r="A527" s="6">
        <v>44887</v>
      </c>
      <c r="B527" s="8">
        <v>4003.58</v>
      </c>
      <c r="C527" s="2">
        <v>150.18</v>
      </c>
      <c r="D527" s="2">
        <v>149.1</v>
      </c>
      <c r="E527" s="2">
        <v>245.03</v>
      </c>
      <c r="F527" s="2">
        <v>523.09</v>
      </c>
      <c r="G527" s="2">
        <v>176.82</v>
      </c>
      <c r="H527" s="2">
        <v>210.33</v>
      </c>
      <c r="I527" s="2">
        <v>154.58000000000001</v>
      </c>
      <c r="J527" s="2">
        <v>172.5</v>
      </c>
      <c r="K527" s="2">
        <v>50.56</v>
      </c>
      <c r="L527" s="2">
        <v>237.26</v>
      </c>
      <c r="M527" s="64" t="s">
        <v>77</v>
      </c>
      <c r="N527" s="1"/>
      <c r="O527" s="12">
        <f t="shared" si="88"/>
        <v>1.3579953113211918E-2</v>
      </c>
      <c r="P527" s="12">
        <f t="shared" si="89"/>
        <v>1.466117154246338E-2</v>
      </c>
      <c r="Q527" s="12">
        <f t="shared" si="90"/>
        <v>1.6498500136351124E-2</v>
      </c>
      <c r="R527" s="12">
        <f t="shared" si="91"/>
        <v>1.2311505887213414E-2</v>
      </c>
      <c r="S527" s="12">
        <f t="shared" si="92"/>
        <v>1.1407799841450794E-2</v>
      </c>
      <c r="T527" s="12">
        <f t="shared" si="93"/>
        <v>4.830368812865693E-3</v>
      </c>
      <c r="U527" s="12">
        <f t="shared" si="94"/>
        <v>1.9435827840248221E-2</v>
      </c>
      <c r="V527" s="12">
        <f t="shared" si="95"/>
        <v>1.158301158301156E-2</v>
      </c>
      <c r="W527" s="12">
        <f t="shared" si="96"/>
        <v>-2.5442349947958354E-3</v>
      </c>
      <c r="X527" s="12">
        <f t="shared" si="97"/>
        <v>3.5728463676061306E-3</v>
      </c>
      <c r="Y527" s="12">
        <f t="shared" si="98"/>
        <v>2.1923590472498589E-2</v>
      </c>
    </row>
    <row r="528" spans="1:25" x14ac:dyDescent="0.35">
      <c r="A528" s="6">
        <v>44888</v>
      </c>
      <c r="B528" s="8">
        <v>4027.26</v>
      </c>
      <c r="C528" s="2">
        <v>151.07</v>
      </c>
      <c r="D528" s="2">
        <v>148.75</v>
      </c>
      <c r="E528" s="2">
        <v>247.58</v>
      </c>
      <c r="F528" s="2">
        <v>529.71</v>
      </c>
      <c r="G528" s="2">
        <v>177.01</v>
      </c>
      <c r="H528" s="2">
        <v>211.73</v>
      </c>
      <c r="I528" s="2">
        <v>153.93</v>
      </c>
      <c r="J528" s="2">
        <v>174.85</v>
      </c>
      <c r="K528" s="2">
        <v>50.81</v>
      </c>
      <c r="L528" s="2">
        <v>236.92</v>
      </c>
      <c r="M528" s="64" t="s">
        <v>77</v>
      </c>
      <c r="N528" s="1"/>
      <c r="O528" s="12">
        <f t="shared" si="88"/>
        <v>5.9147063378277576E-3</v>
      </c>
      <c r="P528" s="12">
        <f t="shared" si="89"/>
        <v>5.9262218670927957E-3</v>
      </c>
      <c r="Q528" s="12">
        <f t="shared" si="90"/>
        <v>-2.3474178403755097E-3</v>
      </c>
      <c r="R528" s="12">
        <f t="shared" si="91"/>
        <v>1.0406888952373183E-2</v>
      </c>
      <c r="S528" s="12">
        <f t="shared" si="92"/>
        <v>1.2655565963792137E-2</v>
      </c>
      <c r="T528" s="12">
        <f t="shared" si="93"/>
        <v>1.0745390792896714E-3</v>
      </c>
      <c r="U528" s="12">
        <f t="shared" si="94"/>
        <v>6.6562069129461054E-3</v>
      </c>
      <c r="V528" s="12">
        <f t="shared" si="95"/>
        <v>-4.204942424634539E-3</v>
      </c>
      <c r="W528" s="12">
        <f t="shared" si="96"/>
        <v>1.3623188405797126E-2</v>
      </c>
      <c r="X528" s="12">
        <f t="shared" si="97"/>
        <v>4.9446202531646666E-3</v>
      </c>
      <c r="Y528" s="12">
        <f t="shared" si="98"/>
        <v>-1.4330270589226757E-3</v>
      </c>
    </row>
    <row r="529" spans="1:25" x14ac:dyDescent="0.35">
      <c r="A529" s="6">
        <v>44890</v>
      </c>
      <c r="B529" s="8">
        <v>4026.12</v>
      </c>
      <c r="C529" s="2">
        <v>148.11000000000001</v>
      </c>
      <c r="D529" s="2">
        <v>148.37</v>
      </c>
      <c r="E529" s="2">
        <v>247.49</v>
      </c>
      <c r="F529" s="2">
        <v>537.62</v>
      </c>
      <c r="G529" s="2">
        <v>177.24</v>
      </c>
      <c r="H529" s="2">
        <v>213.79</v>
      </c>
      <c r="I529" s="2">
        <v>154.15</v>
      </c>
      <c r="J529" s="2">
        <v>178.36</v>
      </c>
      <c r="K529" s="2">
        <v>51.02</v>
      </c>
      <c r="L529" s="2">
        <v>235.7</v>
      </c>
      <c r="M529" s="64" t="s">
        <v>77</v>
      </c>
      <c r="N529" s="1"/>
      <c r="O529" s="12">
        <f t="shared" si="88"/>
        <v>-2.830708720074071E-4</v>
      </c>
      <c r="P529" s="12">
        <f t="shared" si="89"/>
        <v>-1.9593565896604104E-2</v>
      </c>
      <c r="Q529" s="12">
        <f t="shared" si="90"/>
        <v>-2.5546218487394468E-3</v>
      </c>
      <c r="R529" s="12">
        <f t="shared" si="91"/>
        <v>-3.6351886258989552E-4</v>
      </c>
      <c r="S529" s="12">
        <f t="shared" si="92"/>
        <v>1.4932699023994189E-2</v>
      </c>
      <c r="T529" s="12">
        <f t="shared" si="93"/>
        <v>1.2993616179877154E-3</v>
      </c>
      <c r="U529" s="12">
        <f t="shared" si="94"/>
        <v>9.7293723137958921E-3</v>
      </c>
      <c r="V529" s="12">
        <f t="shared" si="95"/>
        <v>1.4292210745143752E-3</v>
      </c>
      <c r="W529" s="12">
        <f t="shared" si="96"/>
        <v>2.0074349442379402E-2</v>
      </c>
      <c r="X529" s="12">
        <f t="shared" si="97"/>
        <v>4.133044676244868E-3</v>
      </c>
      <c r="Y529" s="12">
        <f t="shared" si="98"/>
        <v>-5.1494175249029439E-3</v>
      </c>
    </row>
    <row r="530" spans="1:25" x14ac:dyDescent="0.35">
      <c r="A530" s="6">
        <v>44893</v>
      </c>
      <c r="B530" s="8">
        <v>3963.94</v>
      </c>
      <c r="C530" s="2">
        <v>144.22</v>
      </c>
      <c r="D530" s="2">
        <v>146.18</v>
      </c>
      <c r="E530" s="2">
        <v>241.76</v>
      </c>
      <c r="F530" s="2">
        <v>532.27</v>
      </c>
      <c r="G530" s="2">
        <v>177.33</v>
      </c>
      <c r="H530" s="2">
        <v>211.26</v>
      </c>
      <c r="I530" s="2">
        <v>150.87</v>
      </c>
      <c r="J530" s="2">
        <v>171.83</v>
      </c>
      <c r="K530" s="2">
        <v>51.17</v>
      </c>
      <c r="L530" s="2">
        <v>232.3</v>
      </c>
      <c r="M530" s="64" t="s">
        <v>77</v>
      </c>
      <c r="N530" s="1"/>
      <c r="O530" s="12">
        <f t="shared" si="88"/>
        <v>-1.5444149702443011E-2</v>
      </c>
      <c r="P530" s="12">
        <f t="shared" si="89"/>
        <v>-2.6264263047734882E-2</v>
      </c>
      <c r="Q530" s="12">
        <f t="shared" si="90"/>
        <v>-1.4760396306530921E-2</v>
      </c>
      <c r="R530" s="12">
        <f t="shared" si="91"/>
        <v>-2.31524506040649E-2</v>
      </c>
      <c r="S530" s="12">
        <f t="shared" si="92"/>
        <v>-9.9512666939474137E-3</v>
      </c>
      <c r="T530" s="12">
        <f t="shared" si="93"/>
        <v>5.0778605280976663E-4</v>
      </c>
      <c r="U530" s="12">
        <f t="shared" si="94"/>
        <v>-1.1834042752233542E-2</v>
      </c>
      <c r="V530" s="12">
        <f t="shared" si="95"/>
        <v>-2.1277975997405107E-2</v>
      </c>
      <c r="W530" s="12">
        <f t="shared" si="96"/>
        <v>-3.6611347835837638E-2</v>
      </c>
      <c r="X530" s="12">
        <f t="shared" si="97"/>
        <v>2.9400235201881841E-3</v>
      </c>
      <c r="Y530" s="12">
        <f t="shared" si="98"/>
        <v>-1.4425116673737692E-2</v>
      </c>
    </row>
    <row r="531" spans="1:25" x14ac:dyDescent="0.35">
      <c r="A531" s="6">
        <v>44894</v>
      </c>
      <c r="B531" s="8">
        <v>3957.63</v>
      </c>
      <c r="C531" s="2">
        <v>141.16999999999999</v>
      </c>
      <c r="D531" s="2">
        <v>146.49</v>
      </c>
      <c r="E531" s="2">
        <v>240.33</v>
      </c>
      <c r="F531" s="2">
        <v>528</v>
      </c>
      <c r="G531" s="2">
        <v>176.09</v>
      </c>
      <c r="H531" s="2">
        <v>209.06</v>
      </c>
      <c r="I531" s="2">
        <v>154.41999999999999</v>
      </c>
      <c r="J531" s="2">
        <v>175.32</v>
      </c>
      <c r="K531" s="2">
        <v>50.99</v>
      </c>
      <c r="L531" s="2">
        <v>235.12</v>
      </c>
      <c r="M531" s="64">
        <v>6.52</v>
      </c>
      <c r="N531" s="1"/>
      <c r="O531" s="12">
        <f t="shared" si="88"/>
        <v>-1.5918505325509535E-3</v>
      </c>
      <c r="P531" s="12">
        <f t="shared" si="89"/>
        <v>-2.1148245735681637E-2</v>
      </c>
      <c r="Q531" s="12">
        <f t="shared" si="90"/>
        <v>2.120673142700813E-3</v>
      </c>
      <c r="R531" s="12">
        <f t="shared" si="91"/>
        <v>-5.9149569821309589E-3</v>
      </c>
      <c r="S531" s="12">
        <f t="shared" si="92"/>
        <v>-8.0222443496721363E-3</v>
      </c>
      <c r="T531" s="12">
        <f t="shared" si="93"/>
        <v>-6.9926126430948088E-3</v>
      </c>
      <c r="U531" s="12">
        <f t="shared" si="94"/>
        <v>-1.041370822682941E-2</v>
      </c>
      <c r="V531" s="12">
        <f t="shared" si="95"/>
        <v>2.3530191555643842E-2</v>
      </c>
      <c r="W531" s="12">
        <f t="shared" si="96"/>
        <v>2.0310772274922728E-2</v>
      </c>
      <c r="X531" s="12">
        <f t="shared" si="97"/>
        <v>-3.5176861442250962E-3</v>
      </c>
      <c r="Y531" s="12">
        <f t="shared" si="98"/>
        <v>1.2139474817046914E-2</v>
      </c>
    </row>
    <row r="532" spans="1:25" x14ac:dyDescent="0.35">
      <c r="A532" s="6">
        <v>44895</v>
      </c>
      <c r="B532" s="8">
        <v>4080.11</v>
      </c>
      <c r="C532" s="2">
        <v>148.03</v>
      </c>
      <c r="D532" s="2">
        <v>148.9</v>
      </c>
      <c r="E532" s="2">
        <v>255.14</v>
      </c>
      <c r="F532" s="2">
        <v>547.76</v>
      </c>
      <c r="G532" s="2">
        <v>178</v>
      </c>
      <c r="H532" s="2">
        <v>217</v>
      </c>
      <c r="I532" s="2">
        <v>157.59</v>
      </c>
      <c r="J532" s="2">
        <v>178.88</v>
      </c>
      <c r="K532" s="2">
        <v>50.81</v>
      </c>
      <c r="L532" s="2">
        <v>236.41</v>
      </c>
      <c r="M532" s="64" t="s">
        <v>77</v>
      </c>
      <c r="N532" s="1"/>
      <c r="O532" s="12">
        <f t="shared" si="88"/>
        <v>3.0947814727501077E-2</v>
      </c>
      <c r="P532" s="12">
        <f t="shared" si="89"/>
        <v>4.8593893886803352E-2</v>
      </c>
      <c r="Q532" s="12">
        <f t="shared" si="90"/>
        <v>1.6451634923885461E-2</v>
      </c>
      <c r="R532" s="12">
        <f t="shared" si="91"/>
        <v>6.1623600882120266E-2</v>
      </c>
      <c r="S532" s="12">
        <f t="shared" si="92"/>
        <v>3.742424242424236E-2</v>
      </c>
      <c r="T532" s="12">
        <f t="shared" si="93"/>
        <v>1.0846726105968596E-2</v>
      </c>
      <c r="U532" s="12">
        <f t="shared" si="94"/>
        <v>3.7979527408399383E-2</v>
      </c>
      <c r="V532" s="12">
        <f t="shared" si="95"/>
        <v>2.0528428959979417E-2</v>
      </c>
      <c r="W532" s="12">
        <f t="shared" si="96"/>
        <v>2.0305726671229873E-2</v>
      </c>
      <c r="X532" s="12">
        <f t="shared" si="97"/>
        <v>-3.530103941949414E-3</v>
      </c>
      <c r="Y532" s="12">
        <f t="shared" si="98"/>
        <v>5.4865600544402593E-3</v>
      </c>
    </row>
    <row r="533" spans="1:25" x14ac:dyDescent="0.35">
      <c r="A533" s="6">
        <v>44896</v>
      </c>
      <c r="B533" s="8">
        <v>4076.57</v>
      </c>
      <c r="C533" s="2">
        <v>148.31</v>
      </c>
      <c r="D533" s="2">
        <v>149.16</v>
      </c>
      <c r="E533" s="2">
        <v>254.69</v>
      </c>
      <c r="F533" s="2">
        <v>536.91</v>
      </c>
      <c r="G533" s="2">
        <v>178.74</v>
      </c>
      <c r="H533" s="2">
        <v>217</v>
      </c>
      <c r="I533" s="2">
        <v>157.5</v>
      </c>
      <c r="J533" s="2">
        <v>175.78</v>
      </c>
      <c r="K533" s="2">
        <v>51.12</v>
      </c>
      <c r="L533" s="2">
        <v>235.69</v>
      </c>
      <c r="M533" s="64" t="s">
        <v>77</v>
      </c>
      <c r="N533" s="1"/>
      <c r="O533" s="12">
        <f t="shared" si="88"/>
        <v>-8.6762366700898763E-4</v>
      </c>
      <c r="P533" s="12">
        <f t="shared" si="89"/>
        <v>1.8915084780111169E-3</v>
      </c>
      <c r="Q533" s="12">
        <f t="shared" si="90"/>
        <v>1.7461383478845072E-3</v>
      </c>
      <c r="R533" s="12">
        <f t="shared" si="91"/>
        <v>-1.7637375558516855E-3</v>
      </c>
      <c r="S533" s="12">
        <f t="shared" si="92"/>
        <v>-1.9807945085438927E-2</v>
      </c>
      <c r="T533" s="12">
        <f t="shared" si="93"/>
        <v>4.1573033707864582E-3</v>
      </c>
      <c r="U533" s="12">
        <f t="shared" si="94"/>
        <v>0</v>
      </c>
      <c r="V533" s="12">
        <f t="shared" si="95"/>
        <v>-5.711022272987254E-4</v>
      </c>
      <c r="W533" s="12">
        <f t="shared" si="96"/>
        <v>-1.7330053667262924E-2</v>
      </c>
      <c r="X533" s="12">
        <f t="shared" si="97"/>
        <v>6.1011611887422657E-3</v>
      </c>
      <c r="Y533" s="12">
        <f t="shared" si="98"/>
        <v>-3.0455564485427633E-3</v>
      </c>
    </row>
    <row r="534" spans="1:25" x14ac:dyDescent="0.35">
      <c r="A534" s="6">
        <v>44897</v>
      </c>
      <c r="B534" s="8">
        <v>4071.7</v>
      </c>
      <c r="C534" s="2">
        <v>147.81</v>
      </c>
      <c r="D534" s="2">
        <v>148.66999999999999</v>
      </c>
      <c r="E534" s="2">
        <v>255.02</v>
      </c>
      <c r="F534" s="2">
        <v>536.16</v>
      </c>
      <c r="G534" s="2">
        <v>178.88</v>
      </c>
      <c r="H534" s="2">
        <v>217.66</v>
      </c>
      <c r="I534" s="2">
        <v>156.75</v>
      </c>
      <c r="J534" s="2">
        <v>182.87</v>
      </c>
      <c r="K534" s="2">
        <v>51.07</v>
      </c>
      <c r="L534" s="2">
        <v>236.13</v>
      </c>
      <c r="M534" s="64" t="s">
        <v>77</v>
      </c>
      <c r="N534" s="1"/>
      <c r="O534" s="12">
        <f t="shared" si="88"/>
        <v>-1.1946317615054713E-3</v>
      </c>
      <c r="P534" s="12">
        <f t="shared" si="89"/>
        <v>-3.3713168363562751E-3</v>
      </c>
      <c r="Q534" s="12">
        <f t="shared" si="90"/>
        <v>-3.2850630195763175E-3</v>
      </c>
      <c r="R534" s="12">
        <f t="shared" si="91"/>
        <v>1.2956928030154469E-3</v>
      </c>
      <c r="S534" s="12">
        <f t="shared" si="92"/>
        <v>-1.3968821590211178E-3</v>
      </c>
      <c r="T534" s="12">
        <f t="shared" si="93"/>
        <v>7.8326060199174208E-4</v>
      </c>
      <c r="U534" s="12">
        <f t="shared" si="94"/>
        <v>3.0414746543778737E-3</v>
      </c>
      <c r="V534" s="12">
        <f t="shared" si="95"/>
        <v>-4.761904761904745E-3</v>
      </c>
      <c r="W534" s="12">
        <f t="shared" si="96"/>
        <v>4.0334509045397704E-2</v>
      </c>
      <c r="X534" s="12">
        <f t="shared" si="97"/>
        <v>-9.7809076682309204E-4</v>
      </c>
      <c r="Y534" s="12">
        <f t="shared" si="98"/>
        <v>1.8668590097161708E-3</v>
      </c>
    </row>
    <row r="535" spans="1:25" x14ac:dyDescent="0.35">
      <c r="A535" s="6">
        <v>44900</v>
      </c>
      <c r="B535" s="8">
        <v>3998.84</v>
      </c>
      <c r="C535" s="2">
        <v>146.63</v>
      </c>
      <c r="D535" s="2">
        <v>147.41</v>
      </c>
      <c r="E535" s="2">
        <v>250.2</v>
      </c>
      <c r="F535" s="2">
        <v>535.04</v>
      </c>
      <c r="G535" s="2">
        <v>178.78</v>
      </c>
      <c r="H535" s="2">
        <v>213.68</v>
      </c>
      <c r="I535" s="2">
        <v>156.08000000000001</v>
      </c>
      <c r="J535" s="2">
        <v>185.1</v>
      </c>
      <c r="K535" s="2">
        <v>50.55</v>
      </c>
      <c r="L535" s="2">
        <v>232.57</v>
      </c>
      <c r="M535" s="64" t="s">
        <v>77</v>
      </c>
      <c r="N535" s="1"/>
      <c r="O535" s="12">
        <f t="shared" si="88"/>
        <v>-1.7894245646781326E-2</v>
      </c>
      <c r="P535" s="12">
        <f t="shared" si="89"/>
        <v>-7.983221703538379E-3</v>
      </c>
      <c r="Q535" s="12">
        <f t="shared" si="90"/>
        <v>-8.4751462971681679E-3</v>
      </c>
      <c r="R535" s="12">
        <f t="shared" si="91"/>
        <v>-1.8900478393851561E-2</v>
      </c>
      <c r="S535" s="12">
        <f t="shared" si="92"/>
        <v>-2.0889286780065852E-3</v>
      </c>
      <c r="T535" s="12">
        <f t="shared" si="93"/>
        <v>-5.5903398926648862E-4</v>
      </c>
      <c r="U535" s="12">
        <f t="shared" si="94"/>
        <v>-1.8285399246531275E-2</v>
      </c>
      <c r="V535" s="12">
        <f t="shared" si="95"/>
        <v>-4.2743221690589861E-3</v>
      </c>
      <c r="W535" s="12">
        <f t="shared" si="96"/>
        <v>1.2194455077377375E-2</v>
      </c>
      <c r="X535" s="12">
        <f t="shared" si="97"/>
        <v>-1.0182102995888065E-2</v>
      </c>
      <c r="Y535" s="12">
        <f t="shared" si="98"/>
        <v>-1.5076440943548097E-2</v>
      </c>
    </row>
    <row r="536" spans="1:25" x14ac:dyDescent="0.35">
      <c r="A536" s="6">
        <v>44901</v>
      </c>
      <c r="B536" s="8">
        <v>3941.26</v>
      </c>
      <c r="C536" s="2">
        <v>142.91</v>
      </c>
      <c r="D536" s="2">
        <v>147.5</v>
      </c>
      <c r="E536" s="2">
        <v>245.12</v>
      </c>
      <c r="F536" s="2">
        <v>539.32000000000005</v>
      </c>
      <c r="G536" s="2">
        <v>176.1</v>
      </c>
      <c r="H536" s="2">
        <v>209.08</v>
      </c>
      <c r="I536" s="2">
        <v>154.69999999999999</v>
      </c>
      <c r="J536" s="2">
        <v>178.43</v>
      </c>
      <c r="K536" s="2">
        <v>49.96</v>
      </c>
      <c r="L536" s="2">
        <v>228.29</v>
      </c>
      <c r="M536" s="64">
        <v>6.52</v>
      </c>
      <c r="N536" s="1"/>
      <c r="O536" s="12">
        <f t="shared" si="88"/>
        <v>-1.4399175760970717E-2</v>
      </c>
      <c r="P536" s="12">
        <f t="shared" si="89"/>
        <v>-2.5369978858350906E-2</v>
      </c>
      <c r="Q536" s="12">
        <f t="shared" si="90"/>
        <v>6.105420256428129E-4</v>
      </c>
      <c r="R536" s="12">
        <f t="shared" si="91"/>
        <v>-2.0303756994404454E-2</v>
      </c>
      <c r="S536" s="12">
        <f t="shared" si="92"/>
        <v>7.9994019138758254E-3</v>
      </c>
      <c r="T536" s="12">
        <f t="shared" si="93"/>
        <v>-1.4990491106387727E-2</v>
      </c>
      <c r="U536" s="12">
        <f t="shared" si="94"/>
        <v>-2.1527517783601624E-2</v>
      </c>
      <c r="V536" s="12">
        <f t="shared" si="95"/>
        <v>-8.8416196822144189E-3</v>
      </c>
      <c r="W536" s="12">
        <f t="shared" si="96"/>
        <v>-3.6034575904916211E-2</v>
      </c>
      <c r="X536" s="12">
        <f t="shared" si="97"/>
        <v>-1.1671612265083953E-2</v>
      </c>
      <c r="Y536" s="12">
        <f t="shared" si="98"/>
        <v>-1.8403061443866386E-2</v>
      </c>
    </row>
    <row r="537" spans="1:25" x14ac:dyDescent="0.35">
      <c r="A537" s="6">
        <v>44902</v>
      </c>
      <c r="B537" s="8">
        <v>3933.92</v>
      </c>
      <c r="C537" s="2">
        <v>140.94</v>
      </c>
      <c r="D537" s="2">
        <v>147.27000000000001</v>
      </c>
      <c r="E537" s="2">
        <v>244.37</v>
      </c>
      <c r="F537" s="2">
        <v>542.91</v>
      </c>
      <c r="G537" s="2">
        <v>177.17</v>
      </c>
      <c r="H537" s="2">
        <v>207.81</v>
      </c>
      <c r="I537" s="2">
        <v>154.77000000000001</v>
      </c>
      <c r="J537" s="2">
        <v>176.5</v>
      </c>
      <c r="K537" s="2">
        <v>49.7</v>
      </c>
      <c r="L537" s="2">
        <v>228.98</v>
      </c>
      <c r="M537" s="64" t="s">
        <v>77</v>
      </c>
      <c r="N537" s="1"/>
      <c r="O537" s="12">
        <f t="shared" si="88"/>
        <v>-1.8623485890298941E-3</v>
      </c>
      <c r="P537" s="12">
        <f t="shared" si="89"/>
        <v>-1.3784899587152788E-2</v>
      </c>
      <c r="Q537" s="12">
        <f t="shared" si="90"/>
        <v>-1.5593220338981917E-3</v>
      </c>
      <c r="R537" s="12">
        <f t="shared" si="91"/>
        <v>-3.0597258485639545E-3</v>
      </c>
      <c r="S537" s="12">
        <f t="shared" si="92"/>
        <v>6.6565304457464336E-3</v>
      </c>
      <c r="T537" s="12">
        <f t="shared" si="93"/>
        <v>6.0760931289038922E-3</v>
      </c>
      <c r="U537" s="12">
        <f t="shared" si="94"/>
        <v>-6.0742299598239846E-3</v>
      </c>
      <c r="V537" s="12">
        <f t="shared" si="95"/>
        <v>4.5248868778302587E-4</v>
      </c>
      <c r="W537" s="12">
        <f t="shared" si="96"/>
        <v>-1.0816566720842968E-2</v>
      </c>
      <c r="X537" s="12">
        <f t="shared" si="97"/>
        <v>-5.2041633306645352E-3</v>
      </c>
      <c r="Y537" s="12">
        <f t="shared" si="98"/>
        <v>3.0224714179332146E-3</v>
      </c>
    </row>
    <row r="538" spans="1:25" x14ac:dyDescent="0.35">
      <c r="A538" s="6">
        <v>44903</v>
      </c>
      <c r="B538" s="8">
        <v>3963.51</v>
      </c>
      <c r="C538" s="2">
        <v>142.65</v>
      </c>
      <c r="D538" s="2">
        <v>147.78</v>
      </c>
      <c r="E538" s="2">
        <v>247.4</v>
      </c>
      <c r="F538" s="2">
        <v>547.91999999999996</v>
      </c>
      <c r="G538" s="2">
        <v>177.2</v>
      </c>
      <c r="H538" s="2">
        <v>209.1</v>
      </c>
      <c r="I538" s="2">
        <v>154.12</v>
      </c>
      <c r="J538" s="2">
        <v>179.08</v>
      </c>
      <c r="K538" s="2">
        <v>49.59</v>
      </c>
      <c r="L538" s="2">
        <v>230.92</v>
      </c>
      <c r="M538" s="64" t="s">
        <v>77</v>
      </c>
      <c r="N538" s="1"/>
      <c r="O538" s="12">
        <f t="shared" si="88"/>
        <v>7.5217594663847809E-3</v>
      </c>
      <c r="P538" s="12">
        <f t="shared" si="89"/>
        <v>1.2132822477650018E-2</v>
      </c>
      <c r="Q538" s="12">
        <f t="shared" si="90"/>
        <v>3.4630270930942064E-3</v>
      </c>
      <c r="R538" s="12">
        <f t="shared" si="91"/>
        <v>1.2399230674796424E-2</v>
      </c>
      <c r="S538" s="12">
        <f t="shared" si="92"/>
        <v>9.2280488478753142E-3</v>
      </c>
      <c r="T538" s="12">
        <f t="shared" si="93"/>
        <v>1.6932889315346422E-4</v>
      </c>
      <c r="U538" s="12">
        <f t="shared" si="94"/>
        <v>6.2075934748087036E-3</v>
      </c>
      <c r="V538" s="12">
        <f t="shared" si="95"/>
        <v>-4.1997803191833327E-3</v>
      </c>
      <c r="W538" s="12">
        <f t="shared" si="96"/>
        <v>1.4617563739376838E-2</v>
      </c>
      <c r="X538" s="12">
        <f t="shared" si="97"/>
        <v>-2.2132796780683917E-3</v>
      </c>
      <c r="Y538" s="12">
        <f t="shared" si="98"/>
        <v>8.4723556642500863E-3</v>
      </c>
    </row>
    <row r="539" spans="1:25" x14ac:dyDescent="0.35">
      <c r="A539" s="6">
        <v>44904</v>
      </c>
      <c r="B539" s="8">
        <v>3934.38</v>
      </c>
      <c r="C539" s="2">
        <v>142.16</v>
      </c>
      <c r="D539" s="2">
        <v>147.05000000000001</v>
      </c>
      <c r="E539" s="2">
        <v>245.42</v>
      </c>
      <c r="F539" s="2">
        <v>539.20000000000005</v>
      </c>
      <c r="G539" s="2">
        <v>175.74</v>
      </c>
      <c r="H539" s="2">
        <v>208.7</v>
      </c>
      <c r="I539" s="2">
        <v>153.9</v>
      </c>
      <c r="J539" s="2">
        <v>179.54</v>
      </c>
      <c r="K539" s="2">
        <v>48.44</v>
      </c>
      <c r="L539" s="2">
        <v>227.29</v>
      </c>
      <c r="M539" s="64" t="s">
        <v>77</v>
      </c>
      <c r="N539" s="1"/>
      <c r="O539" s="12">
        <f t="shared" si="88"/>
        <v>-7.3495462355336327E-3</v>
      </c>
      <c r="P539" s="12">
        <f t="shared" si="89"/>
        <v>-3.4349807220470652E-3</v>
      </c>
      <c r="Q539" s="12">
        <f t="shared" si="90"/>
        <v>-4.9397753417240731E-3</v>
      </c>
      <c r="R539" s="12">
        <f t="shared" si="91"/>
        <v>-8.0032336297494178E-3</v>
      </c>
      <c r="S539" s="12">
        <f t="shared" si="92"/>
        <v>-1.5914732077675464E-2</v>
      </c>
      <c r="T539" s="12">
        <f t="shared" si="93"/>
        <v>-8.2392776523700917E-3</v>
      </c>
      <c r="U539" s="12">
        <f t="shared" si="94"/>
        <v>-1.9129603060736855E-3</v>
      </c>
      <c r="V539" s="12">
        <f t="shared" si="95"/>
        <v>-1.4274591227614319E-3</v>
      </c>
      <c r="W539" s="12">
        <f t="shared" si="96"/>
        <v>2.5686843868661935E-3</v>
      </c>
      <c r="X539" s="12">
        <f t="shared" si="97"/>
        <v>-2.3190159306311853E-2</v>
      </c>
      <c r="Y539" s="12">
        <f t="shared" si="98"/>
        <v>-1.571972977654601E-2</v>
      </c>
    </row>
    <row r="540" spans="1:25" x14ac:dyDescent="0.35">
      <c r="A540" s="6">
        <v>44907</v>
      </c>
      <c r="B540" s="8">
        <v>3990.56</v>
      </c>
      <c r="C540" s="2">
        <v>144.49</v>
      </c>
      <c r="D540" s="2">
        <v>149.21</v>
      </c>
      <c r="E540" s="2">
        <v>252.51</v>
      </c>
      <c r="F540" s="2">
        <v>545.86</v>
      </c>
      <c r="G540" s="2">
        <v>177.84</v>
      </c>
      <c r="H540" s="2">
        <v>214.59</v>
      </c>
      <c r="I540" s="2">
        <v>157.31</v>
      </c>
      <c r="J540" s="2">
        <v>186.27</v>
      </c>
      <c r="K540" s="2">
        <v>49.34</v>
      </c>
      <c r="L540" s="2">
        <v>233.06</v>
      </c>
      <c r="M540" s="64">
        <v>6.52</v>
      </c>
      <c r="N540" s="1"/>
      <c r="O540" s="12">
        <f t="shared" si="88"/>
        <v>1.4279251114533986E-2</v>
      </c>
      <c r="P540" s="12">
        <f t="shared" si="89"/>
        <v>1.6389983117613971E-2</v>
      </c>
      <c r="Q540" s="12">
        <f t="shared" si="90"/>
        <v>1.4688881332880044E-2</v>
      </c>
      <c r="R540" s="12">
        <f t="shared" si="91"/>
        <v>2.8889251079781575E-2</v>
      </c>
      <c r="S540" s="12">
        <f t="shared" si="92"/>
        <v>1.235163204747769E-2</v>
      </c>
      <c r="T540" s="12">
        <f t="shared" si="93"/>
        <v>1.1949470809149876E-2</v>
      </c>
      <c r="U540" s="12">
        <f t="shared" si="94"/>
        <v>2.8222328701485555E-2</v>
      </c>
      <c r="V540" s="12">
        <f t="shared" si="95"/>
        <v>2.2157244964262413E-2</v>
      </c>
      <c r="W540" s="12">
        <f t="shared" si="96"/>
        <v>3.7484683078979675E-2</v>
      </c>
      <c r="X540" s="12">
        <f t="shared" si="97"/>
        <v>1.857968620974404E-2</v>
      </c>
      <c r="Y540" s="12">
        <f t="shared" si="98"/>
        <v>2.5386070658629967E-2</v>
      </c>
    </row>
    <row r="541" spans="1:25" x14ac:dyDescent="0.35">
      <c r="A541" s="6">
        <v>44908</v>
      </c>
      <c r="B541" s="8">
        <v>4019.65</v>
      </c>
      <c r="C541" s="2">
        <v>145.47</v>
      </c>
      <c r="D541" s="2">
        <v>150.57</v>
      </c>
      <c r="E541" s="2">
        <v>256.92</v>
      </c>
      <c r="F541" s="2">
        <v>538.22</v>
      </c>
      <c r="G541" s="2">
        <v>179.21</v>
      </c>
      <c r="H541" s="2">
        <v>213.04</v>
      </c>
      <c r="I541" s="2">
        <v>157.52000000000001</v>
      </c>
      <c r="J541" s="2">
        <v>187.13</v>
      </c>
      <c r="K541" s="2">
        <v>49.16</v>
      </c>
      <c r="L541" s="2">
        <v>235.49</v>
      </c>
      <c r="M541" s="64" t="s">
        <v>77</v>
      </c>
      <c r="N541" s="1"/>
      <c r="O541" s="12">
        <f t="shared" si="88"/>
        <v>7.289703700733785E-3</v>
      </c>
      <c r="P541" s="12">
        <f t="shared" si="89"/>
        <v>6.782476295937423E-3</v>
      </c>
      <c r="Q541" s="12">
        <f t="shared" si="90"/>
        <v>9.1146705984852527E-3</v>
      </c>
      <c r="R541" s="12">
        <f t="shared" si="91"/>
        <v>1.7464654865154028E-2</v>
      </c>
      <c r="S541" s="12">
        <f t="shared" si="92"/>
        <v>-1.39962627780017E-2</v>
      </c>
      <c r="T541" s="12">
        <f t="shared" si="93"/>
        <v>7.7035537561853662E-3</v>
      </c>
      <c r="U541" s="12">
        <f t="shared" si="94"/>
        <v>-7.2230765646116302E-3</v>
      </c>
      <c r="V541" s="12">
        <f t="shared" si="95"/>
        <v>1.3349437416565468E-3</v>
      </c>
      <c r="W541" s="12">
        <f t="shared" si="96"/>
        <v>4.616953884146513E-3</v>
      </c>
      <c r="X541" s="12">
        <f t="shared" si="97"/>
        <v>-3.6481556546413829E-3</v>
      </c>
      <c r="Y541" s="12">
        <f t="shared" si="98"/>
        <v>1.0426499613833462E-2</v>
      </c>
    </row>
    <row r="542" spans="1:25" x14ac:dyDescent="0.35">
      <c r="A542" s="6">
        <v>44909</v>
      </c>
      <c r="B542" s="8">
        <v>3995.32</v>
      </c>
      <c r="C542" s="2">
        <v>143.21</v>
      </c>
      <c r="D542" s="2">
        <v>149.86000000000001</v>
      </c>
      <c r="E542" s="2">
        <v>257.22000000000003</v>
      </c>
      <c r="F542" s="2">
        <v>538.36</v>
      </c>
      <c r="G542" s="2">
        <v>179.76</v>
      </c>
      <c r="H542" s="2">
        <v>213.32</v>
      </c>
      <c r="I542" s="2">
        <v>154.11000000000001</v>
      </c>
      <c r="J542" s="2">
        <v>188.25</v>
      </c>
      <c r="K542" s="2">
        <v>48.89</v>
      </c>
      <c r="L542" s="2">
        <v>234.48</v>
      </c>
      <c r="M542" s="64" t="s">
        <v>77</v>
      </c>
      <c r="N542" s="1"/>
      <c r="O542" s="12">
        <f t="shared" si="88"/>
        <v>-6.0527657880661279E-3</v>
      </c>
      <c r="P542" s="12">
        <f t="shared" si="89"/>
        <v>-1.5535849316010153E-2</v>
      </c>
      <c r="Q542" s="12">
        <f t="shared" si="90"/>
        <v>-4.7154147572556759E-3</v>
      </c>
      <c r="R542" s="12">
        <f t="shared" si="91"/>
        <v>1.1676786548342477E-3</v>
      </c>
      <c r="S542" s="12">
        <f t="shared" si="92"/>
        <v>2.601166809110822E-4</v>
      </c>
      <c r="T542" s="12">
        <f t="shared" si="93"/>
        <v>3.0690251660061563E-3</v>
      </c>
      <c r="U542" s="12">
        <f t="shared" si="94"/>
        <v>1.3143071723620281E-3</v>
      </c>
      <c r="V542" s="12">
        <f t="shared" si="95"/>
        <v>-2.16480446927374E-2</v>
      </c>
      <c r="W542" s="12">
        <f t="shared" si="96"/>
        <v>5.9851440175280324E-3</v>
      </c>
      <c r="X542" s="12">
        <f t="shared" si="97"/>
        <v>-5.4922701383237627E-3</v>
      </c>
      <c r="Y542" s="12">
        <f t="shared" si="98"/>
        <v>-4.2889294662195043E-3</v>
      </c>
    </row>
    <row r="543" spans="1:25" x14ac:dyDescent="0.35">
      <c r="A543" s="6">
        <v>44910</v>
      </c>
      <c r="B543" s="8">
        <v>3895.75</v>
      </c>
      <c r="C543" s="2">
        <v>136.5</v>
      </c>
      <c r="D543" s="2">
        <v>142.36000000000001</v>
      </c>
      <c r="E543" s="2">
        <v>249.01</v>
      </c>
      <c r="F543" s="2">
        <v>527.67999999999995</v>
      </c>
      <c r="G543" s="2">
        <v>177.49</v>
      </c>
      <c r="H543" s="2">
        <v>207.91</v>
      </c>
      <c r="I543" s="2">
        <v>150.22</v>
      </c>
      <c r="J543" s="2">
        <v>183.72</v>
      </c>
      <c r="K543" s="2">
        <v>48.45</v>
      </c>
      <c r="L543" s="2">
        <v>230.66</v>
      </c>
      <c r="M543" s="64" t="s">
        <v>77</v>
      </c>
      <c r="N543" s="1"/>
      <c r="O543" s="12">
        <f t="shared" si="88"/>
        <v>-2.4921658340258168E-2</v>
      </c>
      <c r="P543" s="12">
        <f t="shared" si="89"/>
        <v>-4.6854269953215621E-2</v>
      </c>
      <c r="Q543" s="12">
        <f t="shared" si="90"/>
        <v>-5.0046710262912075E-2</v>
      </c>
      <c r="R543" s="12">
        <f t="shared" si="91"/>
        <v>-3.1918202317082756E-2</v>
      </c>
      <c r="S543" s="12">
        <f t="shared" si="92"/>
        <v>-1.9838026599301672E-2</v>
      </c>
      <c r="T543" s="12">
        <f t="shared" si="93"/>
        <v>-1.2627948375611875E-2</v>
      </c>
      <c r="U543" s="12">
        <f t="shared" si="94"/>
        <v>-2.5360960060003768E-2</v>
      </c>
      <c r="V543" s="12">
        <f t="shared" si="95"/>
        <v>-2.5241710466549994E-2</v>
      </c>
      <c r="W543" s="12">
        <f t="shared" si="96"/>
        <v>-2.4063745019920368E-2</v>
      </c>
      <c r="X543" s="12">
        <f t="shared" si="97"/>
        <v>-8.9997954591940488E-3</v>
      </c>
      <c r="Y543" s="12">
        <f t="shared" si="98"/>
        <v>-1.6291368133742767E-2</v>
      </c>
    </row>
    <row r="544" spans="1:25" x14ac:dyDescent="0.35">
      <c r="A544" s="6">
        <v>44911</v>
      </c>
      <c r="B544" s="8">
        <v>3852.36</v>
      </c>
      <c r="C544" s="2">
        <v>134.51</v>
      </c>
      <c r="D544" s="2">
        <v>140.16</v>
      </c>
      <c r="E544" s="2">
        <v>244.69</v>
      </c>
      <c r="F544" s="2">
        <v>523.70000000000005</v>
      </c>
      <c r="G544" s="2">
        <v>175.67</v>
      </c>
      <c r="H544" s="2">
        <v>206.89</v>
      </c>
      <c r="I544" s="2">
        <v>146.30000000000001</v>
      </c>
      <c r="J544" s="2">
        <v>184.7</v>
      </c>
      <c r="K544" s="2">
        <v>47.58</v>
      </c>
      <c r="L544" s="2">
        <v>232.72</v>
      </c>
      <c r="M544" s="64">
        <v>6.5</v>
      </c>
      <c r="N544" s="1"/>
      <c r="O544" s="12">
        <f t="shared" si="88"/>
        <v>-1.1137778348199956E-2</v>
      </c>
      <c r="P544" s="12">
        <f t="shared" si="89"/>
        <v>-1.4578754578754682E-2</v>
      </c>
      <c r="Q544" s="12">
        <f t="shared" si="90"/>
        <v>-1.5453779151447189E-2</v>
      </c>
      <c r="R544" s="12">
        <f t="shared" si="91"/>
        <v>-1.7348700855387311E-2</v>
      </c>
      <c r="S544" s="12">
        <f t="shared" si="92"/>
        <v>-7.5424499696784553E-3</v>
      </c>
      <c r="T544" s="12">
        <f t="shared" si="93"/>
        <v>-1.0254098822468971E-2</v>
      </c>
      <c r="U544" s="12">
        <f t="shared" si="94"/>
        <v>-4.9059689288635244E-3</v>
      </c>
      <c r="V544" s="12">
        <f t="shared" si="95"/>
        <v>-2.6095060577819074E-2</v>
      </c>
      <c r="W544" s="12">
        <f t="shared" si="96"/>
        <v>5.3342042238186949E-3</v>
      </c>
      <c r="X544" s="12">
        <f t="shared" si="97"/>
        <v>-1.7956656346749367E-2</v>
      </c>
      <c r="Y544" s="12">
        <f t="shared" si="98"/>
        <v>8.9308939564727297E-3</v>
      </c>
    </row>
    <row r="545" spans="1:25" x14ac:dyDescent="0.35">
      <c r="A545" s="6">
        <v>44914</v>
      </c>
      <c r="B545" s="8">
        <v>3817.66</v>
      </c>
      <c r="C545" s="2">
        <v>132.37</v>
      </c>
      <c r="D545" s="2">
        <v>138.87</v>
      </c>
      <c r="E545" s="2">
        <v>240.45</v>
      </c>
      <c r="F545" s="2">
        <v>523.6</v>
      </c>
      <c r="G545" s="2">
        <v>175.48</v>
      </c>
      <c r="H545" s="2">
        <v>204.82</v>
      </c>
      <c r="I545" s="2">
        <v>145.01</v>
      </c>
      <c r="J545" s="2">
        <v>185.68</v>
      </c>
      <c r="K545" s="2">
        <v>47.6</v>
      </c>
      <c r="L545" s="2">
        <v>232.29</v>
      </c>
      <c r="M545" s="64" t="s">
        <v>77</v>
      </c>
      <c r="N545" s="1"/>
      <c r="O545" s="12">
        <f t="shared" si="88"/>
        <v>-9.007465553582783E-3</v>
      </c>
      <c r="P545" s="12">
        <f t="shared" si="89"/>
        <v>-1.5909597799420028E-2</v>
      </c>
      <c r="Q545" s="12">
        <f t="shared" si="90"/>
        <v>-9.2037671232876317E-3</v>
      </c>
      <c r="R545" s="12">
        <f t="shared" si="91"/>
        <v>-1.7328047733867424E-2</v>
      </c>
      <c r="S545" s="12">
        <f t="shared" si="92"/>
        <v>-1.9094901661265151E-4</v>
      </c>
      <c r="T545" s="12">
        <f t="shared" si="93"/>
        <v>-1.0815734046791814E-3</v>
      </c>
      <c r="U545" s="12">
        <f t="shared" si="94"/>
        <v>-1.0005316835033029E-2</v>
      </c>
      <c r="V545" s="12">
        <f t="shared" si="95"/>
        <v>-8.8174982911826127E-3</v>
      </c>
      <c r="W545" s="12">
        <f t="shared" si="96"/>
        <v>5.305901461830187E-3</v>
      </c>
      <c r="X545" s="12">
        <f t="shared" si="97"/>
        <v>4.2034468263985048E-4</v>
      </c>
      <c r="Y545" s="12">
        <f t="shared" si="98"/>
        <v>-1.8477139910622054E-3</v>
      </c>
    </row>
    <row r="546" spans="1:25" x14ac:dyDescent="0.35">
      <c r="A546" s="6">
        <v>44915</v>
      </c>
      <c r="B546" s="8">
        <v>3821.62</v>
      </c>
      <c r="C546" s="2">
        <v>132.30000000000001</v>
      </c>
      <c r="D546" s="2">
        <v>141.28</v>
      </c>
      <c r="E546" s="2">
        <v>241.8</v>
      </c>
      <c r="F546" s="2">
        <v>520.21</v>
      </c>
      <c r="G546" s="2">
        <v>175.67</v>
      </c>
      <c r="H546" s="2">
        <v>205.36</v>
      </c>
      <c r="I546" s="2">
        <v>145.69999999999999</v>
      </c>
      <c r="J546" s="2">
        <v>188.29</v>
      </c>
      <c r="K546" s="2">
        <v>48.02</v>
      </c>
      <c r="L546" s="2">
        <v>235.14</v>
      </c>
      <c r="M546" s="64" t="s">
        <v>77</v>
      </c>
      <c r="N546" s="1"/>
      <c r="O546" s="12">
        <f t="shared" si="88"/>
        <v>1.0372846193742458E-3</v>
      </c>
      <c r="P546" s="12">
        <f t="shared" si="89"/>
        <v>-5.2882072977256112E-4</v>
      </c>
      <c r="Q546" s="12">
        <f t="shared" si="90"/>
        <v>1.7354360192986196E-2</v>
      </c>
      <c r="R546" s="12">
        <f t="shared" si="91"/>
        <v>5.6144728633813479E-3</v>
      </c>
      <c r="S546" s="12">
        <f t="shared" si="92"/>
        <v>-6.4744079449962078E-3</v>
      </c>
      <c r="T546" s="12">
        <f t="shared" si="93"/>
        <v>1.0827444723044977E-3</v>
      </c>
      <c r="U546" s="12">
        <f t="shared" si="94"/>
        <v>2.6364612830778178E-3</v>
      </c>
      <c r="V546" s="12">
        <f t="shared" si="95"/>
        <v>4.7582925315494684E-3</v>
      </c>
      <c r="W546" s="12">
        <f t="shared" si="96"/>
        <v>1.4056441189142621E-2</v>
      </c>
      <c r="X546" s="12">
        <f t="shared" si="97"/>
        <v>8.8235294117646745E-3</v>
      </c>
      <c r="Y546" s="12">
        <f t="shared" si="98"/>
        <v>1.2269146325713631E-2</v>
      </c>
    </row>
    <row r="547" spans="1:25" x14ac:dyDescent="0.35">
      <c r="A547" s="6">
        <v>44916</v>
      </c>
      <c r="B547" s="8">
        <v>3878.44</v>
      </c>
      <c r="C547" s="2">
        <v>135.44999999999999</v>
      </c>
      <c r="D547" s="2">
        <v>142.13999999999999</v>
      </c>
      <c r="E547" s="2">
        <v>244.43</v>
      </c>
      <c r="F547" s="2">
        <v>527.54</v>
      </c>
      <c r="G547" s="2">
        <v>177.68</v>
      </c>
      <c r="H547" s="2">
        <v>206.81</v>
      </c>
      <c r="I547" s="2">
        <v>147.1</v>
      </c>
      <c r="J547" s="2">
        <v>196</v>
      </c>
      <c r="K547" s="2">
        <v>48.39</v>
      </c>
      <c r="L547" s="2">
        <v>241.73</v>
      </c>
      <c r="M547" s="64" t="s">
        <v>77</v>
      </c>
      <c r="N547" s="1"/>
      <c r="O547" s="12">
        <f t="shared" si="88"/>
        <v>1.4868040255179737E-2</v>
      </c>
      <c r="P547" s="12">
        <f t="shared" si="89"/>
        <v>2.3809523809523725E-2</v>
      </c>
      <c r="Q547" s="12">
        <f t="shared" si="90"/>
        <v>6.0872027180067789E-3</v>
      </c>
      <c r="R547" s="12">
        <f t="shared" si="91"/>
        <v>1.0876757650951197E-2</v>
      </c>
      <c r="S547" s="12">
        <f t="shared" si="92"/>
        <v>1.409046346667675E-2</v>
      </c>
      <c r="T547" s="12">
        <f t="shared" si="93"/>
        <v>1.1441908123185573E-2</v>
      </c>
      <c r="U547" s="12">
        <f t="shared" si="94"/>
        <v>7.0607713283987739E-3</v>
      </c>
      <c r="V547" s="12">
        <f t="shared" si="95"/>
        <v>9.608785175017287E-3</v>
      </c>
      <c r="W547" s="12">
        <f t="shared" si="96"/>
        <v>4.0947474640182779E-2</v>
      </c>
      <c r="X547" s="12">
        <f t="shared" si="97"/>
        <v>7.7051228654727577E-3</v>
      </c>
      <c r="Y547" s="12">
        <f t="shared" si="98"/>
        <v>2.8025856936293225E-2</v>
      </c>
    </row>
    <row r="548" spans="1:25" x14ac:dyDescent="0.35">
      <c r="A548" s="6">
        <v>44917</v>
      </c>
      <c r="B548" s="8">
        <v>3822.39</v>
      </c>
      <c r="C548" s="2">
        <v>132.22999999999999</v>
      </c>
      <c r="D548" s="2">
        <v>140.88</v>
      </c>
      <c r="E548" s="2">
        <v>238.19</v>
      </c>
      <c r="F548" s="2">
        <v>527.09</v>
      </c>
      <c r="G548" s="2">
        <v>177.03</v>
      </c>
      <c r="H548" s="2">
        <v>205.06</v>
      </c>
      <c r="I548" s="2">
        <v>145.31</v>
      </c>
      <c r="J548" s="2">
        <v>188.25</v>
      </c>
      <c r="K548" s="2">
        <v>47.83</v>
      </c>
      <c r="L548" s="2">
        <v>237.54</v>
      </c>
      <c r="M548" s="64" t="s">
        <v>77</v>
      </c>
      <c r="N548" s="1"/>
      <c r="O548" s="12">
        <f t="shared" si="88"/>
        <v>-1.4451686760656446E-2</v>
      </c>
      <c r="P548" s="12">
        <f t="shared" si="89"/>
        <v>-2.3772609819121437E-2</v>
      </c>
      <c r="Q548" s="12">
        <f t="shared" si="90"/>
        <v>-8.8644997889404387E-3</v>
      </c>
      <c r="R548" s="12">
        <f t="shared" si="91"/>
        <v>-2.5528781246164534E-2</v>
      </c>
      <c r="S548" s="12">
        <f t="shared" si="92"/>
        <v>-8.5301588505126702E-4</v>
      </c>
      <c r="T548" s="12">
        <f t="shared" si="93"/>
        <v>-3.6582620441243385E-3</v>
      </c>
      <c r="U548" s="12">
        <f t="shared" si="94"/>
        <v>-8.4618732169624566E-3</v>
      </c>
      <c r="V548" s="12">
        <f t="shared" si="95"/>
        <v>-1.2168592794017608E-2</v>
      </c>
      <c r="W548" s="12">
        <f t="shared" si="96"/>
        <v>-3.9540816326530615E-2</v>
      </c>
      <c r="X548" s="12">
        <f t="shared" si="97"/>
        <v>-1.1572638974994831E-2</v>
      </c>
      <c r="Y548" s="12">
        <f t="shared" si="98"/>
        <v>-1.7333388491291957E-2</v>
      </c>
    </row>
    <row r="549" spans="1:25" x14ac:dyDescent="0.35">
      <c r="A549" s="6">
        <v>44918</v>
      </c>
      <c r="B549" s="8">
        <v>3844.82</v>
      </c>
      <c r="C549" s="2">
        <v>131.86000000000001</v>
      </c>
      <c r="D549" s="2">
        <v>141.65</v>
      </c>
      <c r="E549" s="2">
        <v>238.73</v>
      </c>
      <c r="F549" s="2">
        <v>531.30999999999995</v>
      </c>
      <c r="G549" s="2">
        <v>177.48</v>
      </c>
      <c r="H549" s="2">
        <v>205.83</v>
      </c>
      <c r="I549" s="2">
        <v>147.02000000000001</v>
      </c>
      <c r="J549" s="2">
        <v>189.06</v>
      </c>
      <c r="K549" s="2">
        <v>47.92</v>
      </c>
      <c r="L549" s="2">
        <v>239.87</v>
      </c>
      <c r="M549" s="64">
        <v>6.68</v>
      </c>
      <c r="N549" s="1"/>
      <c r="O549" s="12">
        <f t="shared" si="88"/>
        <v>5.8680563731070556E-3</v>
      </c>
      <c r="P549" s="12">
        <f t="shared" si="89"/>
        <v>-2.7981547303937981E-3</v>
      </c>
      <c r="Q549" s="12">
        <f t="shared" si="90"/>
        <v>5.4656445201590742E-3</v>
      </c>
      <c r="R549" s="12">
        <f t="shared" si="91"/>
        <v>2.2670976951173483E-3</v>
      </c>
      <c r="S549" s="12">
        <f t="shared" si="92"/>
        <v>8.0062228461930118E-3</v>
      </c>
      <c r="T549" s="12">
        <f t="shared" si="93"/>
        <v>2.5419420437213791E-3</v>
      </c>
      <c r="U549" s="12">
        <f t="shared" si="94"/>
        <v>3.7549985370135541E-3</v>
      </c>
      <c r="V549" s="12">
        <f t="shared" si="95"/>
        <v>1.1767944394742269E-2</v>
      </c>
      <c r="W549" s="12">
        <f t="shared" si="96"/>
        <v>4.3027888446214302E-3</v>
      </c>
      <c r="X549" s="12">
        <f t="shared" si="97"/>
        <v>1.8816642274723794E-3</v>
      </c>
      <c r="Y549" s="12">
        <f t="shared" si="98"/>
        <v>9.8088742948556629E-3</v>
      </c>
    </row>
    <row r="550" spans="1:25" x14ac:dyDescent="0.35">
      <c r="A550" s="6">
        <v>44922</v>
      </c>
      <c r="B550" s="8">
        <v>3829.25</v>
      </c>
      <c r="C550" s="2">
        <v>130.03</v>
      </c>
      <c r="D550" s="2">
        <v>142.41999999999999</v>
      </c>
      <c r="E550" s="2">
        <v>236.96</v>
      </c>
      <c r="F550" s="2">
        <v>531.99</v>
      </c>
      <c r="G550" s="2">
        <v>177.43</v>
      </c>
      <c r="H550" s="2">
        <v>206.29</v>
      </c>
      <c r="I550" s="2">
        <v>146.38999999999999</v>
      </c>
      <c r="J550" s="2">
        <v>189.4</v>
      </c>
      <c r="K550" s="2">
        <v>47.94</v>
      </c>
      <c r="L550" s="2">
        <v>243.14</v>
      </c>
      <c r="M550" s="64" t="s">
        <v>77</v>
      </c>
      <c r="N550" s="1"/>
      <c r="O550" s="12">
        <f t="shared" si="88"/>
        <v>-4.0496044028068834E-3</v>
      </c>
      <c r="P550" s="12">
        <f t="shared" si="89"/>
        <v>-1.3878355831943079E-2</v>
      </c>
      <c r="Q550" s="12">
        <f t="shared" si="90"/>
        <v>5.4359336392515445E-3</v>
      </c>
      <c r="R550" s="12">
        <f t="shared" si="91"/>
        <v>-7.414233653080804E-3</v>
      </c>
      <c r="S550" s="12">
        <f t="shared" si="92"/>
        <v>1.2798554516197935E-3</v>
      </c>
      <c r="T550" s="12">
        <f t="shared" si="93"/>
        <v>-2.8172188415587218E-4</v>
      </c>
      <c r="U550" s="12">
        <f t="shared" si="94"/>
        <v>2.234854005732867E-3</v>
      </c>
      <c r="V550" s="12">
        <f t="shared" si="95"/>
        <v>-4.2851312746566839E-3</v>
      </c>
      <c r="W550" s="12">
        <f t="shared" si="96"/>
        <v>1.7983708875488613E-3</v>
      </c>
      <c r="X550" s="12">
        <f t="shared" si="97"/>
        <v>4.1736227045063856E-4</v>
      </c>
      <c r="Y550" s="12">
        <f t="shared" si="98"/>
        <v>1.3632384208112747E-2</v>
      </c>
    </row>
    <row r="551" spans="1:25" x14ac:dyDescent="0.35">
      <c r="A551" s="6">
        <v>44923</v>
      </c>
      <c r="B551" s="8">
        <v>3783.22</v>
      </c>
      <c r="C551" s="2">
        <v>126.04</v>
      </c>
      <c r="D551" s="2">
        <v>140.02000000000001</v>
      </c>
      <c r="E551" s="2">
        <v>234.53</v>
      </c>
      <c r="F551" s="2">
        <v>528.45000000000005</v>
      </c>
      <c r="G551" s="2">
        <v>176.66</v>
      </c>
      <c r="H551" s="2">
        <v>204.99</v>
      </c>
      <c r="I551" s="2">
        <v>144.01</v>
      </c>
      <c r="J551" s="2">
        <v>188.38</v>
      </c>
      <c r="K551" s="2">
        <v>47.1</v>
      </c>
      <c r="L551" s="2">
        <v>239.38</v>
      </c>
      <c r="M551" s="64" t="s">
        <v>77</v>
      </c>
      <c r="N551" s="1"/>
      <c r="O551" s="12">
        <f t="shared" si="88"/>
        <v>-1.202063067180259E-2</v>
      </c>
      <c r="P551" s="12">
        <f t="shared" si="89"/>
        <v>-3.0685226486195427E-2</v>
      </c>
      <c r="Q551" s="12">
        <f t="shared" si="90"/>
        <v>-1.6851565791321299E-2</v>
      </c>
      <c r="R551" s="12">
        <f t="shared" si="91"/>
        <v>-1.0254895340985892E-2</v>
      </c>
      <c r="S551" s="12">
        <f t="shared" si="92"/>
        <v>-6.6542604184288701E-3</v>
      </c>
      <c r="T551" s="12">
        <f t="shared" si="93"/>
        <v>-4.3397396156231727E-3</v>
      </c>
      <c r="U551" s="12">
        <f t="shared" si="94"/>
        <v>-6.3018081341799093E-3</v>
      </c>
      <c r="V551" s="12">
        <f t="shared" si="95"/>
        <v>-1.6257941116196384E-2</v>
      </c>
      <c r="W551" s="12">
        <f t="shared" si="96"/>
        <v>-5.3854276663147793E-3</v>
      </c>
      <c r="X551" s="12">
        <f t="shared" si="97"/>
        <v>-1.7521902377972354E-2</v>
      </c>
      <c r="Y551" s="12">
        <f t="shared" si="98"/>
        <v>-1.546434153162779E-2</v>
      </c>
    </row>
    <row r="552" spans="1:25" x14ac:dyDescent="0.35">
      <c r="A552" s="6">
        <v>44924</v>
      </c>
      <c r="B552" s="8">
        <v>3849.28</v>
      </c>
      <c r="C552" s="2">
        <v>129.61000000000001</v>
      </c>
      <c r="D552" s="2">
        <v>141.06</v>
      </c>
      <c r="E552" s="2">
        <v>241.01</v>
      </c>
      <c r="F552" s="2">
        <v>529.88</v>
      </c>
      <c r="G552" s="2">
        <v>177.56</v>
      </c>
      <c r="H552" s="2">
        <v>208.06</v>
      </c>
      <c r="I552" s="2">
        <v>147.32</v>
      </c>
      <c r="J552" s="2">
        <v>188.91</v>
      </c>
      <c r="K552" s="2">
        <v>47.38</v>
      </c>
      <c r="L552" s="2">
        <v>240.2</v>
      </c>
      <c r="M552" s="64" t="s">
        <v>77</v>
      </c>
      <c r="N552" s="1"/>
      <c r="O552" s="12">
        <f t="shared" si="88"/>
        <v>1.7461316021801565E-2</v>
      </c>
      <c r="P552" s="12">
        <f t="shared" si="89"/>
        <v>2.832434147889562E-2</v>
      </c>
      <c r="Q552" s="12">
        <f t="shared" si="90"/>
        <v>7.4275103556633582E-3</v>
      </c>
      <c r="R552" s="12">
        <f t="shared" si="91"/>
        <v>2.7629727540186666E-2</v>
      </c>
      <c r="S552" s="12">
        <f t="shared" si="92"/>
        <v>2.7060270602705661E-3</v>
      </c>
      <c r="T552" s="12">
        <f t="shared" si="93"/>
        <v>5.0945318691271169E-3</v>
      </c>
      <c r="U552" s="12">
        <f t="shared" si="94"/>
        <v>1.4976340309283298E-2</v>
      </c>
      <c r="V552" s="12">
        <f t="shared" si="95"/>
        <v>2.29845149642387E-2</v>
      </c>
      <c r="W552" s="12">
        <f t="shared" si="96"/>
        <v>2.8134621509714464E-3</v>
      </c>
      <c r="X552" s="12">
        <f t="shared" si="97"/>
        <v>5.9447983014861983E-3</v>
      </c>
      <c r="Y552" s="12">
        <f t="shared" si="98"/>
        <v>3.4255159161165061E-3</v>
      </c>
    </row>
    <row r="553" spans="1:25" x14ac:dyDescent="0.35">
      <c r="A553" s="6">
        <v>44925</v>
      </c>
      <c r="B553" s="8">
        <v>3839.5</v>
      </c>
      <c r="C553" s="2">
        <v>129.93</v>
      </c>
      <c r="D553" s="2">
        <v>140.88999999999999</v>
      </c>
      <c r="E553" s="2">
        <v>239.82</v>
      </c>
      <c r="F553" s="2">
        <v>530.17999999999995</v>
      </c>
      <c r="G553" s="2">
        <v>176.65</v>
      </c>
      <c r="H553" s="2">
        <v>207.76</v>
      </c>
      <c r="I553" s="2">
        <v>147.75</v>
      </c>
      <c r="J553" s="2">
        <v>190.49</v>
      </c>
      <c r="K553" s="2">
        <v>47.26</v>
      </c>
      <c r="L553" s="2">
        <v>239.56</v>
      </c>
      <c r="M553" s="64" t="s">
        <v>77</v>
      </c>
      <c r="N553" s="1"/>
      <c r="O553" s="12">
        <f t="shared" si="88"/>
        <v>-2.5407348906808513E-3</v>
      </c>
      <c r="P553" s="12">
        <f t="shared" si="89"/>
        <v>2.4689452974306914E-3</v>
      </c>
      <c r="Q553" s="12">
        <f t="shared" si="90"/>
        <v>-1.2051609244294603E-3</v>
      </c>
      <c r="R553" s="12">
        <f t="shared" si="91"/>
        <v>-4.937554458321225E-3</v>
      </c>
      <c r="S553" s="12">
        <f t="shared" si="92"/>
        <v>5.6616592436009583E-4</v>
      </c>
      <c r="T553" s="12">
        <f t="shared" si="93"/>
        <v>-5.1250281594953373E-3</v>
      </c>
      <c r="U553" s="12">
        <f t="shared" si="94"/>
        <v>-1.4418917619918314E-3</v>
      </c>
      <c r="V553" s="12">
        <f t="shared" si="95"/>
        <v>2.9188161824600378E-3</v>
      </c>
      <c r="W553" s="12">
        <f t="shared" si="96"/>
        <v>8.3637711079349586E-3</v>
      </c>
      <c r="X553" s="12">
        <f t="shared" si="97"/>
        <v>-2.5327142254116808E-3</v>
      </c>
      <c r="Y553" s="12">
        <f t="shared" si="98"/>
        <v>-2.6644462947542635E-3</v>
      </c>
    </row>
    <row r="554" spans="1:25" x14ac:dyDescent="0.35">
      <c r="A554" s="6">
        <v>44929</v>
      </c>
      <c r="B554" s="8">
        <v>3824.14</v>
      </c>
      <c r="C554" s="2">
        <v>125.07</v>
      </c>
      <c r="D554" s="2">
        <v>141.55000000000001</v>
      </c>
      <c r="E554" s="2">
        <v>239.58</v>
      </c>
      <c r="F554" s="2">
        <v>518.64</v>
      </c>
      <c r="G554" s="2">
        <v>178.19</v>
      </c>
      <c r="H554" s="2">
        <v>207.39</v>
      </c>
      <c r="I554" s="2">
        <v>147.12</v>
      </c>
      <c r="J554" s="2">
        <v>195.39</v>
      </c>
      <c r="K554" s="2">
        <v>47.87</v>
      </c>
      <c r="L554" s="2">
        <v>238.88</v>
      </c>
      <c r="M554" s="64">
        <v>6.85</v>
      </c>
      <c r="N554" s="1"/>
      <c r="O554" s="12">
        <f t="shared" si="88"/>
        <v>-4.0005209011589882E-3</v>
      </c>
      <c r="P554" s="12">
        <f t="shared" si="89"/>
        <v>-3.7404756407296347E-2</v>
      </c>
      <c r="Q554" s="12">
        <f t="shared" si="90"/>
        <v>4.6845056427000653E-3</v>
      </c>
      <c r="R554" s="12">
        <f t="shared" si="91"/>
        <v>-1.000750562922148E-3</v>
      </c>
      <c r="S554" s="12">
        <f t="shared" si="92"/>
        <v>-2.1766192613829172E-2</v>
      </c>
      <c r="T554" s="12">
        <f t="shared" si="93"/>
        <v>8.7178035663741937E-3</v>
      </c>
      <c r="U554" s="12">
        <f t="shared" si="94"/>
        <v>-1.7809010396612202E-3</v>
      </c>
      <c r="V554" s="12">
        <f t="shared" si="95"/>
        <v>-4.2639593908628814E-3</v>
      </c>
      <c r="W554" s="12">
        <f t="shared" si="96"/>
        <v>2.5723135072707182E-2</v>
      </c>
      <c r="X554" s="12">
        <f t="shared" si="97"/>
        <v>1.2907321201861999E-2</v>
      </c>
      <c r="Y554" s="12">
        <f t="shared" si="98"/>
        <v>-2.8385373184171003E-3</v>
      </c>
    </row>
    <row r="555" spans="1:25" x14ac:dyDescent="0.35">
      <c r="A555" s="6">
        <v>44930</v>
      </c>
      <c r="B555" s="8">
        <v>3852.97</v>
      </c>
      <c r="C555" s="2">
        <v>126.36</v>
      </c>
      <c r="D555" s="2">
        <v>142.6</v>
      </c>
      <c r="E555" s="2">
        <v>229.1</v>
      </c>
      <c r="F555" s="2">
        <v>504.5</v>
      </c>
      <c r="G555" s="2">
        <v>180.13</v>
      </c>
      <c r="H555" s="2">
        <v>212.61</v>
      </c>
      <c r="I555" s="2">
        <v>150.54</v>
      </c>
      <c r="J555" s="2">
        <v>203.64</v>
      </c>
      <c r="K555" s="2">
        <v>47.92</v>
      </c>
      <c r="L555" s="2">
        <v>241.36</v>
      </c>
      <c r="M555" s="64" t="s">
        <v>77</v>
      </c>
      <c r="N555" s="1"/>
      <c r="O555" s="12">
        <f t="shared" si="88"/>
        <v>7.5389499338414101E-3</v>
      </c>
      <c r="P555" s="12">
        <f t="shared" si="89"/>
        <v>1.0314224034540631E-2</v>
      </c>
      <c r="Q555" s="12">
        <f t="shared" si="90"/>
        <v>7.4178735429175635E-3</v>
      </c>
      <c r="R555" s="12">
        <f t="shared" si="91"/>
        <v>-4.3743217296936421E-2</v>
      </c>
      <c r="S555" s="12">
        <f t="shared" si="92"/>
        <v>-2.7263612525065484E-2</v>
      </c>
      <c r="T555" s="12">
        <f t="shared" si="93"/>
        <v>1.0887255177058242E-2</v>
      </c>
      <c r="U555" s="12">
        <f t="shared" si="94"/>
        <v>2.516996962245055E-2</v>
      </c>
      <c r="V555" s="12">
        <f t="shared" si="95"/>
        <v>2.3246329526916742E-2</v>
      </c>
      <c r="W555" s="12">
        <f t="shared" si="96"/>
        <v>4.2223245816060295E-2</v>
      </c>
      <c r="X555" s="12">
        <f t="shared" si="97"/>
        <v>1.044495508669474E-3</v>
      </c>
      <c r="Y555" s="12">
        <f t="shared" si="98"/>
        <v>1.0381781647689214E-2</v>
      </c>
    </row>
    <row r="556" spans="1:25" x14ac:dyDescent="0.35">
      <c r="A556" s="6">
        <v>44931</v>
      </c>
      <c r="B556" s="8">
        <v>3808.1</v>
      </c>
      <c r="C556" s="2">
        <v>125.02</v>
      </c>
      <c r="D556" s="2">
        <v>141.11000000000001</v>
      </c>
      <c r="E556" s="2">
        <v>222.31</v>
      </c>
      <c r="F556" s="2">
        <v>489.96</v>
      </c>
      <c r="G556" s="2">
        <v>178.8</v>
      </c>
      <c r="H556" s="2">
        <v>211.11</v>
      </c>
      <c r="I556" s="2">
        <v>146.43</v>
      </c>
      <c r="J556" s="2">
        <v>204.99</v>
      </c>
      <c r="K556" s="2">
        <v>47.76</v>
      </c>
      <c r="L556" s="2">
        <v>240.28</v>
      </c>
      <c r="M556" s="64" t="s">
        <v>77</v>
      </c>
      <c r="N556" s="1"/>
      <c r="O556" s="12">
        <f t="shared" si="88"/>
        <v>-1.164556173549236E-2</v>
      </c>
      <c r="P556" s="12">
        <f t="shared" si="89"/>
        <v>-1.0604621715732843E-2</v>
      </c>
      <c r="Q556" s="12">
        <f t="shared" si="90"/>
        <v>-1.0448807854137265E-2</v>
      </c>
      <c r="R556" s="12">
        <f t="shared" si="91"/>
        <v>-2.9637712789175041E-2</v>
      </c>
      <c r="S556" s="12">
        <f t="shared" si="92"/>
        <v>-2.8820614469772132E-2</v>
      </c>
      <c r="T556" s="12">
        <f t="shared" si="93"/>
        <v>-7.3835563204351917E-3</v>
      </c>
      <c r="U556" s="12">
        <f t="shared" si="94"/>
        <v>-7.0551714406660304E-3</v>
      </c>
      <c r="V556" s="12">
        <f t="shared" si="95"/>
        <v>-2.7301713830211183E-2</v>
      </c>
      <c r="W556" s="12">
        <f t="shared" si="96"/>
        <v>6.6293459045374536E-3</v>
      </c>
      <c r="X556" s="12">
        <f t="shared" si="97"/>
        <v>-3.3388981636061077E-3</v>
      </c>
      <c r="Y556" s="12">
        <f t="shared" si="98"/>
        <v>-4.4746436857806549E-3</v>
      </c>
    </row>
    <row r="557" spans="1:25" x14ac:dyDescent="0.35">
      <c r="A557" s="6">
        <v>44932</v>
      </c>
      <c r="B557" s="8">
        <v>3895.08</v>
      </c>
      <c r="C557" s="2">
        <v>129.62</v>
      </c>
      <c r="D557" s="2">
        <v>143.69999999999999</v>
      </c>
      <c r="E557" s="2">
        <v>224.93</v>
      </c>
      <c r="F557" s="2">
        <v>490</v>
      </c>
      <c r="G557" s="2">
        <v>180.25</v>
      </c>
      <c r="H557" s="2">
        <v>217.75</v>
      </c>
      <c r="I557" s="2">
        <v>150.16999999999999</v>
      </c>
      <c r="J557" s="2">
        <v>213</v>
      </c>
      <c r="K557" s="2">
        <v>48.93</v>
      </c>
      <c r="L557" s="2">
        <v>248.86</v>
      </c>
      <c r="M557" s="64" t="s">
        <v>77</v>
      </c>
      <c r="N557" s="1"/>
      <c r="O557" s="12">
        <f t="shared" si="88"/>
        <v>2.284078674404566E-2</v>
      </c>
      <c r="P557" s="12">
        <f t="shared" si="89"/>
        <v>3.6794112941929358E-2</v>
      </c>
      <c r="Q557" s="12">
        <f t="shared" si="90"/>
        <v>1.835447523208833E-2</v>
      </c>
      <c r="R557" s="12">
        <f t="shared" si="91"/>
        <v>1.1785344788808549E-2</v>
      </c>
      <c r="S557" s="12">
        <f t="shared" si="92"/>
        <v>8.1639317495385555E-5</v>
      </c>
      <c r="T557" s="12">
        <f t="shared" si="93"/>
        <v>8.1096196868009063E-3</v>
      </c>
      <c r="U557" s="12">
        <f t="shared" si="94"/>
        <v>3.1452797119984721E-2</v>
      </c>
      <c r="V557" s="12">
        <f t="shared" si="95"/>
        <v>2.5541214232056131E-2</v>
      </c>
      <c r="W557" s="12">
        <f t="shared" si="96"/>
        <v>3.9075076833016142E-2</v>
      </c>
      <c r="X557" s="12">
        <f t="shared" si="97"/>
        <v>2.4497487437185939E-2</v>
      </c>
      <c r="Y557" s="12">
        <f t="shared" si="98"/>
        <v>3.570834026968539E-2</v>
      </c>
    </row>
    <row r="558" spans="1:25" x14ac:dyDescent="0.35">
      <c r="A558" s="6">
        <v>44935</v>
      </c>
      <c r="B558" s="8">
        <v>3892.09</v>
      </c>
      <c r="C558" s="2">
        <v>130.15</v>
      </c>
      <c r="D558" s="2">
        <v>143.55000000000001</v>
      </c>
      <c r="E558" s="2">
        <v>227.12</v>
      </c>
      <c r="F558" s="2">
        <v>490.06</v>
      </c>
      <c r="G558" s="2">
        <v>175.58</v>
      </c>
      <c r="H558" s="2">
        <v>218.6</v>
      </c>
      <c r="I558" s="2">
        <v>150.4</v>
      </c>
      <c r="J558" s="2">
        <v>208.57</v>
      </c>
      <c r="K558" s="2">
        <v>48.32</v>
      </c>
      <c r="L558" s="2">
        <v>246.62</v>
      </c>
      <c r="M558" s="64" t="s">
        <v>77</v>
      </c>
      <c r="N558" s="1"/>
      <c r="O558" s="12">
        <f t="shared" si="88"/>
        <v>-7.6763506782906443E-4</v>
      </c>
      <c r="P558" s="12">
        <f t="shared" si="89"/>
        <v>4.0888751735843609E-3</v>
      </c>
      <c r="Q558" s="12">
        <f t="shared" si="90"/>
        <v>-1.0438413361167909E-3</v>
      </c>
      <c r="R558" s="12">
        <f t="shared" si="91"/>
        <v>9.7363624238651081E-3</v>
      </c>
      <c r="S558" s="12">
        <f t="shared" si="92"/>
        <v>1.2244897959190482E-4</v>
      </c>
      <c r="T558" s="12">
        <f t="shared" si="93"/>
        <v>-2.5908460471567252E-2</v>
      </c>
      <c r="U558" s="12">
        <f t="shared" si="94"/>
        <v>3.9035591274396708E-3</v>
      </c>
      <c r="V558" s="12">
        <f t="shared" si="95"/>
        <v>1.5315975228076262E-3</v>
      </c>
      <c r="W558" s="12">
        <f t="shared" si="96"/>
        <v>-2.0798122065727731E-2</v>
      </c>
      <c r="X558" s="12">
        <f t="shared" si="97"/>
        <v>-1.2466789290823566E-2</v>
      </c>
      <c r="Y558" s="12">
        <f t="shared" si="98"/>
        <v>-9.001044764124444E-3</v>
      </c>
    </row>
    <row r="559" spans="1:25" x14ac:dyDescent="0.35">
      <c r="A559" s="6">
        <v>44936</v>
      </c>
      <c r="B559" s="8">
        <v>3919.25</v>
      </c>
      <c r="C559" s="2">
        <v>130.72999999999999</v>
      </c>
      <c r="D559" s="2">
        <v>144.80000000000001</v>
      </c>
      <c r="E559" s="2">
        <v>228.85</v>
      </c>
      <c r="F559" s="2">
        <v>486</v>
      </c>
      <c r="G559" s="2">
        <v>175.16</v>
      </c>
      <c r="H559" s="2">
        <v>221.09</v>
      </c>
      <c r="I559" s="2">
        <v>152</v>
      </c>
      <c r="J559" s="2">
        <v>206.69</v>
      </c>
      <c r="K559" s="2">
        <v>48.29</v>
      </c>
      <c r="L559" s="2">
        <v>250.51</v>
      </c>
      <c r="M559" s="64">
        <v>6.97</v>
      </c>
      <c r="N559" s="1"/>
      <c r="O559" s="12">
        <f t="shared" si="88"/>
        <v>6.9782558985018728E-3</v>
      </c>
      <c r="P559" s="12">
        <f t="shared" si="89"/>
        <v>4.4563964656165744E-3</v>
      </c>
      <c r="Q559" s="12">
        <f t="shared" si="90"/>
        <v>8.7077673284570167E-3</v>
      </c>
      <c r="R559" s="12">
        <f t="shared" si="91"/>
        <v>7.6171187037687993E-3</v>
      </c>
      <c r="S559" s="12">
        <f t="shared" si="92"/>
        <v>-8.2846998326735477E-3</v>
      </c>
      <c r="T559" s="12">
        <f t="shared" si="93"/>
        <v>-2.3920719899761522E-3</v>
      </c>
      <c r="U559" s="12">
        <f t="shared" si="94"/>
        <v>1.1390667886550743E-2</v>
      </c>
      <c r="V559" s="12">
        <f t="shared" si="95"/>
        <v>1.0638297872340496E-2</v>
      </c>
      <c r="W559" s="12">
        <f t="shared" si="96"/>
        <v>-9.0137603682216572E-3</v>
      </c>
      <c r="X559" s="12">
        <f t="shared" si="97"/>
        <v>-6.2086092715230023E-4</v>
      </c>
      <c r="Y559" s="12">
        <f t="shared" si="98"/>
        <v>1.5773254399480852E-2</v>
      </c>
    </row>
    <row r="560" spans="1:25" x14ac:dyDescent="0.35">
      <c r="A560" s="6">
        <v>44937</v>
      </c>
      <c r="B560" s="8">
        <v>3969.61</v>
      </c>
      <c r="C560" s="2">
        <v>133.49</v>
      </c>
      <c r="D560" s="2">
        <v>145.26</v>
      </c>
      <c r="E560" s="2">
        <v>235.77</v>
      </c>
      <c r="F560" s="2">
        <v>493.4</v>
      </c>
      <c r="G560" s="2">
        <v>174.88</v>
      </c>
      <c r="H560" s="2">
        <v>222.1</v>
      </c>
      <c r="I560" s="2">
        <v>153.91999999999999</v>
      </c>
      <c r="J560" s="2">
        <v>208.03</v>
      </c>
      <c r="K560" s="2">
        <v>48.71</v>
      </c>
      <c r="L560" s="2">
        <v>250.73</v>
      </c>
      <c r="M560" s="64" t="s">
        <v>77</v>
      </c>
      <c r="N560" s="1"/>
      <c r="O560" s="12">
        <f t="shared" si="88"/>
        <v>1.2849397206098123E-2</v>
      </c>
      <c r="P560" s="12">
        <f t="shared" si="89"/>
        <v>2.1112216017746599E-2</v>
      </c>
      <c r="Q560" s="12">
        <f t="shared" si="90"/>
        <v>3.1767955801103032E-3</v>
      </c>
      <c r="R560" s="12">
        <f t="shared" si="91"/>
        <v>3.0238147258029313E-2</v>
      </c>
      <c r="S560" s="12">
        <f t="shared" si="92"/>
        <v>1.5226337448559724E-2</v>
      </c>
      <c r="T560" s="12">
        <f t="shared" si="93"/>
        <v>-1.5985384791048496E-3</v>
      </c>
      <c r="U560" s="12">
        <f t="shared" si="94"/>
        <v>4.5682753629743278E-3</v>
      </c>
      <c r="V560" s="12">
        <f t="shared" si="95"/>
        <v>1.2631578947368327E-2</v>
      </c>
      <c r="W560" s="12">
        <f t="shared" si="96"/>
        <v>6.4831390004354006E-3</v>
      </c>
      <c r="X560" s="12">
        <f t="shared" si="97"/>
        <v>8.6974528887968638E-3</v>
      </c>
      <c r="Y560" s="12">
        <f t="shared" si="98"/>
        <v>8.7820845475228282E-4</v>
      </c>
    </row>
    <row r="561" spans="1:25" x14ac:dyDescent="0.35">
      <c r="A561" s="6">
        <v>44938</v>
      </c>
      <c r="B561" s="8">
        <v>3983.17</v>
      </c>
      <c r="C561" s="2">
        <v>133.41</v>
      </c>
      <c r="D561" s="2">
        <v>145.55000000000001</v>
      </c>
      <c r="E561" s="2">
        <v>238.51</v>
      </c>
      <c r="F561" s="2">
        <v>495.67</v>
      </c>
      <c r="G561" s="2">
        <v>174</v>
      </c>
      <c r="H561" s="2">
        <v>223.62</v>
      </c>
      <c r="I561" s="2">
        <v>154.91999999999999</v>
      </c>
      <c r="J561" s="2">
        <v>214.32</v>
      </c>
      <c r="K561" s="2">
        <v>48.27</v>
      </c>
      <c r="L561" s="2">
        <v>255.07</v>
      </c>
      <c r="M561" s="64" t="s">
        <v>77</v>
      </c>
      <c r="N561" s="1"/>
      <c r="O561" s="12">
        <f t="shared" si="88"/>
        <v>3.41595270064321E-3</v>
      </c>
      <c r="P561" s="12">
        <f t="shared" si="89"/>
        <v>-5.9929582740292364E-4</v>
      </c>
      <c r="Q561" s="12">
        <f t="shared" si="90"/>
        <v>1.9964202120337227E-3</v>
      </c>
      <c r="R561" s="12">
        <f t="shared" si="91"/>
        <v>1.1621495525300007E-2</v>
      </c>
      <c r="S561" s="12">
        <f t="shared" si="92"/>
        <v>4.6007296311310064E-3</v>
      </c>
      <c r="T561" s="12">
        <f t="shared" si="93"/>
        <v>-5.032021957913968E-3</v>
      </c>
      <c r="U561" s="12">
        <f t="shared" si="94"/>
        <v>6.8437640702385671E-3</v>
      </c>
      <c r="V561" s="12">
        <f t="shared" si="95"/>
        <v>6.4968814968815458E-3</v>
      </c>
      <c r="W561" s="12">
        <f t="shared" si="96"/>
        <v>3.0236023650435095E-2</v>
      </c>
      <c r="X561" s="12">
        <f t="shared" si="97"/>
        <v>-9.0330527612398903E-3</v>
      </c>
      <c r="Y561" s="12">
        <f t="shared" si="98"/>
        <v>1.7309456387349043E-2</v>
      </c>
    </row>
    <row r="562" spans="1:25" x14ac:dyDescent="0.35">
      <c r="A562" s="6">
        <v>44939</v>
      </c>
      <c r="B562" s="8">
        <v>3999.09</v>
      </c>
      <c r="C562" s="2">
        <v>134.76</v>
      </c>
      <c r="D562" s="2">
        <v>145.88999999999999</v>
      </c>
      <c r="E562" s="2">
        <v>239.23</v>
      </c>
      <c r="F562" s="2">
        <v>489.57</v>
      </c>
      <c r="G562" s="2">
        <v>173.43</v>
      </c>
      <c r="H562" s="2">
        <v>223.06</v>
      </c>
      <c r="I562" s="2">
        <v>155.76</v>
      </c>
      <c r="J562" s="2">
        <v>214.13</v>
      </c>
      <c r="K562" s="2">
        <v>48.43</v>
      </c>
      <c r="L562" s="2">
        <v>258.45999999999998</v>
      </c>
      <c r="M562" s="64" t="s">
        <v>77</v>
      </c>
      <c r="N562" s="1"/>
      <c r="O562" s="12">
        <f t="shared" si="88"/>
        <v>3.9968166058692578E-3</v>
      </c>
      <c r="P562" s="12">
        <f t="shared" si="89"/>
        <v>1.011918147065427E-2</v>
      </c>
      <c r="Q562" s="12">
        <f t="shared" si="90"/>
        <v>2.3359670216418493E-3</v>
      </c>
      <c r="R562" s="12">
        <f t="shared" si="91"/>
        <v>3.0187413525637474E-3</v>
      </c>
      <c r="S562" s="12">
        <f t="shared" si="92"/>
        <v>-1.2306574938971582E-2</v>
      </c>
      <c r="T562" s="12">
        <f t="shared" si="93"/>
        <v>-3.2758620689654627E-3</v>
      </c>
      <c r="U562" s="12">
        <f t="shared" si="94"/>
        <v>-2.5042482783292908E-3</v>
      </c>
      <c r="V562" s="12">
        <f t="shared" si="95"/>
        <v>5.422153369481153E-3</v>
      </c>
      <c r="W562" s="12">
        <f t="shared" si="96"/>
        <v>-8.8652482269502286E-4</v>
      </c>
      <c r="X562" s="12">
        <f t="shared" si="97"/>
        <v>3.3146882121399823E-3</v>
      </c>
      <c r="Y562" s="12">
        <f t="shared" si="98"/>
        <v>1.3290469282941864E-2</v>
      </c>
    </row>
    <row r="563" spans="1:25" x14ac:dyDescent="0.35">
      <c r="A563" s="6">
        <v>44943</v>
      </c>
      <c r="B563" s="8">
        <v>3990.97</v>
      </c>
      <c r="C563" s="2">
        <v>135.94</v>
      </c>
      <c r="D563" s="2">
        <v>145.19</v>
      </c>
      <c r="E563" s="2">
        <v>240.35</v>
      </c>
      <c r="F563" s="2">
        <v>485.08</v>
      </c>
      <c r="G563" s="2">
        <v>172.36</v>
      </c>
      <c r="H563" s="2">
        <v>223</v>
      </c>
      <c r="I563" s="2">
        <v>153.75</v>
      </c>
      <c r="J563" s="2">
        <v>211.41</v>
      </c>
      <c r="K563" s="2">
        <v>48.14</v>
      </c>
      <c r="L563" s="2">
        <v>256.26</v>
      </c>
      <c r="M563" s="64" t="s">
        <v>77</v>
      </c>
      <c r="N563" s="1"/>
      <c r="O563" s="12">
        <f t="shared" si="88"/>
        <v>-2.0304619300891558E-3</v>
      </c>
      <c r="P563" s="12">
        <f t="shared" si="89"/>
        <v>8.7563075096468435E-3</v>
      </c>
      <c r="Q563" s="12">
        <f t="shared" si="90"/>
        <v>-4.7981355816024696E-3</v>
      </c>
      <c r="R563" s="12">
        <f t="shared" si="91"/>
        <v>4.6816870793797705E-3</v>
      </c>
      <c r="S563" s="12">
        <f t="shared" si="92"/>
        <v>-9.1713136017321784E-3</v>
      </c>
      <c r="T563" s="12">
        <f t="shared" si="93"/>
        <v>-6.1696361644466569E-3</v>
      </c>
      <c r="U563" s="12">
        <f t="shared" si="94"/>
        <v>-2.6898592307000868E-4</v>
      </c>
      <c r="V563" s="12">
        <f t="shared" si="95"/>
        <v>-1.2904468412942904E-2</v>
      </c>
      <c r="W563" s="12">
        <f t="shared" si="96"/>
        <v>-1.2702563863073779E-2</v>
      </c>
      <c r="X563" s="12">
        <f t="shared" si="97"/>
        <v>-5.9880239520957446E-3</v>
      </c>
      <c r="Y563" s="12">
        <f t="shared" si="98"/>
        <v>-8.5119554283060728E-3</v>
      </c>
    </row>
    <row r="564" spans="1:25" x14ac:dyDescent="0.35">
      <c r="A564" s="6">
        <v>44944</v>
      </c>
      <c r="B564" s="8">
        <v>3928.86</v>
      </c>
      <c r="C564" s="2">
        <v>135.21</v>
      </c>
      <c r="D564" s="2">
        <v>140.41</v>
      </c>
      <c r="E564" s="2">
        <v>235.81</v>
      </c>
      <c r="F564" s="2">
        <v>476.24</v>
      </c>
      <c r="G564" s="2">
        <v>169.76</v>
      </c>
      <c r="H564" s="2">
        <v>219.46</v>
      </c>
      <c r="I564" s="2">
        <v>150.41999999999999</v>
      </c>
      <c r="J564" s="2">
        <v>209.41</v>
      </c>
      <c r="K564" s="2">
        <v>46.95</v>
      </c>
      <c r="L564" s="2">
        <v>252.82</v>
      </c>
      <c r="M564" s="64">
        <v>6.93</v>
      </c>
      <c r="N564" s="1"/>
      <c r="O564" s="12">
        <f t="shared" si="88"/>
        <v>-1.5562632643191909E-2</v>
      </c>
      <c r="P564" s="12">
        <f t="shared" si="89"/>
        <v>-5.3700161836103266E-3</v>
      </c>
      <c r="Q564" s="12">
        <f t="shared" si="90"/>
        <v>-3.2922377574213124E-2</v>
      </c>
      <c r="R564" s="12">
        <f t="shared" si="91"/>
        <v>-1.8889120033284801E-2</v>
      </c>
      <c r="S564" s="12">
        <f t="shared" si="92"/>
        <v>-1.8223798136389857E-2</v>
      </c>
      <c r="T564" s="12">
        <f t="shared" si="93"/>
        <v>-1.5084706428405759E-2</v>
      </c>
      <c r="U564" s="12">
        <f t="shared" si="94"/>
        <v>-1.5874439461883383E-2</v>
      </c>
      <c r="V564" s="12">
        <f t="shared" si="95"/>
        <v>-2.1658536585365984E-2</v>
      </c>
      <c r="W564" s="12">
        <f t="shared" si="96"/>
        <v>-9.4602904309162295E-3</v>
      </c>
      <c r="X564" s="12">
        <f t="shared" si="97"/>
        <v>-2.4719567926879904E-2</v>
      </c>
      <c r="Y564" s="12">
        <f t="shared" si="98"/>
        <v>-1.3423866385702032E-2</v>
      </c>
    </row>
    <row r="565" spans="1:25" x14ac:dyDescent="0.35">
      <c r="A565" s="6">
        <v>44945</v>
      </c>
      <c r="B565" s="8">
        <v>3898.85</v>
      </c>
      <c r="C565" s="2">
        <v>135.27000000000001</v>
      </c>
      <c r="D565" s="2">
        <v>140.62</v>
      </c>
      <c r="E565" s="2">
        <v>231.93</v>
      </c>
      <c r="F565" s="2">
        <v>484.36</v>
      </c>
      <c r="G565" s="2">
        <v>169.53</v>
      </c>
      <c r="H565" s="2">
        <v>220.41</v>
      </c>
      <c r="I565" s="2">
        <v>146.85</v>
      </c>
      <c r="J565" s="2">
        <v>207.09</v>
      </c>
      <c r="K565" s="2">
        <v>46.28</v>
      </c>
      <c r="L565" s="2">
        <v>245.75</v>
      </c>
      <c r="M565" s="64" t="s">
        <v>77</v>
      </c>
      <c r="N565" s="1"/>
      <c r="O565" s="12">
        <f t="shared" si="88"/>
        <v>-7.6383480195273412E-3</v>
      </c>
      <c r="P565" s="12">
        <f t="shared" si="89"/>
        <v>4.4375416019537539E-4</v>
      </c>
      <c r="Q565" s="12">
        <f t="shared" si="90"/>
        <v>1.495619970087736E-3</v>
      </c>
      <c r="R565" s="12">
        <f t="shared" si="91"/>
        <v>-1.6453924769941897E-2</v>
      </c>
      <c r="S565" s="12">
        <f t="shared" si="92"/>
        <v>1.7050226776415212E-2</v>
      </c>
      <c r="T565" s="12">
        <f t="shared" si="93"/>
        <v>-1.3548539114043301E-3</v>
      </c>
      <c r="U565" s="12">
        <f t="shared" si="94"/>
        <v>4.3288070719036398E-3</v>
      </c>
      <c r="V565" s="12">
        <f t="shared" si="95"/>
        <v>-2.3733546071001199E-2</v>
      </c>
      <c r="W565" s="12">
        <f t="shared" si="96"/>
        <v>-1.1078745045604244E-2</v>
      </c>
      <c r="X565" s="12">
        <f t="shared" si="97"/>
        <v>-1.4270500532481356E-2</v>
      </c>
      <c r="Y565" s="12">
        <f t="shared" si="98"/>
        <v>-2.7964559765841335E-2</v>
      </c>
    </row>
    <row r="566" spans="1:25" x14ac:dyDescent="0.35">
      <c r="A566" s="6">
        <v>44946</v>
      </c>
      <c r="B566" s="8">
        <v>3972.61</v>
      </c>
      <c r="C566" s="2">
        <v>137.87</v>
      </c>
      <c r="D566" s="2">
        <v>141.19999999999999</v>
      </c>
      <c r="E566" s="2">
        <v>240.22</v>
      </c>
      <c r="F566" s="2">
        <v>486.72</v>
      </c>
      <c r="G566" s="2">
        <v>168.74</v>
      </c>
      <c r="H566" s="2">
        <v>224.31</v>
      </c>
      <c r="I566" s="2">
        <v>151.6</v>
      </c>
      <c r="J566" s="2">
        <v>206.76</v>
      </c>
      <c r="K566" s="2">
        <v>46.85</v>
      </c>
      <c r="L566" s="2">
        <v>249.71</v>
      </c>
      <c r="M566" s="64" t="s">
        <v>77</v>
      </c>
      <c r="N566" s="1"/>
      <c r="O566" s="12">
        <f t="shared" si="88"/>
        <v>1.8918399015094289E-2</v>
      </c>
      <c r="P566" s="12">
        <f t="shared" si="89"/>
        <v>1.9220817624011177E-2</v>
      </c>
      <c r="Q566" s="12">
        <f t="shared" si="90"/>
        <v>4.12459109657215E-3</v>
      </c>
      <c r="R566" s="12">
        <f t="shared" si="91"/>
        <v>3.5743543310481574E-2</v>
      </c>
      <c r="S566" s="12">
        <f t="shared" si="92"/>
        <v>4.8724089520191249E-3</v>
      </c>
      <c r="T566" s="12">
        <f t="shared" si="93"/>
        <v>-4.6599421931221574E-3</v>
      </c>
      <c r="U566" s="12">
        <f t="shared" si="94"/>
        <v>1.769429699196956E-2</v>
      </c>
      <c r="V566" s="12">
        <f t="shared" si="95"/>
        <v>3.2345931222335755E-2</v>
      </c>
      <c r="W566" s="12">
        <f t="shared" si="96"/>
        <v>-1.5935100680863901E-3</v>
      </c>
      <c r="X566" s="12">
        <f t="shared" si="97"/>
        <v>1.2316335350043284E-2</v>
      </c>
      <c r="Y566" s="12">
        <f t="shared" si="98"/>
        <v>1.6113936927772077E-2</v>
      </c>
    </row>
    <row r="567" spans="1:25" x14ac:dyDescent="0.35">
      <c r="A567" s="6">
        <v>44949</v>
      </c>
      <c r="B567" s="8">
        <v>4019.81</v>
      </c>
      <c r="C567" s="2">
        <v>141.11000000000001</v>
      </c>
      <c r="D567" s="2">
        <v>141.86000000000001</v>
      </c>
      <c r="E567" s="2">
        <v>242.58</v>
      </c>
      <c r="F567" s="2">
        <v>485.81</v>
      </c>
      <c r="G567" s="2">
        <v>168.31</v>
      </c>
      <c r="H567" s="2">
        <v>224.18</v>
      </c>
      <c r="I567" s="2">
        <v>154</v>
      </c>
      <c r="J567" s="2">
        <v>209.97</v>
      </c>
      <c r="K567" s="2">
        <v>47.55</v>
      </c>
      <c r="L567" s="2">
        <v>252.7</v>
      </c>
      <c r="M567" s="64" t="s">
        <v>77</v>
      </c>
      <c r="N567" s="1"/>
      <c r="O567" s="12">
        <f t="shared" si="88"/>
        <v>1.1881357596139619E-2</v>
      </c>
      <c r="P567" s="12">
        <f t="shared" si="89"/>
        <v>2.3500398926525001E-2</v>
      </c>
      <c r="Q567" s="12">
        <f t="shared" si="90"/>
        <v>4.674220963172937E-3</v>
      </c>
      <c r="R567" s="12">
        <f t="shared" si="91"/>
        <v>9.8243276996088369E-3</v>
      </c>
      <c r="S567" s="12">
        <f t="shared" si="92"/>
        <v>-1.869658119658224E-3</v>
      </c>
      <c r="T567" s="12">
        <f t="shared" si="93"/>
        <v>-2.5482991584686587E-3</v>
      </c>
      <c r="U567" s="12">
        <f t="shared" si="94"/>
        <v>-5.7955508002316414E-4</v>
      </c>
      <c r="V567" s="12">
        <f t="shared" si="95"/>
        <v>1.5831134564643801E-2</v>
      </c>
      <c r="W567" s="12">
        <f t="shared" si="96"/>
        <v>1.5525246662797532E-2</v>
      </c>
      <c r="X567" s="12">
        <f t="shared" si="97"/>
        <v>1.4941302027748016E-2</v>
      </c>
      <c r="Y567" s="12">
        <f t="shared" si="98"/>
        <v>1.1973889712065811E-2</v>
      </c>
    </row>
    <row r="568" spans="1:25" x14ac:dyDescent="0.35">
      <c r="A568" s="6">
        <v>44950</v>
      </c>
      <c r="B568" s="8">
        <v>4016.95</v>
      </c>
      <c r="C568" s="2">
        <v>142.53</v>
      </c>
      <c r="D568" s="2">
        <v>141.49</v>
      </c>
      <c r="E568" s="2">
        <v>242.04</v>
      </c>
      <c r="F568" s="2">
        <v>491.6</v>
      </c>
      <c r="G568" s="2">
        <v>168.31</v>
      </c>
      <c r="H568" s="2">
        <v>223.89</v>
      </c>
      <c r="I568" s="2">
        <v>155.33000000000001</v>
      </c>
      <c r="J568" s="2">
        <v>211.98</v>
      </c>
      <c r="K568" s="2">
        <v>47.67</v>
      </c>
      <c r="L568" s="2">
        <v>257.61</v>
      </c>
      <c r="M568" s="64" t="s">
        <v>77</v>
      </c>
      <c r="N568" s="1"/>
      <c r="O568" s="12">
        <f t="shared" si="88"/>
        <v>-7.1147641306434917E-4</v>
      </c>
      <c r="P568" s="12">
        <f t="shared" si="89"/>
        <v>1.0063071362766518E-2</v>
      </c>
      <c r="Q568" s="12">
        <f t="shared" si="90"/>
        <v>-2.6082052728042537E-3</v>
      </c>
      <c r="R568" s="12">
        <f t="shared" si="91"/>
        <v>-2.2260697501855775E-3</v>
      </c>
      <c r="S568" s="12">
        <f t="shared" si="92"/>
        <v>1.1918239641012018E-2</v>
      </c>
      <c r="T568" s="12">
        <f t="shared" si="93"/>
        <v>0</v>
      </c>
      <c r="U568" s="12">
        <f t="shared" si="94"/>
        <v>-1.2936033544473924E-3</v>
      </c>
      <c r="V568" s="12">
        <f t="shared" si="95"/>
        <v>8.6363636363637752E-3</v>
      </c>
      <c r="W568" s="12">
        <f t="shared" si="96"/>
        <v>9.5727961137304085E-3</v>
      </c>
      <c r="X568" s="12">
        <f t="shared" si="97"/>
        <v>2.5236593059938528E-3</v>
      </c>
      <c r="Y568" s="12">
        <f t="shared" si="98"/>
        <v>1.943015433320161E-2</v>
      </c>
    </row>
    <row r="569" spans="1:25" x14ac:dyDescent="0.35">
      <c r="A569" s="6">
        <v>44951</v>
      </c>
      <c r="B569" s="8">
        <v>4016.22</v>
      </c>
      <c r="C569" s="2">
        <v>141.86000000000001</v>
      </c>
      <c r="D569" s="2">
        <v>140.76</v>
      </c>
      <c r="E569" s="2">
        <v>240.61</v>
      </c>
      <c r="F569" s="2">
        <v>492.5</v>
      </c>
      <c r="G569" s="2">
        <v>169.51</v>
      </c>
      <c r="H569" s="2">
        <v>224.9</v>
      </c>
      <c r="I569" s="2">
        <v>156.77000000000001</v>
      </c>
      <c r="J569" s="2">
        <v>212.68</v>
      </c>
      <c r="K569" s="2">
        <v>47.45</v>
      </c>
      <c r="L569" s="2">
        <v>258.44</v>
      </c>
      <c r="M569" s="64">
        <v>6.9</v>
      </c>
      <c r="N569" s="1"/>
      <c r="O569" s="12">
        <f t="shared" si="88"/>
        <v>-1.8172991946630024E-4</v>
      </c>
      <c r="P569" s="12">
        <f t="shared" si="89"/>
        <v>-4.7007647512803397E-3</v>
      </c>
      <c r="Q569" s="12">
        <f t="shared" si="90"/>
        <v>-5.1593752208638488E-3</v>
      </c>
      <c r="R569" s="12">
        <f t="shared" si="91"/>
        <v>-5.9081143612624842E-3</v>
      </c>
      <c r="S569" s="12">
        <f t="shared" si="92"/>
        <v>1.8307567127746616E-3</v>
      </c>
      <c r="T569" s="12">
        <f t="shared" si="93"/>
        <v>7.1297011466935345E-3</v>
      </c>
      <c r="U569" s="12">
        <f t="shared" si="94"/>
        <v>4.5111438652911673E-3</v>
      </c>
      <c r="V569" s="12">
        <f t="shared" si="95"/>
        <v>9.2705852056911286E-3</v>
      </c>
      <c r="W569" s="12">
        <f t="shared" si="96"/>
        <v>3.3021983205963057E-3</v>
      </c>
      <c r="X569" s="12">
        <f t="shared" si="97"/>
        <v>-4.6150618837843549E-3</v>
      </c>
      <c r="Y569" s="12">
        <f t="shared" si="98"/>
        <v>3.2219246147275893E-3</v>
      </c>
    </row>
    <row r="570" spans="1:25" x14ac:dyDescent="0.35">
      <c r="A570" s="6">
        <v>44952</v>
      </c>
      <c r="B570" s="8">
        <v>4060.43</v>
      </c>
      <c r="C570" s="2">
        <v>143.96</v>
      </c>
      <c r="D570" s="2">
        <v>134.44999999999999</v>
      </c>
      <c r="E570" s="2">
        <v>248</v>
      </c>
      <c r="F570" s="2">
        <v>492.48</v>
      </c>
      <c r="G570" s="2">
        <v>168.89</v>
      </c>
      <c r="H570" s="2">
        <v>224.71</v>
      </c>
      <c r="I570" s="2">
        <v>155.88</v>
      </c>
      <c r="J570" s="2">
        <v>212.73</v>
      </c>
      <c r="K570" s="2">
        <v>47.4</v>
      </c>
      <c r="L570" s="2">
        <v>262.12</v>
      </c>
      <c r="M570" s="64" t="s">
        <v>77</v>
      </c>
      <c r="N570" s="1"/>
      <c r="O570" s="12">
        <f t="shared" si="88"/>
        <v>1.1007863115068517E-2</v>
      </c>
      <c r="P570" s="12">
        <f t="shared" si="89"/>
        <v>1.4803327224023555E-2</v>
      </c>
      <c r="Q570" s="12">
        <f t="shared" si="90"/>
        <v>-4.4828076157999441E-2</v>
      </c>
      <c r="R570" s="12">
        <f t="shared" si="91"/>
        <v>3.0713602925896533E-2</v>
      </c>
      <c r="S570" s="12">
        <f t="shared" si="92"/>
        <v>-4.0609137055835909E-5</v>
      </c>
      <c r="T570" s="12">
        <f t="shared" si="93"/>
        <v>-3.6576013214559833E-3</v>
      </c>
      <c r="U570" s="12">
        <f t="shared" si="94"/>
        <v>-8.4481991996443462E-4</v>
      </c>
      <c r="V570" s="12">
        <f t="shared" si="95"/>
        <v>-5.6771065892710082E-3</v>
      </c>
      <c r="W570" s="12">
        <f t="shared" si="96"/>
        <v>2.3509497837115312E-4</v>
      </c>
      <c r="X570" s="12">
        <f t="shared" si="97"/>
        <v>-1.0537407797682752E-3</v>
      </c>
      <c r="Y570" s="12">
        <f t="shared" si="98"/>
        <v>1.4239281844915741E-2</v>
      </c>
    </row>
    <row r="571" spans="1:25" x14ac:dyDescent="0.35">
      <c r="A571" s="6">
        <v>44953</v>
      </c>
      <c r="B571" s="8">
        <v>4070.56</v>
      </c>
      <c r="C571" s="2">
        <v>145.93</v>
      </c>
      <c r="D571" s="2">
        <v>134.38999999999999</v>
      </c>
      <c r="E571" s="2">
        <v>248.16</v>
      </c>
      <c r="F571" s="2">
        <v>486.05</v>
      </c>
      <c r="G571" s="2">
        <v>168.23</v>
      </c>
      <c r="H571" s="2">
        <v>231.44</v>
      </c>
      <c r="I571" s="2">
        <v>172.31</v>
      </c>
      <c r="J571" s="2">
        <v>211.17</v>
      </c>
      <c r="K571" s="2">
        <v>47.77</v>
      </c>
      <c r="L571" s="2">
        <v>264.54000000000002</v>
      </c>
      <c r="M571" s="64" t="s">
        <v>77</v>
      </c>
      <c r="N571" s="1"/>
      <c r="O571" s="12">
        <f t="shared" si="88"/>
        <v>2.4948096630159622E-3</v>
      </c>
      <c r="P571" s="12">
        <f t="shared" si="89"/>
        <v>1.3684356765768291E-2</v>
      </c>
      <c r="Q571" s="12">
        <f t="shared" si="90"/>
        <v>-4.4626255113422442E-4</v>
      </c>
      <c r="R571" s="12">
        <f t="shared" si="91"/>
        <v>6.4516129032266001E-4</v>
      </c>
      <c r="S571" s="12">
        <f t="shared" si="92"/>
        <v>-1.3056367771280053E-2</v>
      </c>
      <c r="T571" s="12">
        <f t="shared" si="93"/>
        <v>-3.9078690271774352E-3</v>
      </c>
      <c r="U571" s="12">
        <f t="shared" si="94"/>
        <v>2.9949712963375008E-2</v>
      </c>
      <c r="V571" s="12">
        <f t="shared" si="95"/>
        <v>0.10540159096741086</v>
      </c>
      <c r="W571" s="12">
        <f t="shared" si="96"/>
        <v>-7.3332393174446731E-3</v>
      </c>
      <c r="X571" s="12">
        <f t="shared" si="97"/>
        <v>7.8059071729958962E-3</v>
      </c>
      <c r="Y571" s="12">
        <f t="shared" si="98"/>
        <v>9.2324126354341729E-3</v>
      </c>
    </row>
    <row r="572" spans="1:25" x14ac:dyDescent="0.35">
      <c r="A572" s="6">
        <v>44956</v>
      </c>
      <c r="B572" s="8">
        <v>4017.77</v>
      </c>
      <c r="C572" s="2">
        <v>143</v>
      </c>
      <c r="D572" s="2">
        <v>135.30000000000001</v>
      </c>
      <c r="E572" s="2">
        <v>242.71</v>
      </c>
      <c r="F572" s="2">
        <v>485.79</v>
      </c>
      <c r="G572" s="2">
        <v>162</v>
      </c>
      <c r="H572" s="2">
        <v>229.1</v>
      </c>
      <c r="I572" s="2">
        <v>172.66</v>
      </c>
      <c r="J572" s="2">
        <v>209.67</v>
      </c>
      <c r="K572" s="2">
        <v>47.38</v>
      </c>
      <c r="L572" s="2">
        <v>261.5</v>
      </c>
      <c r="M572" s="64" t="s">
        <v>77</v>
      </c>
      <c r="N572" s="1"/>
      <c r="O572" s="12">
        <f t="shared" si="88"/>
        <v>-1.2968731575016657E-2</v>
      </c>
      <c r="P572" s="12">
        <f t="shared" si="89"/>
        <v>-2.0078119646405823E-2</v>
      </c>
      <c r="Q572" s="12">
        <f t="shared" si="90"/>
        <v>6.771337153062218E-3</v>
      </c>
      <c r="R572" s="12">
        <f t="shared" si="91"/>
        <v>-2.1961637653126975E-2</v>
      </c>
      <c r="S572" s="12">
        <f t="shared" si="92"/>
        <v>-5.3492439049473983E-4</v>
      </c>
      <c r="T572" s="12">
        <f t="shared" si="93"/>
        <v>-3.7032633894073519E-2</v>
      </c>
      <c r="U572" s="12">
        <f t="shared" si="94"/>
        <v>-1.0110611821638416E-2</v>
      </c>
      <c r="V572" s="12">
        <f t="shared" si="95"/>
        <v>2.0312227961232221E-3</v>
      </c>
      <c r="W572" s="12">
        <f t="shared" si="96"/>
        <v>-7.1032817161528206E-3</v>
      </c>
      <c r="X572" s="12">
        <f t="shared" si="97"/>
        <v>-8.1641197404228594E-3</v>
      </c>
      <c r="Y572" s="12">
        <f t="shared" si="98"/>
        <v>-1.1491645875860046E-2</v>
      </c>
    </row>
    <row r="573" spans="1:25" x14ac:dyDescent="0.35">
      <c r="A573" s="6">
        <v>44957</v>
      </c>
      <c r="B573" s="8">
        <v>4076.6</v>
      </c>
      <c r="C573" s="2">
        <v>144.29</v>
      </c>
      <c r="D573" s="2">
        <v>134.72999999999999</v>
      </c>
      <c r="E573" s="2">
        <v>247.81</v>
      </c>
      <c r="F573" s="2">
        <v>499.19</v>
      </c>
      <c r="G573" s="2">
        <v>163.41999999999999</v>
      </c>
      <c r="H573" s="2">
        <v>230.21</v>
      </c>
      <c r="I573" s="2">
        <v>174.93</v>
      </c>
      <c r="J573" s="2">
        <v>213</v>
      </c>
      <c r="K573" s="2">
        <v>47.96</v>
      </c>
      <c r="L573" s="2">
        <v>252.29</v>
      </c>
      <c r="M573" s="64" t="s">
        <v>77</v>
      </c>
      <c r="N573" s="1"/>
      <c r="O573" s="12">
        <f t="shared" si="88"/>
        <v>1.4642450911824145E-2</v>
      </c>
      <c r="P573" s="12">
        <f t="shared" si="89"/>
        <v>9.0209790209789809E-3</v>
      </c>
      <c r="Q573" s="12">
        <f t="shared" si="90"/>
        <v>-4.2128603104214513E-3</v>
      </c>
      <c r="R573" s="12">
        <f t="shared" si="91"/>
        <v>2.1012731243047256E-2</v>
      </c>
      <c r="S573" s="12">
        <f t="shared" si="92"/>
        <v>2.7583935445357088E-2</v>
      </c>
      <c r="T573" s="12">
        <f t="shared" si="93"/>
        <v>8.7654320987653467E-3</v>
      </c>
      <c r="U573" s="12">
        <f t="shared" si="94"/>
        <v>4.8450458315145717E-3</v>
      </c>
      <c r="V573" s="12">
        <f t="shared" si="95"/>
        <v>1.3147225761612535E-2</v>
      </c>
      <c r="W573" s="12">
        <f t="shared" si="96"/>
        <v>1.5882100443554314E-2</v>
      </c>
      <c r="X573" s="12">
        <f t="shared" si="97"/>
        <v>1.2241452089489124E-2</v>
      </c>
      <c r="Y573" s="12">
        <f t="shared" si="98"/>
        <v>-3.5219885277246732E-2</v>
      </c>
    </row>
    <row r="574" spans="1:25" x14ac:dyDescent="0.35">
      <c r="A574" s="6">
        <v>44958</v>
      </c>
      <c r="B574" s="8">
        <v>4119.21</v>
      </c>
      <c r="C574" s="2">
        <v>145.43</v>
      </c>
      <c r="D574" s="2">
        <v>135.09</v>
      </c>
      <c r="E574" s="2">
        <v>252.75</v>
      </c>
      <c r="F574" s="2">
        <v>497</v>
      </c>
      <c r="G574" s="2">
        <v>164.92</v>
      </c>
      <c r="H574" s="2">
        <v>230.9</v>
      </c>
      <c r="I574" s="2">
        <v>173.61</v>
      </c>
      <c r="J574" s="2">
        <v>214.75</v>
      </c>
      <c r="K574" s="2">
        <v>48.22</v>
      </c>
      <c r="L574" s="2">
        <v>249.54</v>
      </c>
      <c r="M574" s="64">
        <v>7.01</v>
      </c>
      <c r="N574" s="1"/>
      <c r="O574" s="12">
        <f t="shared" si="88"/>
        <v>1.0452337732424155E-2</v>
      </c>
      <c r="P574" s="12">
        <f t="shared" si="89"/>
        <v>7.9007554231063093E-3</v>
      </c>
      <c r="Q574" s="12">
        <f t="shared" si="90"/>
        <v>2.6720106880429029E-3</v>
      </c>
      <c r="R574" s="12">
        <f t="shared" si="91"/>
        <v>1.9934627335458588E-2</v>
      </c>
      <c r="S574" s="12">
        <f t="shared" si="92"/>
        <v>-4.3871071135238582E-3</v>
      </c>
      <c r="T574" s="12">
        <f t="shared" si="93"/>
        <v>9.1788030840778134E-3</v>
      </c>
      <c r="U574" s="12">
        <f t="shared" si="94"/>
        <v>2.9972633682289196E-3</v>
      </c>
      <c r="V574" s="12">
        <f t="shared" si="95"/>
        <v>-7.5458754930542993E-3</v>
      </c>
      <c r="W574" s="12">
        <f t="shared" si="96"/>
        <v>8.215962441314506E-3</v>
      </c>
      <c r="X574" s="12">
        <f t="shared" si="97"/>
        <v>5.4211843202669474E-3</v>
      </c>
      <c r="Y574" s="12">
        <f t="shared" si="98"/>
        <v>-1.0900154584010502E-2</v>
      </c>
    </row>
    <row r="575" spans="1:25" x14ac:dyDescent="0.35">
      <c r="A575" s="6">
        <v>44959</v>
      </c>
      <c r="B575" s="8">
        <v>4179.76</v>
      </c>
      <c r="C575" s="2">
        <v>150.82</v>
      </c>
      <c r="D575" s="2">
        <v>136.38999999999999</v>
      </c>
      <c r="E575" s="2">
        <v>264.60000000000002</v>
      </c>
      <c r="F575" s="2">
        <v>470.83</v>
      </c>
      <c r="G575" s="2">
        <v>165.54</v>
      </c>
      <c r="H575" s="2">
        <v>229.56</v>
      </c>
      <c r="I575" s="2">
        <v>173.13</v>
      </c>
      <c r="J575" s="2">
        <v>209.34</v>
      </c>
      <c r="K575" s="2">
        <v>47.87</v>
      </c>
      <c r="L575" s="2">
        <v>244.9</v>
      </c>
      <c r="M575" s="64" t="s">
        <v>77</v>
      </c>
      <c r="N575" s="1"/>
      <c r="O575" s="12">
        <f t="shared" si="88"/>
        <v>1.4699420519954209E-2</v>
      </c>
      <c r="P575" s="12">
        <f t="shared" si="89"/>
        <v>3.7062504297600052E-2</v>
      </c>
      <c r="Q575" s="12">
        <f t="shared" si="90"/>
        <v>9.623214153527071E-3</v>
      </c>
      <c r="R575" s="12">
        <f t="shared" si="91"/>
        <v>4.6884272997032683E-2</v>
      </c>
      <c r="S575" s="12">
        <f t="shared" si="92"/>
        <v>-5.2655935613682092E-2</v>
      </c>
      <c r="T575" s="12">
        <f t="shared" si="93"/>
        <v>3.7593984962407401E-3</v>
      </c>
      <c r="U575" s="12">
        <f t="shared" si="94"/>
        <v>-5.8033780857513761E-3</v>
      </c>
      <c r="V575" s="12">
        <f t="shared" si="95"/>
        <v>-2.764817694833388E-3</v>
      </c>
      <c r="W575" s="12">
        <f t="shared" si="96"/>
        <v>-2.519208381839344E-2</v>
      </c>
      <c r="X575" s="12">
        <f t="shared" si="97"/>
        <v>-7.258399004562488E-3</v>
      </c>
      <c r="Y575" s="12">
        <f t="shared" si="98"/>
        <v>-1.8594213352568723E-2</v>
      </c>
    </row>
    <row r="576" spans="1:25" x14ac:dyDescent="0.35">
      <c r="A576" s="6">
        <v>44960</v>
      </c>
      <c r="B576" s="8">
        <v>4136.4799999999996</v>
      </c>
      <c r="C576" s="2">
        <v>154.5</v>
      </c>
      <c r="D576" s="2">
        <v>136.94</v>
      </c>
      <c r="E576" s="2">
        <v>258.35000000000002</v>
      </c>
      <c r="F576" s="2">
        <v>472.02</v>
      </c>
      <c r="G576" s="2">
        <v>164.61</v>
      </c>
      <c r="H576" s="2">
        <v>230.13</v>
      </c>
      <c r="I576" s="2">
        <v>178.86</v>
      </c>
      <c r="J576" s="2">
        <v>206.01</v>
      </c>
      <c r="K576" s="2">
        <v>47.24</v>
      </c>
      <c r="L576" s="2">
        <v>247.76</v>
      </c>
      <c r="M576" s="64" t="s">
        <v>77</v>
      </c>
      <c r="N576" s="1"/>
      <c r="O576" s="12">
        <f t="shared" si="88"/>
        <v>-1.0354661511665864E-2</v>
      </c>
      <c r="P576" s="12">
        <f t="shared" si="89"/>
        <v>2.4399946956637164E-2</v>
      </c>
      <c r="Q576" s="12">
        <f t="shared" si="90"/>
        <v>4.0325537062835259E-3</v>
      </c>
      <c r="R576" s="12">
        <f t="shared" si="91"/>
        <v>-2.3620559334845082E-2</v>
      </c>
      <c r="S576" s="12">
        <f t="shared" si="92"/>
        <v>2.5274515217805771E-3</v>
      </c>
      <c r="T576" s="12">
        <f t="shared" si="93"/>
        <v>-5.6179775280897903E-3</v>
      </c>
      <c r="U576" s="12">
        <f t="shared" si="94"/>
        <v>2.4830109775222375E-3</v>
      </c>
      <c r="V576" s="12">
        <f t="shared" si="95"/>
        <v>3.309651706809924E-2</v>
      </c>
      <c r="W576" s="12">
        <f t="shared" si="96"/>
        <v>-1.5907136715391235E-2</v>
      </c>
      <c r="X576" s="12">
        <f t="shared" si="97"/>
        <v>-1.3160643409233286E-2</v>
      </c>
      <c r="Y576" s="12">
        <f t="shared" si="98"/>
        <v>1.1678236014699861E-2</v>
      </c>
    </row>
    <row r="577" spans="1:25" x14ac:dyDescent="0.35">
      <c r="A577" s="6">
        <v>44963</v>
      </c>
      <c r="B577" s="8">
        <v>4111.08</v>
      </c>
      <c r="C577" s="2">
        <v>151.72999999999999</v>
      </c>
      <c r="D577" s="2">
        <v>136.18</v>
      </c>
      <c r="E577" s="2">
        <v>256.77</v>
      </c>
      <c r="F577" s="2">
        <v>475.24</v>
      </c>
      <c r="G577" s="2">
        <v>163.36000000000001</v>
      </c>
      <c r="H577" s="2">
        <v>229.44</v>
      </c>
      <c r="I577" s="2">
        <v>176.48</v>
      </c>
      <c r="J577" s="2">
        <v>206.81</v>
      </c>
      <c r="K577" s="2">
        <v>46.89</v>
      </c>
      <c r="L577" s="2">
        <v>251.42</v>
      </c>
      <c r="M577" s="64" t="s">
        <v>77</v>
      </c>
      <c r="N577" s="1"/>
      <c r="O577" s="12">
        <f t="shared" si="88"/>
        <v>-6.1404865973000433E-3</v>
      </c>
      <c r="P577" s="12">
        <f t="shared" si="89"/>
        <v>-1.7928802588996873E-2</v>
      </c>
      <c r="Q577" s="12">
        <f t="shared" si="90"/>
        <v>-5.5498758580398988E-3</v>
      </c>
      <c r="R577" s="12">
        <f t="shared" si="91"/>
        <v>-6.1157344687441384E-3</v>
      </c>
      <c r="S577" s="12">
        <f t="shared" si="92"/>
        <v>6.8217448413203652E-3</v>
      </c>
      <c r="T577" s="12">
        <f t="shared" si="93"/>
        <v>-7.5937063361886104E-3</v>
      </c>
      <c r="U577" s="12">
        <f t="shared" si="94"/>
        <v>-2.9983053056967801E-3</v>
      </c>
      <c r="V577" s="12">
        <f t="shared" si="95"/>
        <v>-1.3306496701330772E-2</v>
      </c>
      <c r="W577" s="12">
        <f t="shared" si="96"/>
        <v>3.8833066356003254E-3</v>
      </c>
      <c r="X577" s="12">
        <f t="shared" si="97"/>
        <v>-7.4089754445385569E-3</v>
      </c>
      <c r="Y577" s="12">
        <f t="shared" si="98"/>
        <v>1.4772360348724645E-2</v>
      </c>
    </row>
    <row r="578" spans="1:25" x14ac:dyDescent="0.35">
      <c r="A578" s="6">
        <v>44964</v>
      </c>
      <c r="B578" s="8">
        <v>4164</v>
      </c>
      <c r="C578" s="2">
        <v>154.65</v>
      </c>
      <c r="D578" s="2">
        <v>135.84</v>
      </c>
      <c r="E578" s="2">
        <v>267.56</v>
      </c>
      <c r="F578" s="2">
        <v>476.88</v>
      </c>
      <c r="G578" s="2">
        <v>163.4</v>
      </c>
      <c r="H578" s="2">
        <v>231.32</v>
      </c>
      <c r="I578" s="2">
        <v>178.7</v>
      </c>
      <c r="J578" s="2">
        <v>214.76</v>
      </c>
      <c r="K578" s="2">
        <v>46.99</v>
      </c>
      <c r="L578" s="2">
        <v>249.66</v>
      </c>
      <c r="M578" s="64" t="s">
        <v>77</v>
      </c>
      <c r="N578" s="1"/>
      <c r="O578" s="12">
        <f t="shared" si="88"/>
        <v>1.2872529846171821E-2</v>
      </c>
      <c r="P578" s="12">
        <f t="shared" si="89"/>
        <v>1.9244710999802406E-2</v>
      </c>
      <c r="Q578" s="12">
        <f t="shared" si="90"/>
        <v>-2.4966955500074217E-3</v>
      </c>
      <c r="R578" s="12">
        <f t="shared" si="91"/>
        <v>4.2022043073567827E-2</v>
      </c>
      <c r="S578" s="12">
        <f t="shared" si="92"/>
        <v>3.450887972392902E-3</v>
      </c>
      <c r="T578" s="12">
        <f t="shared" si="93"/>
        <v>2.4485798237017242E-4</v>
      </c>
      <c r="U578" s="12">
        <f t="shared" si="94"/>
        <v>8.1938633193863186E-3</v>
      </c>
      <c r="V578" s="12">
        <f t="shared" si="95"/>
        <v>1.2579329102447856E-2</v>
      </c>
      <c r="W578" s="12">
        <f t="shared" si="96"/>
        <v>3.8441081185629278E-2</v>
      </c>
      <c r="X578" s="12">
        <f t="shared" si="97"/>
        <v>2.1326508850501025E-3</v>
      </c>
      <c r="Y578" s="12">
        <f t="shared" si="98"/>
        <v>-7.0002386444991682E-3</v>
      </c>
    </row>
    <row r="579" spans="1:25" x14ac:dyDescent="0.35">
      <c r="A579" s="6">
        <v>44965</v>
      </c>
      <c r="B579" s="8">
        <v>4117.8599999999997</v>
      </c>
      <c r="C579" s="2">
        <v>151.91999999999999</v>
      </c>
      <c r="D579" s="2">
        <v>135.97999999999999</v>
      </c>
      <c r="E579" s="2">
        <v>266.73</v>
      </c>
      <c r="F579" s="2">
        <v>483.22</v>
      </c>
      <c r="G579" s="2">
        <v>163.61000000000001</v>
      </c>
      <c r="H579" s="2">
        <v>230.2</v>
      </c>
      <c r="I579" s="2">
        <v>179</v>
      </c>
      <c r="J579" s="2">
        <v>213.5</v>
      </c>
      <c r="K579" s="2">
        <v>46.74</v>
      </c>
      <c r="L579" s="2">
        <v>248.87</v>
      </c>
      <c r="M579" s="64">
        <v>7.32</v>
      </c>
      <c r="N579" s="1"/>
      <c r="O579" s="12">
        <f t="shared" si="88"/>
        <v>-1.1080691642651352E-2</v>
      </c>
      <c r="P579" s="12">
        <f t="shared" si="89"/>
        <v>-1.7652764306498647E-2</v>
      </c>
      <c r="Q579" s="12">
        <f t="shared" si="90"/>
        <v>1.0306242638398189E-3</v>
      </c>
      <c r="R579" s="12">
        <f t="shared" si="91"/>
        <v>-3.1021079384062622E-3</v>
      </c>
      <c r="S579" s="12">
        <f t="shared" si="92"/>
        <v>1.3294749203153877E-2</v>
      </c>
      <c r="T579" s="12">
        <f t="shared" si="93"/>
        <v>1.2851897184822381E-3</v>
      </c>
      <c r="U579" s="12">
        <f t="shared" si="94"/>
        <v>-4.8417776240705646E-3</v>
      </c>
      <c r="V579" s="12">
        <f t="shared" si="95"/>
        <v>1.6787912702853625E-3</v>
      </c>
      <c r="W579" s="12">
        <f t="shared" si="96"/>
        <v>-5.8670143415905374E-3</v>
      </c>
      <c r="X579" s="12">
        <f t="shared" si="97"/>
        <v>-5.3202809108321425E-3</v>
      </c>
      <c r="Y579" s="12">
        <f t="shared" si="98"/>
        <v>-3.1643034526955827E-3</v>
      </c>
    </row>
    <row r="580" spans="1:25" x14ac:dyDescent="0.35">
      <c r="A580" s="6">
        <v>44966</v>
      </c>
      <c r="B580" s="8">
        <v>4081.5</v>
      </c>
      <c r="C580" s="2">
        <v>150.87</v>
      </c>
      <c r="D580" s="2">
        <v>133.75</v>
      </c>
      <c r="E580" s="2">
        <v>263.62</v>
      </c>
      <c r="F580" s="2">
        <v>485.73</v>
      </c>
      <c r="G580" s="2">
        <v>161.4</v>
      </c>
      <c r="H580" s="2">
        <v>229.35</v>
      </c>
      <c r="I580" s="2">
        <v>179.37</v>
      </c>
      <c r="J580" s="2">
        <v>211.99</v>
      </c>
      <c r="K580" s="2">
        <v>47.17</v>
      </c>
      <c r="L580" s="2">
        <v>246.28</v>
      </c>
      <c r="M580" s="64" t="s">
        <v>77</v>
      </c>
      <c r="N580" s="1"/>
      <c r="O580" s="12">
        <f t="shared" si="88"/>
        <v>-8.8298290859815109E-3</v>
      </c>
      <c r="P580" s="12">
        <f t="shared" si="89"/>
        <v>-6.911532385465935E-3</v>
      </c>
      <c r="Q580" s="12">
        <f t="shared" si="90"/>
        <v>-1.6399470510369052E-2</v>
      </c>
      <c r="R580" s="12">
        <f t="shared" si="91"/>
        <v>-1.165973081393179E-2</v>
      </c>
      <c r="S580" s="12">
        <f t="shared" si="92"/>
        <v>5.1943214270933069E-3</v>
      </c>
      <c r="T580" s="12">
        <f t="shared" si="93"/>
        <v>-1.3507731801234657E-2</v>
      </c>
      <c r="U580" s="12">
        <f t="shared" si="94"/>
        <v>-3.6924413553431901E-3</v>
      </c>
      <c r="V580" s="12">
        <f t="shared" si="95"/>
        <v>2.067039106145252E-3</v>
      </c>
      <c r="W580" s="12">
        <f t="shared" si="96"/>
        <v>-7.0725995316158752E-3</v>
      </c>
      <c r="X580" s="12">
        <f t="shared" si="97"/>
        <v>9.199828840393609E-3</v>
      </c>
      <c r="Y580" s="12">
        <f t="shared" si="98"/>
        <v>-1.0407039819986363E-2</v>
      </c>
    </row>
    <row r="581" spans="1:25" x14ac:dyDescent="0.35">
      <c r="A581" s="6">
        <v>44967</v>
      </c>
      <c r="B581" s="8">
        <v>4090.46</v>
      </c>
      <c r="C581" s="2">
        <v>151.01</v>
      </c>
      <c r="D581" s="2">
        <v>135.6</v>
      </c>
      <c r="E581" s="2">
        <v>263.10000000000002</v>
      </c>
      <c r="F581" s="2">
        <v>494.25</v>
      </c>
      <c r="G581" s="2">
        <v>162.15</v>
      </c>
      <c r="H581" s="2">
        <v>227.2</v>
      </c>
      <c r="I581" s="2">
        <v>179.25</v>
      </c>
      <c r="J581" s="2">
        <v>212.89</v>
      </c>
      <c r="K581" s="2">
        <v>47.91</v>
      </c>
      <c r="L581" s="2">
        <v>247.67</v>
      </c>
      <c r="M581" s="64" t="s">
        <v>77</v>
      </c>
      <c r="N581" s="1"/>
      <c r="O581" s="12">
        <f t="shared" ref="O581:O644" si="99">(B581/B580)-1</f>
        <v>2.1952713463186946E-3</v>
      </c>
      <c r="P581" s="12">
        <f t="shared" ref="P581:P644" si="100">(C581/C580)-1</f>
        <v>9.279512162787551E-4</v>
      </c>
      <c r="Q581" s="12">
        <f t="shared" ref="Q581:Q644" si="101">(D581/D580)-1</f>
        <v>1.3831775700934523E-2</v>
      </c>
      <c r="R581" s="12">
        <f t="shared" ref="R581:R644" si="102">(E581/E580)-1</f>
        <v>-1.9725362263863788E-3</v>
      </c>
      <c r="S581" s="12">
        <f t="shared" ref="S581:S644" si="103">(F581/F580)-1</f>
        <v>1.7540608980297634E-2</v>
      </c>
      <c r="T581" s="12">
        <f t="shared" ref="T581:T644" si="104">(G581/G580)-1</f>
        <v>4.646840148698983E-3</v>
      </c>
      <c r="U581" s="12">
        <f t="shared" ref="U581:U644" si="105">(H581/H580)-1</f>
        <v>-9.3743187268366945E-3</v>
      </c>
      <c r="V581" s="12">
        <f t="shared" ref="V581:V644" si="106">(I581/I580)-1</f>
        <v>-6.6900819535042899E-4</v>
      </c>
      <c r="W581" s="12">
        <f t="shared" ref="W581:W644" si="107">(J581/J580)-1</f>
        <v>4.2454832775129514E-3</v>
      </c>
      <c r="X581" s="12">
        <f t="shared" ref="X581:X644" si="108">(K581/K580)-1</f>
        <v>1.5687937248250794E-2</v>
      </c>
      <c r="Y581" s="12">
        <f t="shared" ref="Y581:Y644" si="109">(L581/L580)-1</f>
        <v>5.6439824589897825E-3</v>
      </c>
    </row>
    <row r="582" spans="1:25" x14ac:dyDescent="0.35">
      <c r="A582" s="6">
        <v>44970</v>
      </c>
      <c r="B582" s="8">
        <v>4137.29</v>
      </c>
      <c r="C582" s="2">
        <v>153.85</v>
      </c>
      <c r="D582" s="2">
        <v>137.35</v>
      </c>
      <c r="E582" s="2">
        <v>271.32</v>
      </c>
      <c r="F582" s="2">
        <v>495.35</v>
      </c>
      <c r="G582" s="2">
        <v>162.75</v>
      </c>
      <c r="H582" s="2">
        <v>228.88</v>
      </c>
      <c r="I582" s="2">
        <v>181.33</v>
      </c>
      <c r="J582" s="2">
        <v>215.65</v>
      </c>
      <c r="K582" s="2">
        <v>48.64</v>
      </c>
      <c r="L582" s="2">
        <v>248.15</v>
      </c>
      <c r="M582" s="64" t="s">
        <v>77</v>
      </c>
      <c r="N582" s="1"/>
      <c r="O582" s="12">
        <f t="shared" si="99"/>
        <v>1.1448590134117032E-2</v>
      </c>
      <c r="P582" s="12">
        <f t="shared" si="100"/>
        <v>1.8806701542944282E-2</v>
      </c>
      <c r="Q582" s="12">
        <f t="shared" si="101"/>
        <v>1.2905604719763986E-2</v>
      </c>
      <c r="R582" s="12">
        <f t="shared" si="102"/>
        <v>3.1242873432155038E-2</v>
      </c>
      <c r="S582" s="12">
        <f t="shared" si="103"/>
        <v>2.2255943348508112E-3</v>
      </c>
      <c r="T582" s="12">
        <f t="shared" si="104"/>
        <v>3.7002775208139216E-3</v>
      </c>
      <c r="U582" s="12">
        <f t="shared" si="105"/>
        <v>7.3943661971831443E-3</v>
      </c>
      <c r="V582" s="12">
        <f t="shared" si="106"/>
        <v>1.1603905160390671E-2</v>
      </c>
      <c r="W582" s="12">
        <f t="shared" si="107"/>
        <v>1.2964441730471288E-2</v>
      </c>
      <c r="X582" s="12">
        <f t="shared" si="108"/>
        <v>1.5236902525568752E-2</v>
      </c>
      <c r="Y582" s="12">
        <f t="shared" si="109"/>
        <v>1.9380627447813659E-3</v>
      </c>
    </row>
    <row r="583" spans="1:25" x14ac:dyDescent="0.35">
      <c r="A583" s="6">
        <v>44971</v>
      </c>
      <c r="B583" s="8">
        <v>4136.13</v>
      </c>
      <c r="C583" s="2">
        <v>153.19999999999999</v>
      </c>
      <c r="D583" s="2">
        <v>136.01</v>
      </c>
      <c r="E583" s="2">
        <v>272.17</v>
      </c>
      <c r="F583" s="2">
        <v>492.83</v>
      </c>
      <c r="G583" s="2">
        <v>162.04</v>
      </c>
      <c r="H583" s="2">
        <v>229.39</v>
      </c>
      <c r="I583" s="2">
        <v>181.02</v>
      </c>
      <c r="J583" s="2">
        <v>218.45</v>
      </c>
      <c r="K583" s="2">
        <v>48.5</v>
      </c>
      <c r="L583" s="2">
        <v>244.36</v>
      </c>
      <c r="M583" s="64" t="s">
        <v>77</v>
      </c>
      <c r="N583" s="1"/>
      <c r="O583" s="12">
        <f t="shared" si="99"/>
        <v>-2.8037676836767389E-4</v>
      </c>
      <c r="P583" s="12">
        <f t="shared" si="100"/>
        <v>-4.22489437764062E-3</v>
      </c>
      <c r="Q583" s="12">
        <f t="shared" si="101"/>
        <v>-9.7560975609756184E-3</v>
      </c>
      <c r="R583" s="12">
        <f t="shared" si="102"/>
        <v>3.1328320802006537E-3</v>
      </c>
      <c r="S583" s="12">
        <f t="shared" si="103"/>
        <v>-5.0873120016150519E-3</v>
      </c>
      <c r="T583" s="12">
        <f t="shared" si="104"/>
        <v>-4.362519201228876E-3</v>
      </c>
      <c r="U583" s="12">
        <f t="shared" si="105"/>
        <v>2.2282418734707043E-3</v>
      </c>
      <c r="V583" s="12">
        <f t="shared" si="106"/>
        <v>-1.7095902498207582E-3</v>
      </c>
      <c r="W583" s="12">
        <f t="shared" si="107"/>
        <v>1.2984001854857263E-2</v>
      </c>
      <c r="X583" s="12">
        <f t="shared" si="108"/>
        <v>-2.8782894736841813E-3</v>
      </c>
      <c r="Y583" s="12">
        <f t="shared" si="109"/>
        <v>-1.5273020350594413E-2</v>
      </c>
    </row>
    <row r="584" spans="1:25" x14ac:dyDescent="0.35">
      <c r="A584" s="6">
        <v>44972</v>
      </c>
      <c r="B584" s="8">
        <v>4147.6000000000004</v>
      </c>
      <c r="C584" s="2">
        <v>155.33000000000001</v>
      </c>
      <c r="D584" s="2">
        <v>136.4</v>
      </c>
      <c r="E584" s="2">
        <v>269.32</v>
      </c>
      <c r="F584" s="2">
        <v>491.25</v>
      </c>
      <c r="G584" s="2">
        <v>159.37</v>
      </c>
      <c r="H584" s="2">
        <v>228.92</v>
      </c>
      <c r="I584" s="2">
        <v>180.67</v>
      </c>
      <c r="J584" s="2">
        <v>217.44</v>
      </c>
      <c r="K584" s="2">
        <v>48.86</v>
      </c>
      <c r="L584" s="2">
        <v>248.7</v>
      </c>
      <c r="M584" s="64">
        <v>7.15</v>
      </c>
      <c r="N584" s="1"/>
      <c r="O584" s="12">
        <f t="shared" si="99"/>
        <v>2.7731236687436045E-3</v>
      </c>
      <c r="P584" s="12">
        <f t="shared" si="100"/>
        <v>1.3903394255874835E-2</v>
      </c>
      <c r="Q584" s="12">
        <f t="shared" si="101"/>
        <v>2.8674362179252899E-3</v>
      </c>
      <c r="R584" s="12">
        <f t="shared" si="102"/>
        <v>-1.0471396553624612E-2</v>
      </c>
      <c r="S584" s="12">
        <f t="shared" si="103"/>
        <v>-3.2059736623175628E-3</v>
      </c>
      <c r="T584" s="12">
        <f t="shared" si="104"/>
        <v>-1.6477412984448159E-2</v>
      </c>
      <c r="U584" s="12">
        <f t="shared" si="105"/>
        <v>-2.0489123327084302E-3</v>
      </c>
      <c r="V584" s="12">
        <f t="shared" si="106"/>
        <v>-1.9334880123744735E-3</v>
      </c>
      <c r="W584" s="12">
        <f t="shared" si="107"/>
        <v>-4.6234836346989994E-3</v>
      </c>
      <c r="X584" s="12">
        <f t="shared" si="108"/>
        <v>7.4226804123711521E-3</v>
      </c>
      <c r="Y584" s="12">
        <f t="shared" si="109"/>
        <v>1.7760680962514153E-2</v>
      </c>
    </row>
    <row r="585" spans="1:25" x14ac:dyDescent="0.35">
      <c r="A585" s="6">
        <v>44973</v>
      </c>
      <c r="B585" s="8">
        <v>4090.41</v>
      </c>
      <c r="C585" s="2">
        <v>153.71</v>
      </c>
      <c r="D585" s="2">
        <v>135</v>
      </c>
      <c r="E585" s="2">
        <v>262.14999999999998</v>
      </c>
      <c r="F585" s="2">
        <v>487.35</v>
      </c>
      <c r="G585" s="2">
        <v>158.24</v>
      </c>
      <c r="H585" s="2">
        <v>225.83</v>
      </c>
      <c r="I585" s="2">
        <v>177.94</v>
      </c>
      <c r="J585" s="2">
        <v>212.21</v>
      </c>
      <c r="K585" s="2">
        <v>48.09</v>
      </c>
      <c r="L585" s="2">
        <v>246.52</v>
      </c>
      <c r="M585" s="64" t="s">
        <v>77</v>
      </c>
      <c r="N585" s="1"/>
      <c r="O585" s="12">
        <f t="shared" si="99"/>
        <v>-1.378869707782826E-2</v>
      </c>
      <c r="P585" s="12">
        <f t="shared" si="100"/>
        <v>-1.0429408356402492E-2</v>
      </c>
      <c r="Q585" s="12">
        <f t="shared" si="101"/>
        <v>-1.0263929618768319E-2</v>
      </c>
      <c r="R585" s="12">
        <f t="shared" si="102"/>
        <v>-2.662260507945946E-2</v>
      </c>
      <c r="S585" s="12">
        <f t="shared" si="103"/>
        <v>-7.9389312977098392E-3</v>
      </c>
      <c r="T585" s="12">
        <f t="shared" si="104"/>
        <v>-7.0904185229340166E-3</v>
      </c>
      <c r="U585" s="12">
        <f t="shared" si="105"/>
        <v>-1.3498165297920584E-2</v>
      </c>
      <c r="V585" s="12">
        <f t="shared" si="106"/>
        <v>-1.5110422316931382E-2</v>
      </c>
      <c r="W585" s="12">
        <f t="shared" si="107"/>
        <v>-2.4052612214863878E-2</v>
      </c>
      <c r="X585" s="12">
        <f t="shared" si="108"/>
        <v>-1.5759312320916874E-2</v>
      </c>
      <c r="Y585" s="12">
        <f t="shared" si="109"/>
        <v>-8.7655810213107532E-3</v>
      </c>
    </row>
    <row r="586" spans="1:25" x14ac:dyDescent="0.35">
      <c r="A586" s="6">
        <v>44974</v>
      </c>
      <c r="B586" s="8">
        <v>4079.09</v>
      </c>
      <c r="C586" s="2">
        <v>152.55000000000001</v>
      </c>
      <c r="D586" s="2">
        <v>135.02000000000001</v>
      </c>
      <c r="E586" s="2">
        <v>258.06</v>
      </c>
      <c r="F586" s="2">
        <v>499.08</v>
      </c>
      <c r="G586" s="2">
        <v>160.38999999999999</v>
      </c>
      <c r="H586" s="2">
        <v>223.56</v>
      </c>
      <c r="I586" s="2">
        <v>177.3</v>
      </c>
      <c r="J586" s="2">
        <v>211.66</v>
      </c>
      <c r="K586" s="2">
        <v>48.81</v>
      </c>
      <c r="L586" s="2">
        <v>247.79</v>
      </c>
      <c r="M586" s="64" t="s">
        <v>77</v>
      </c>
      <c r="N586" s="1"/>
      <c r="O586" s="12">
        <f t="shared" si="99"/>
        <v>-2.7674487398573477E-3</v>
      </c>
      <c r="P586" s="12">
        <f t="shared" si="100"/>
        <v>-7.5466788107474425E-3</v>
      </c>
      <c r="Q586" s="12">
        <f t="shared" si="101"/>
        <v>1.4814814814823052E-4</v>
      </c>
      <c r="R586" s="12">
        <f t="shared" si="102"/>
        <v>-1.5601754720579675E-2</v>
      </c>
      <c r="S586" s="12">
        <f t="shared" si="103"/>
        <v>2.4068944290550842E-2</v>
      </c>
      <c r="T586" s="12">
        <f t="shared" si="104"/>
        <v>1.3586956521739024E-2</v>
      </c>
      <c r="U586" s="12">
        <f t="shared" si="105"/>
        <v>-1.0051808882788005E-2</v>
      </c>
      <c r="V586" s="12">
        <f t="shared" si="106"/>
        <v>-3.5967179948296346E-3</v>
      </c>
      <c r="W586" s="12">
        <f t="shared" si="107"/>
        <v>-2.5917723010225879E-3</v>
      </c>
      <c r="X586" s="12">
        <f t="shared" si="108"/>
        <v>1.4971927635683002E-2</v>
      </c>
      <c r="Y586" s="12">
        <f t="shared" si="109"/>
        <v>5.1517118286548147E-3</v>
      </c>
    </row>
    <row r="587" spans="1:25" x14ac:dyDescent="0.35">
      <c r="A587" s="6">
        <v>44978</v>
      </c>
      <c r="B587" s="8">
        <v>3997.34</v>
      </c>
      <c r="C587" s="2">
        <v>148.47999999999999</v>
      </c>
      <c r="D587" s="2">
        <v>131.71</v>
      </c>
      <c r="E587" s="2">
        <v>252.67</v>
      </c>
      <c r="F587" s="2">
        <v>491.31</v>
      </c>
      <c r="G587" s="2">
        <v>158</v>
      </c>
      <c r="H587" s="2">
        <v>220.62</v>
      </c>
      <c r="I587" s="2">
        <v>173.48</v>
      </c>
      <c r="J587" s="2">
        <v>205.52</v>
      </c>
      <c r="K587" s="2">
        <v>49.11</v>
      </c>
      <c r="L587" s="2">
        <v>240.71</v>
      </c>
      <c r="M587" s="64" t="s">
        <v>77</v>
      </c>
      <c r="N587" s="1"/>
      <c r="O587" s="12">
        <f t="shared" si="99"/>
        <v>-2.0041234687148357E-2</v>
      </c>
      <c r="P587" s="12">
        <f t="shared" si="100"/>
        <v>-2.6679777122255111E-2</v>
      </c>
      <c r="Q587" s="12">
        <f t="shared" si="101"/>
        <v>-2.4514886683454362E-2</v>
      </c>
      <c r="R587" s="12">
        <f t="shared" si="102"/>
        <v>-2.0886615515771534E-2</v>
      </c>
      <c r="S587" s="12">
        <f t="shared" si="103"/>
        <v>-1.5568646309208956E-2</v>
      </c>
      <c r="T587" s="12">
        <f t="shared" si="104"/>
        <v>-1.4901178377704216E-2</v>
      </c>
      <c r="U587" s="12">
        <f t="shared" si="105"/>
        <v>-1.3150831991411649E-2</v>
      </c>
      <c r="V587" s="12">
        <f t="shared" si="106"/>
        <v>-2.154540327129173E-2</v>
      </c>
      <c r="W587" s="12">
        <f t="shared" si="107"/>
        <v>-2.9008787678352022E-2</v>
      </c>
      <c r="X587" s="12">
        <f t="shared" si="108"/>
        <v>6.1462814996926518E-3</v>
      </c>
      <c r="Y587" s="12">
        <f t="shared" si="109"/>
        <v>-2.857258162153431E-2</v>
      </c>
    </row>
    <row r="588" spans="1:25" x14ac:dyDescent="0.35">
      <c r="A588" s="6">
        <v>44979</v>
      </c>
      <c r="B588" s="8">
        <v>3991.05</v>
      </c>
      <c r="C588" s="2">
        <v>148.91</v>
      </c>
      <c r="D588" s="2">
        <v>130.97</v>
      </c>
      <c r="E588" s="2">
        <v>251.51</v>
      </c>
      <c r="F588" s="2">
        <v>488.89</v>
      </c>
      <c r="G588" s="2">
        <v>157.78</v>
      </c>
      <c r="H588" s="2">
        <v>220.02</v>
      </c>
      <c r="I588" s="2">
        <v>174.7</v>
      </c>
      <c r="J588" s="2">
        <v>205.76</v>
      </c>
      <c r="K588" s="2">
        <v>48.08</v>
      </c>
      <c r="L588" s="2">
        <v>237.89</v>
      </c>
      <c r="M588" s="64" t="s">
        <v>77</v>
      </c>
      <c r="N588" s="1"/>
      <c r="O588" s="12">
        <f t="shared" si="99"/>
        <v>-1.5735464083616035E-3</v>
      </c>
      <c r="P588" s="12">
        <f t="shared" si="100"/>
        <v>2.8960129310344751E-3</v>
      </c>
      <c r="Q588" s="12">
        <f t="shared" si="101"/>
        <v>-5.618404069546834E-3</v>
      </c>
      <c r="R588" s="12">
        <f t="shared" si="102"/>
        <v>-4.590968456880451E-3</v>
      </c>
      <c r="S588" s="12">
        <f t="shared" si="103"/>
        <v>-4.9256070505383498E-3</v>
      </c>
      <c r="T588" s="12">
        <f t="shared" si="104"/>
        <v>-1.39240506329108E-3</v>
      </c>
      <c r="U588" s="12">
        <f t="shared" si="105"/>
        <v>-2.719608376393734E-3</v>
      </c>
      <c r="V588" s="12">
        <f t="shared" si="106"/>
        <v>7.0325109522710871E-3</v>
      </c>
      <c r="W588" s="12">
        <f t="shared" si="107"/>
        <v>1.1677695601399751E-3</v>
      </c>
      <c r="X588" s="12">
        <f t="shared" si="108"/>
        <v>-2.0973325188352709E-2</v>
      </c>
      <c r="Y588" s="12">
        <f t="shared" si="109"/>
        <v>-1.1715342112916027E-2</v>
      </c>
    </row>
    <row r="589" spans="1:25" x14ac:dyDescent="0.35">
      <c r="A589" s="6">
        <v>44980</v>
      </c>
      <c r="B589" s="8">
        <v>4012.32</v>
      </c>
      <c r="C589" s="2">
        <v>149.4</v>
      </c>
      <c r="D589" s="2">
        <v>130.79</v>
      </c>
      <c r="E589" s="2">
        <v>254.77</v>
      </c>
      <c r="F589" s="2">
        <v>491.69</v>
      </c>
      <c r="G589" s="2">
        <v>157.72999999999999</v>
      </c>
      <c r="H589" s="2">
        <v>221.13</v>
      </c>
      <c r="I589" s="2">
        <v>175.14</v>
      </c>
      <c r="J589" s="2">
        <v>208.13</v>
      </c>
      <c r="K589" s="2">
        <v>47.36</v>
      </c>
      <c r="L589" s="2">
        <v>237.95</v>
      </c>
      <c r="M589" s="64">
        <v>7.5</v>
      </c>
      <c r="N589" s="1"/>
      <c r="O589" s="12">
        <f t="shared" si="99"/>
        <v>5.3294245875146196E-3</v>
      </c>
      <c r="P589" s="12">
        <f t="shared" si="100"/>
        <v>3.2905782015983931E-3</v>
      </c>
      <c r="Q589" s="12">
        <f t="shared" si="101"/>
        <v>-1.3743605405818204E-3</v>
      </c>
      <c r="R589" s="12">
        <f t="shared" si="102"/>
        <v>1.2961711263965725E-2</v>
      </c>
      <c r="S589" s="12">
        <f t="shared" si="103"/>
        <v>5.7272597107733692E-3</v>
      </c>
      <c r="T589" s="12">
        <f t="shared" si="104"/>
        <v>-3.1689694511349842E-4</v>
      </c>
      <c r="U589" s="12">
        <f t="shared" si="105"/>
        <v>5.0449959094627239E-3</v>
      </c>
      <c r="V589" s="12">
        <f t="shared" si="106"/>
        <v>2.5186033199771085E-3</v>
      </c>
      <c r="W589" s="12">
        <f t="shared" si="107"/>
        <v>1.151827371695191E-2</v>
      </c>
      <c r="X589" s="12">
        <f t="shared" si="108"/>
        <v>-1.4975041597337757E-2</v>
      </c>
      <c r="Y589" s="12">
        <f t="shared" si="109"/>
        <v>2.522174114085729E-4</v>
      </c>
    </row>
    <row r="590" spans="1:25" x14ac:dyDescent="0.35">
      <c r="A590" s="6">
        <v>44981</v>
      </c>
      <c r="B590" s="8">
        <v>3970.04</v>
      </c>
      <c r="C590" s="2">
        <v>146.71</v>
      </c>
      <c r="D590" s="2">
        <v>130.57</v>
      </c>
      <c r="E590" s="2">
        <v>249.22</v>
      </c>
      <c r="F590" s="2">
        <v>484.33</v>
      </c>
      <c r="G590" s="2">
        <v>155.97</v>
      </c>
      <c r="H590" s="2">
        <v>219.55</v>
      </c>
      <c r="I590" s="2">
        <v>174.25</v>
      </c>
      <c r="J590" s="2">
        <v>198.15</v>
      </c>
      <c r="K590" s="2">
        <v>47.49</v>
      </c>
      <c r="L590" s="2">
        <v>236.17</v>
      </c>
      <c r="M590" s="64" t="s">
        <v>77</v>
      </c>
      <c r="N590" s="1"/>
      <c r="O590" s="12">
        <f t="shared" si="99"/>
        <v>-1.0537544363360851E-2</v>
      </c>
      <c r="P590" s="12">
        <f t="shared" si="100"/>
        <v>-1.8005354752342662E-2</v>
      </c>
      <c r="Q590" s="12">
        <f t="shared" si="101"/>
        <v>-1.682085786375076E-3</v>
      </c>
      <c r="R590" s="12">
        <f t="shared" si="102"/>
        <v>-2.1784354515837823E-2</v>
      </c>
      <c r="S590" s="12">
        <f t="shared" si="103"/>
        <v>-1.4968781142589926E-2</v>
      </c>
      <c r="T590" s="12">
        <f t="shared" si="104"/>
        <v>-1.1158308501870273E-2</v>
      </c>
      <c r="U590" s="12">
        <f t="shared" si="105"/>
        <v>-7.1451182562293214E-3</v>
      </c>
      <c r="V590" s="12">
        <f t="shared" si="106"/>
        <v>-5.0816489665409526E-3</v>
      </c>
      <c r="W590" s="12">
        <f t="shared" si="107"/>
        <v>-4.7950799980781222E-2</v>
      </c>
      <c r="X590" s="12">
        <f t="shared" si="108"/>
        <v>2.7449324324324564E-3</v>
      </c>
      <c r="Y590" s="12">
        <f t="shared" si="109"/>
        <v>-7.4805631435175268E-3</v>
      </c>
    </row>
    <row r="591" spans="1:25" x14ac:dyDescent="0.35">
      <c r="A591" s="6">
        <v>44984</v>
      </c>
      <c r="B591" s="8">
        <v>3982.24</v>
      </c>
      <c r="C591" s="2">
        <v>147.91999999999999</v>
      </c>
      <c r="D591" s="2">
        <v>130.49</v>
      </c>
      <c r="E591" s="2">
        <v>250.16</v>
      </c>
      <c r="F591" s="2">
        <v>483.32</v>
      </c>
      <c r="G591" s="2">
        <v>155.63</v>
      </c>
      <c r="H591" s="2">
        <v>220.35</v>
      </c>
      <c r="I591" s="2">
        <v>173.3</v>
      </c>
      <c r="J591" s="2">
        <v>200.46</v>
      </c>
      <c r="K591" s="2">
        <v>47.15</v>
      </c>
      <c r="L591" s="2">
        <v>239.98</v>
      </c>
      <c r="M591" s="64" t="s">
        <v>77</v>
      </c>
      <c r="N591" s="1"/>
      <c r="O591" s="12">
        <f t="shared" si="99"/>
        <v>3.0730168965551474E-3</v>
      </c>
      <c r="P591" s="12">
        <f t="shared" si="100"/>
        <v>8.2475632199576765E-3</v>
      </c>
      <c r="Q591" s="12">
        <f t="shared" si="101"/>
        <v>-6.1269816956410761E-4</v>
      </c>
      <c r="R591" s="12">
        <f t="shared" si="102"/>
        <v>3.7717679158975059E-3</v>
      </c>
      <c r="S591" s="12">
        <f t="shared" si="103"/>
        <v>-2.0853550265315102E-3</v>
      </c>
      <c r="T591" s="12">
        <f t="shared" si="104"/>
        <v>-2.17990639225496E-3</v>
      </c>
      <c r="U591" s="12">
        <f t="shared" si="105"/>
        <v>3.6438168982007024E-3</v>
      </c>
      <c r="V591" s="12">
        <f t="shared" si="106"/>
        <v>-5.451936872309826E-3</v>
      </c>
      <c r="W591" s="12">
        <f t="shared" si="107"/>
        <v>1.1657834973505032E-2</v>
      </c>
      <c r="X591" s="12">
        <f t="shared" si="108"/>
        <v>-7.159401979364155E-3</v>
      </c>
      <c r="Y591" s="12">
        <f t="shared" si="109"/>
        <v>1.6132446966168557E-2</v>
      </c>
    </row>
    <row r="592" spans="1:25" x14ac:dyDescent="0.35">
      <c r="A592" s="6">
        <v>44985</v>
      </c>
      <c r="B592" s="8">
        <v>3970.15</v>
      </c>
      <c r="C592" s="2">
        <v>147.41</v>
      </c>
      <c r="D592" s="2">
        <v>129.30000000000001</v>
      </c>
      <c r="E592" s="2">
        <v>249.42</v>
      </c>
      <c r="F592" s="2">
        <v>475.94</v>
      </c>
      <c r="G592" s="2">
        <v>153.26</v>
      </c>
      <c r="H592" s="2">
        <v>219.94</v>
      </c>
      <c r="I592" s="2">
        <v>173.99</v>
      </c>
      <c r="J592" s="2">
        <v>201.55</v>
      </c>
      <c r="K592" s="2">
        <v>47.38</v>
      </c>
      <c r="L592" s="2">
        <v>239.55</v>
      </c>
      <c r="M592" s="64" t="s">
        <v>77</v>
      </c>
      <c r="N592" s="1"/>
      <c r="O592" s="12">
        <f t="shared" si="99"/>
        <v>-3.0359797500902896E-3</v>
      </c>
      <c r="P592" s="12">
        <f t="shared" si="100"/>
        <v>-3.4478096268252267E-3</v>
      </c>
      <c r="Q592" s="12">
        <f t="shared" si="101"/>
        <v>-9.1194727565330203E-3</v>
      </c>
      <c r="R592" s="12">
        <f t="shared" si="102"/>
        <v>-2.9581068116405485E-3</v>
      </c>
      <c r="S592" s="12">
        <f t="shared" si="103"/>
        <v>-1.5269386741703195E-2</v>
      </c>
      <c r="T592" s="12">
        <f t="shared" si="104"/>
        <v>-1.5228426395939132E-2</v>
      </c>
      <c r="U592" s="12">
        <f t="shared" si="105"/>
        <v>-1.8606761969593988E-3</v>
      </c>
      <c r="V592" s="12">
        <f t="shared" si="106"/>
        <v>3.9815349105596365E-3</v>
      </c>
      <c r="W592" s="12">
        <f t="shared" si="107"/>
        <v>5.4374937643419941E-3</v>
      </c>
      <c r="X592" s="12">
        <f t="shared" si="108"/>
        <v>4.8780487804878092E-3</v>
      </c>
      <c r="Y592" s="12">
        <f t="shared" si="109"/>
        <v>-1.7918159846652681E-3</v>
      </c>
    </row>
    <row r="593" spans="1:25" x14ac:dyDescent="0.35">
      <c r="A593" s="6">
        <v>44986</v>
      </c>
      <c r="B593" s="8">
        <v>3951.39</v>
      </c>
      <c r="C593" s="2">
        <v>145.31</v>
      </c>
      <c r="D593" s="2">
        <v>128.19</v>
      </c>
      <c r="E593" s="2">
        <v>246.27</v>
      </c>
      <c r="F593" s="2">
        <v>475.22</v>
      </c>
      <c r="G593" s="2">
        <v>152.57</v>
      </c>
      <c r="H593" s="2">
        <v>218.36</v>
      </c>
      <c r="I593" s="2">
        <v>175.91</v>
      </c>
      <c r="J593" s="2">
        <v>204.55</v>
      </c>
      <c r="K593" s="2">
        <v>46.72</v>
      </c>
      <c r="L593" s="2">
        <v>248.67</v>
      </c>
      <c r="M593" s="64" t="s">
        <v>77</v>
      </c>
      <c r="N593" s="1"/>
      <c r="O593" s="12">
        <f t="shared" si="99"/>
        <v>-4.7252622696876134E-3</v>
      </c>
      <c r="P593" s="12">
        <f t="shared" si="100"/>
        <v>-1.4245980598331154E-2</v>
      </c>
      <c r="Q593" s="12">
        <f t="shared" si="101"/>
        <v>-8.584686774942063E-3</v>
      </c>
      <c r="R593" s="12">
        <f t="shared" si="102"/>
        <v>-1.2629299975944086E-2</v>
      </c>
      <c r="S593" s="12">
        <f t="shared" si="103"/>
        <v>-1.5127957305541839E-3</v>
      </c>
      <c r="T593" s="12">
        <f t="shared" si="104"/>
        <v>-4.5021532037060608E-3</v>
      </c>
      <c r="U593" s="12">
        <f t="shared" si="105"/>
        <v>-7.1837773938345784E-3</v>
      </c>
      <c r="V593" s="12">
        <f t="shared" si="106"/>
        <v>1.1035116960744773E-2</v>
      </c>
      <c r="W593" s="12">
        <f t="shared" si="107"/>
        <v>1.4884644008930747E-2</v>
      </c>
      <c r="X593" s="12">
        <f t="shared" si="108"/>
        <v>-1.3929928239763689E-2</v>
      </c>
      <c r="Y593" s="12">
        <f t="shared" si="109"/>
        <v>3.8071383844708651E-2</v>
      </c>
    </row>
    <row r="594" spans="1:25" x14ac:dyDescent="0.35">
      <c r="A594" s="6">
        <v>44987</v>
      </c>
      <c r="B594" s="8">
        <v>3981.35</v>
      </c>
      <c r="C594" s="2">
        <v>145.91</v>
      </c>
      <c r="D594" s="2">
        <v>128.93</v>
      </c>
      <c r="E594" s="2">
        <v>251.11</v>
      </c>
      <c r="F594" s="2">
        <v>477.7</v>
      </c>
      <c r="G594" s="2">
        <v>152.44999999999999</v>
      </c>
      <c r="H594" s="2">
        <v>219.06</v>
      </c>
      <c r="I594" s="2">
        <v>175.34</v>
      </c>
      <c r="J594" s="2">
        <v>210.06</v>
      </c>
      <c r="K594" s="2">
        <v>46.83</v>
      </c>
      <c r="L594" s="2">
        <v>252.18</v>
      </c>
      <c r="M594" s="64">
        <v>7.56</v>
      </c>
      <c r="N594" s="1"/>
      <c r="O594" s="12">
        <f t="shared" si="99"/>
        <v>7.5821419804169565E-3</v>
      </c>
      <c r="P594" s="12">
        <f t="shared" si="100"/>
        <v>4.1291032964008156E-3</v>
      </c>
      <c r="Q594" s="12">
        <f t="shared" si="101"/>
        <v>5.7726811763789687E-3</v>
      </c>
      <c r="R594" s="12">
        <f t="shared" si="102"/>
        <v>1.9653226133918178E-2</v>
      </c>
      <c r="S594" s="12">
        <f t="shared" si="103"/>
        <v>5.21863557931046E-3</v>
      </c>
      <c r="T594" s="12">
        <f t="shared" si="104"/>
        <v>-7.8652421839153774E-4</v>
      </c>
      <c r="U594" s="12">
        <f t="shared" si="105"/>
        <v>3.2057153324784871E-3</v>
      </c>
      <c r="V594" s="12">
        <f t="shared" si="106"/>
        <v>-3.2402933318174121E-3</v>
      </c>
      <c r="W594" s="12">
        <f t="shared" si="107"/>
        <v>2.6937179173796011E-2</v>
      </c>
      <c r="X594" s="12">
        <f t="shared" si="108"/>
        <v>2.3544520547944536E-3</v>
      </c>
      <c r="Y594" s="12">
        <f t="shared" si="109"/>
        <v>1.4115092290988063E-2</v>
      </c>
    </row>
    <row r="595" spans="1:25" x14ac:dyDescent="0.35">
      <c r="A595" s="6">
        <v>44988</v>
      </c>
      <c r="B595" s="8">
        <v>4045.64</v>
      </c>
      <c r="C595" s="2">
        <v>151.03</v>
      </c>
      <c r="D595" s="2">
        <v>129.63999999999999</v>
      </c>
      <c r="E595" s="2">
        <v>255.29</v>
      </c>
      <c r="F595" s="2">
        <v>478.56</v>
      </c>
      <c r="G595" s="2">
        <v>154.02000000000001</v>
      </c>
      <c r="H595" s="2">
        <v>223.77</v>
      </c>
      <c r="I595" s="2">
        <v>179.09</v>
      </c>
      <c r="J595" s="2">
        <v>215.11</v>
      </c>
      <c r="K595" s="2">
        <v>46.89</v>
      </c>
      <c r="L595" s="2">
        <v>255.31</v>
      </c>
      <c r="M595" s="64" t="s">
        <v>77</v>
      </c>
      <c r="N595" s="1"/>
      <c r="O595" s="12">
        <f t="shared" si="99"/>
        <v>1.61477890665227E-2</v>
      </c>
      <c r="P595" s="12">
        <f t="shared" si="100"/>
        <v>3.5090124049071303E-2</v>
      </c>
      <c r="Q595" s="12">
        <f t="shared" si="101"/>
        <v>5.5068641898703419E-3</v>
      </c>
      <c r="R595" s="12">
        <f t="shared" si="102"/>
        <v>1.6646091354386439E-2</v>
      </c>
      <c r="S595" s="12">
        <f t="shared" si="103"/>
        <v>1.8002930709650755E-3</v>
      </c>
      <c r="T595" s="12">
        <f t="shared" si="104"/>
        <v>1.0298458510987318E-2</v>
      </c>
      <c r="U595" s="12">
        <f t="shared" si="105"/>
        <v>2.150095864146806E-2</v>
      </c>
      <c r="V595" s="12">
        <f t="shared" si="106"/>
        <v>2.1387019504961691E-2</v>
      </c>
      <c r="W595" s="12">
        <f t="shared" si="107"/>
        <v>2.4040750261830057E-2</v>
      </c>
      <c r="X595" s="12">
        <f t="shared" si="108"/>
        <v>1.2812299807816174E-3</v>
      </c>
      <c r="Y595" s="12">
        <f t="shared" si="109"/>
        <v>1.2411769371084125E-2</v>
      </c>
    </row>
    <row r="596" spans="1:25" x14ac:dyDescent="0.35">
      <c r="A596" s="6">
        <v>44991</v>
      </c>
      <c r="B596" s="8">
        <v>4048.42</v>
      </c>
      <c r="C596" s="2">
        <v>153.83000000000001</v>
      </c>
      <c r="D596" s="2">
        <v>130.19</v>
      </c>
      <c r="E596" s="2">
        <v>256.87</v>
      </c>
      <c r="F596" s="2">
        <v>480.78</v>
      </c>
      <c r="G596" s="2">
        <v>155.56</v>
      </c>
      <c r="H596" s="2">
        <v>226.75</v>
      </c>
      <c r="I596" s="2">
        <v>179.06</v>
      </c>
      <c r="J596" s="2">
        <v>211.92</v>
      </c>
      <c r="K596" s="2">
        <v>46.88</v>
      </c>
      <c r="L596" s="2">
        <v>253.98</v>
      </c>
      <c r="M596" s="64" t="s">
        <v>77</v>
      </c>
      <c r="N596" s="1"/>
      <c r="O596" s="12">
        <f t="shared" si="99"/>
        <v>6.8715950999109765E-4</v>
      </c>
      <c r="P596" s="12">
        <f t="shared" si="100"/>
        <v>1.8539363040455559E-2</v>
      </c>
      <c r="Q596" s="12">
        <f t="shared" si="101"/>
        <v>4.2425177414380233E-3</v>
      </c>
      <c r="R596" s="12">
        <f t="shared" si="102"/>
        <v>6.1890399153903264E-3</v>
      </c>
      <c r="S596" s="12">
        <f t="shared" si="103"/>
        <v>4.6389167502507433E-3</v>
      </c>
      <c r="T596" s="12">
        <f t="shared" si="104"/>
        <v>9.9987014673419417E-3</v>
      </c>
      <c r="U596" s="12">
        <f t="shared" si="105"/>
        <v>1.3317245385887189E-2</v>
      </c>
      <c r="V596" s="12">
        <f t="shared" si="106"/>
        <v>-1.6751354067789936E-4</v>
      </c>
      <c r="W596" s="12">
        <f t="shared" si="107"/>
        <v>-1.4829622053833091E-2</v>
      </c>
      <c r="X596" s="12">
        <f t="shared" si="108"/>
        <v>-2.1326508850494363E-4</v>
      </c>
      <c r="Y596" s="12">
        <f t="shared" si="109"/>
        <v>-5.2093533351612598E-3</v>
      </c>
    </row>
    <row r="597" spans="1:25" x14ac:dyDescent="0.35">
      <c r="A597" s="6">
        <v>44992</v>
      </c>
      <c r="B597" s="8">
        <v>3986.37</v>
      </c>
      <c r="C597" s="2">
        <v>151.6</v>
      </c>
      <c r="D597" s="2">
        <v>128.25</v>
      </c>
      <c r="E597" s="2">
        <v>254.15</v>
      </c>
      <c r="F597" s="2">
        <v>473.88</v>
      </c>
      <c r="G597" s="2">
        <v>154.09</v>
      </c>
      <c r="H597" s="2">
        <v>223.17</v>
      </c>
      <c r="I597" s="2">
        <v>175.32</v>
      </c>
      <c r="J597" s="2">
        <v>207.92</v>
      </c>
      <c r="K597" s="2">
        <v>46.42</v>
      </c>
      <c r="L597" s="2">
        <v>246.14</v>
      </c>
      <c r="M597" s="64" t="s">
        <v>77</v>
      </c>
      <c r="N597" s="1"/>
      <c r="O597" s="12">
        <f t="shared" si="99"/>
        <v>-1.5326967063694075E-2</v>
      </c>
      <c r="P597" s="12">
        <f t="shared" si="100"/>
        <v>-1.4496522134824219E-2</v>
      </c>
      <c r="Q597" s="12">
        <f t="shared" si="101"/>
        <v>-1.4901298102772853E-2</v>
      </c>
      <c r="R597" s="12">
        <f t="shared" si="102"/>
        <v>-1.0589013898080757E-2</v>
      </c>
      <c r="S597" s="12">
        <f t="shared" si="103"/>
        <v>-1.4351678522401046E-2</v>
      </c>
      <c r="T597" s="12">
        <f t="shared" si="104"/>
        <v>-9.4497300077140967E-3</v>
      </c>
      <c r="U597" s="12">
        <f t="shared" si="105"/>
        <v>-1.5788313120176478E-2</v>
      </c>
      <c r="V597" s="12">
        <f t="shared" si="106"/>
        <v>-2.0886853568636288E-2</v>
      </c>
      <c r="W597" s="12">
        <f t="shared" si="107"/>
        <v>-1.887504718761801E-2</v>
      </c>
      <c r="X597" s="12">
        <f t="shared" si="108"/>
        <v>-9.8122866894198024E-3</v>
      </c>
      <c r="Y597" s="12">
        <f t="shared" si="109"/>
        <v>-3.0868572328529797E-2</v>
      </c>
    </row>
    <row r="598" spans="1:25" x14ac:dyDescent="0.35">
      <c r="A598" s="6">
        <v>44993</v>
      </c>
      <c r="B598" s="8">
        <v>3992.01</v>
      </c>
      <c r="C598" s="2">
        <v>152.87</v>
      </c>
      <c r="D598" s="2">
        <v>128.05000000000001</v>
      </c>
      <c r="E598" s="2">
        <v>253.7</v>
      </c>
      <c r="F598" s="2">
        <v>470.6</v>
      </c>
      <c r="G598" s="2">
        <v>152.96</v>
      </c>
      <c r="H598" s="2">
        <v>222.19</v>
      </c>
      <c r="I598" s="2">
        <v>174.83</v>
      </c>
      <c r="J598" s="2">
        <v>207.2</v>
      </c>
      <c r="K598" s="2">
        <v>46.03</v>
      </c>
      <c r="L598" s="2">
        <v>248.72</v>
      </c>
      <c r="M598" s="64" t="s">
        <v>77</v>
      </c>
      <c r="N598" s="1"/>
      <c r="O598" s="12">
        <f t="shared" si="99"/>
        <v>1.4148210025664021E-3</v>
      </c>
      <c r="P598" s="12">
        <f t="shared" si="100"/>
        <v>8.3773087071241648E-3</v>
      </c>
      <c r="Q598" s="12">
        <f t="shared" si="101"/>
        <v>-1.5594541910330939E-3</v>
      </c>
      <c r="R598" s="12">
        <f t="shared" si="102"/>
        <v>-1.7706079087154158E-3</v>
      </c>
      <c r="S598" s="12">
        <f t="shared" si="103"/>
        <v>-6.9215835232547818E-3</v>
      </c>
      <c r="T598" s="12">
        <f t="shared" si="104"/>
        <v>-7.3333765980919674E-3</v>
      </c>
      <c r="U598" s="12">
        <f t="shared" si="105"/>
        <v>-4.3912712282115907E-3</v>
      </c>
      <c r="V598" s="12">
        <f t="shared" si="106"/>
        <v>-2.7948893451972268E-3</v>
      </c>
      <c r="W598" s="12">
        <f t="shared" si="107"/>
        <v>-3.4628703347441281E-3</v>
      </c>
      <c r="X598" s="12">
        <f t="shared" si="108"/>
        <v>-8.4015510555794926E-3</v>
      </c>
      <c r="Y598" s="12">
        <f t="shared" si="109"/>
        <v>1.0481839603477816E-2</v>
      </c>
    </row>
    <row r="599" spans="1:25" x14ac:dyDescent="0.35">
      <c r="A599" s="6">
        <v>44994</v>
      </c>
      <c r="B599" s="8">
        <v>3918.32</v>
      </c>
      <c r="C599" s="2">
        <v>150.59</v>
      </c>
      <c r="D599" s="2">
        <v>126.16</v>
      </c>
      <c r="E599" s="2">
        <v>252.32</v>
      </c>
      <c r="F599" s="2">
        <v>464.91</v>
      </c>
      <c r="G599" s="2">
        <v>151.24</v>
      </c>
      <c r="H599" s="2">
        <v>220.01</v>
      </c>
      <c r="I599" s="2">
        <v>172.12</v>
      </c>
      <c r="J599" s="2">
        <v>201.24</v>
      </c>
      <c r="K599" s="2">
        <v>45.72</v>
      </c>
      <c r="L599" s="2">
        <v>240.96</v>
      </c>
      <c r="M599" s="64">
        <v>7.7</v>
      </c>
      <c r="N599" s="1"/>
      <c r="O599" s="12">
        <f t="shared" si="99"/>
        <v>-1.8459372596762003E-2</v>
      </c>
      <c r="P599" s="12">
        <f t="shared" si="100"/>
        <v>-1.4914633348596884E-2</v>
      </c>
      <c r="Q599" s="12">
        <f t="shared" si="101"/>
        <v>-1.4759859429910316E-2</v>
      </c>
      <c r="R599" s="12">
        <f t="shared" si="102"/>
        <v>-5.4394954670871076E-3</v>
      </c>
      <c r="S599" s="12">
        <f t="shared" si="103"/>
        <v>-1.2090947726306811E-2</v>
      </c>
      <c r="T599" s="12">
        <f t="shared" si="104"/>
        <v>-1.1244769874476979E-2</v>
      </c>
      <c r="U599" s="12">
        <f t="shared" si="105"/>
        <v>-9.8114226562852069E-3</v>
      </c>
      <c r="V599" s="12">
        <f t="shared" si="106"/>
        <v>-1.5500772178687949E-2</v>
      </c>
      <c r="W599" s="12">
        <f t="shared" si="107"/>
        <v>-2.8764478764478629E-2</v>
      </c>
      <c r="X599" s="12">
        <f t="shared" si="108"/>
        <v>-6.7347382142082246E-3</v>
      </c>
      <c r="Y599" s="12">
        <f t="shared" si="109"/>
        <v>-3.1199742682534559E-2</v>
      </c>
    </row>
    <row r="600" spans="1:25" x14ac:dyDescent="0.35">
      <c r="A600" s="6">
        <v>44995</v>
      </c>
      <c r="B600" s="8">
        <v>3861.59</v>
      </c>
      <c r="C600" s="2">
        <v>148.5</v>
      </c>
      <c r="D600" s="2">
        <v>125.45</v>
      </c>
      <c r="E600" s="2">
        <v>248.59</v>
      </c>
      <c r="F600" s="2">
        <v>460.33</v>
      </c>
      <c r="G600" s="2">
        <v>151.61000000000001</v>
      </c>
      <c r="H600" s="2">
        <v>216.14</v>
      </c>
      <c r="I600" s="2">
        <v>165.7</v>
      </c>
      <c r="J600" s="2">
        <v>203.07</v>
      </c>
      <c r="K600" s="2">
        <v>45.66</v>
      </c>
      <c r="L600" s="2">
        <v>227.01</v>
      </c>
      <c r="M600" s="64" t="s">
        <v>77</v>
      </c>
      <c r="N600" s="1"/>
      <c r="O600" s="12">
        <f t="shared" si="99"/>
        <v>-1.4478143694236278E-2</v>
      </c>
      <c r="P600" s="12">
        <f t="shared" si="100"/>
        <v>-1.3878743608473409E-2</v>
      </c>
      <c r="Q600" s="12">
        <f t="shared" si="101"/>
        <v>-5.6277742549143417E-3</v>
      </c>
      <c r="R600" s="12">
        <f t="shared" si="102"/>
        <v>-1.4782815472415889E-2</v>
      </c>
      <c r="S600" s="12">
        <f t="shared" si="103"/>
        <v>-9.8513690821880884E-3</v>
      </c>
      <c r="T600" s="12">
        <f t="shared" si="104"/>
        <v>2.4464427400159305E-3</v>
      </c>
      <c r="U600" s="12">
        <f t="shared" si="105"/>
        <v>-1.7590109540475463E-2</v>
      </c>
      <c r="V600" s="12">
        <f t="shared" si="106"/>
        <v>-3.7299558447594805E-2</v>
      </c>
      <c r="W600" s="12">
        <f t="shared" si="107"/>
        <v>9.0936195587356661E-3</v>
      </c>
      <c r="X600" s="12">
        <f t="shared" si="108"/>
        <v>-1.312335958005284E-3</v>
      </c>
      <c r="Y600" s="12">
        <f t="shared" si="109"/>
        <v>-5.7893426294820749E-2</v>
      </c>
    </row>
    <row r="601" spans="1:25" x14ac:dyDescent="0.35">
      <c r="A601" s="6">
        <v>44998</v>
      </c>
      <c r="B601" s="8">
        <v>3855.76</v>
      </c>
      <c r="C601" s="2">
        <v>150.47</v>
      </c>
      <c r="D601" s="2">
        <v>125.58</v>
      </c>
      <c r="E601" s="2">
        <v>253.92</v>
      </c>
      <c r="F601" s="2">
        <v>463.68</v>
      </c>
      <c r="G601" s="2">
        <v>153.06</v>
      </c>
      <c r="H601" s="2">
        <v>214.47</v>
      </c>
      <c r="I601" s="2">
        <v>157.63</v>
      </c>
      <c r="J601" s="2">
        <v>203.37</v>
      </c>
      <c r="K601" s="2">
        <v>45.79</v>
      </c>
      <c r="L601" s="2">
        <v>224.7</v>
      </c>
      <c r="M601" s="64" t="s">
        <v>77</v>
      </c>
      <c r="N601" s="1"/>
      <c r="O601" s="12">
        <f t="shared" si="99"/>
        <v>-1.5097408062482165E-3</v>
      </c>
      <c r="P601" s="12">
        <f t="shared" si="100"/>
        <v>1.3265993265993314E-2</v>
      </c>
      <c r="Q601" s="12">
        <f t="shared" si="101"/>
        <v>1.0362694300518616E-3</v>
      </c>
      <c r="R601" s="12">
        <f t="shared" si="102"/>
        <v>2.1440926827305917E-2</v>
      </c>
      <c r="S601" s="12">
        <f t="shared" si="103"/>
        <v>7.2773879608107883E-3</v>
      </c>
      <c r="T601" s="12">
        <f t="shared" si="104"/>
        <v>9.5640129279070951E-3</v>
      </c>
      <c r="U601" s="12">
        <f t="shared" si="105"/>
        <v>-7.7264735819375652E-3</v>
      </c>
      <c r="V601" s="12">
        <f t="shared" si="106"/>
        <v>-4.8702474351237091E-2</v>
      </c>
      <c r="W601" s="12">
        <f t="shared" si="107"/>
        <v>1.4773230905600343E-3</v>
      </c>
      <c r="X601" s="12">
        <f t="shared" si="108"/>
        <v>2.8471309680246915E-3</v>
      </c>
      <c r="Y601" s="12">
        <f t="shared" si="109"/>
        <v>-1.0175763182238673E-2</v>
      </c>
    </row>
    <row r="602" spans="1:25" x14ac:dyDescent="0.35">
      <c r="A602" s="6">
        <v>44999</v>
      </c>
      <c r="B602" s="8">
        <v>3919.29</v>
      </c>
      <c r="C602" s="2">
        <v>152.59</v>
      </c>
      <c r="D602" s="2">
        <v>124.65</v>
      </c>
      <c r="E602" s="2">
        <v>260.79000000000002</v>
      </c>
      <c r="F602" s="2">
        <v>464.58</v>
      </c>
      <c r="G602" s="2">
        <v>153.91999999999999</v>
      </c>
      <c r="H602" s="2">
        <v>218.66</v>
      </c>
      <c r="I602" s="2">
        <v>163.91</v>
      </c>
      <c r="J602" s="2">
        <v>207.28</v>
      </c>
      <c r="K602" s="2">
        <v>46.03</v>
      </c>
      <c r="L602" s="2">
        <v>225.67</v>
      </c>
      <c r="M602" s="64" t="s">
        <v>77</v>
      </c>
      <c r="N602" s="1"/>
      <c r="O602" s="12">
        <f t="shared" si="99"/>
        <v>1.6476647924144494E-2</v>
      </c>
      <c r="P602" s="12">
        <f t="shared" si="100"/>
        <v>1.4089187213398136E-2</v>
      </c>
      <c r="Q602" s="12">
        <f t="shared" si="101"/>
        <v>-7.4056378404203649E-3</v>
      </c>
      <c r="R602" s="12">
        <f t="shared" si="102"/>
        <v>2.7055765595463299E-2</v>
      </c>
      <c r="S602" s="12">
        <f t="shared" si="103"/>
        <v>1.9409937888197337E-3</v>
      </c>
      <c r="T602" s="12">
        <f t="shared" si="104"/>
        <v>5.6187116163595174E-3</v>
      </c>
      <c r="U602" s="12">
        <f t="shared" si="105"/>
        <v>1.9536531915885558E-2</v>
      </c>
      <c r="V602" s="12">
        <f t="shared" si="106"/>
        <v>3.984013195457714E-2</v>
      </c>
      <c r="W602" s="12">
        <f t="shared" si="107"/>
        <v>1.9226041205684163E-2</v>
      </c>
      <c r="X602" s="12">
        <f t="shared" si="108"/>
        <v>5.2413190652982333E-3</v>
      </c>
      <c r="Y602" s="12">
        <f t="shared" si="109"/>
        <v>4.3168669336892673E-3</v>
      </c>
    </row>
    <row r="603" spans="1:25" x14ac:dyDescent="0.35">
      <c r="A603" s="6">
        <v>45000</v>
      </c>
      <c r="B603" s="8">
        <v>3891.93</v>
      </c>
      <c r="C603" s="2">
        <v>152.99</v>
      </c>
      <c r="D603" s="2">
        <v>123.28</v>
      </c>
      <c r="E603" s="2">
        <v>265.44</v>
      </c>
      <c r="F603" s="2">
        <v>465.43</v>
      </c>
      <c r="G603" s="2">
        <v>154.35</v>
      </c>
      <c r="H603" s="2">
        <v>216.37</v>
      </c>
      <c r="I603" s="2">
        <v>159.81</v>
      </c>
      <c r="J603" s="2">
        <v>198.21</v>
      </c>
      <c r="K603" s="2">
        <v>46.55</v>
      </c>
      <c r="L603" s="2">
        <v>217.26</v>
      </c>
      <c r="M603" s="64" t="s">
        <v>77</v>
      </c>
      <c r="N603" s="1"/>
      <c r="O603" s="12">
        <f t="shared" si="99"/>
        <v>-6.9808562265104568E-3</v>
      </c>
      <c r="P603" s="12">
        <f t="shared" si="100"/>
        <v>2.6214037617144914E-3</v>
      </c>
      <c r="Q603" s="12">
        <f t="shared" si="101"/>
        <v>-1.099077416766947E-2</v>
      </c>
      <c r="R603" s="12">
        <f t="shared" si="102"/>
        <v>1.7830438283676475E-2</v>
      </c>
      <c r="S603" s="12">
        <f t="shared" si="103"/>
        <v>1.8296095397993817E-3</v>
      </c>
      <c r="T603" s="12">
        <f t="shared" si="104"/>
        <v>2.7936590436590247E-3</v>
      </c>
      <c r="U603" s="12">
        <f t="shared" si="105"/>
        <v>-1.0472880270739893E-2</v>
      </c>
      <c r="V603" s="12">
        <f t="shared" si="106"/>
        <v>-2.501372704532967E-2</v>
      </c>
      <c r="W603" s="12">
        <f t="shared" si="107"/>
        <v>-4.3757236588189863E-2</v>
      </c>
      <c r="X603" s="12">
        <f t="shared" si="108"/>
        <v>1.129698023028447E-2</v>
      </c>
      <c r="Y603" s="12">
        <f t="shared" si="109"/>
        <v>-3.7266805512473966E-2</v>
      </c>
    </row>
    <row r="604" spans="1:25" x14ac:dyDescent="0.35">
      <c r="A604" s="6">
        <v>45001</v>
      </c>
      <c r="B604" s="8">
        <v>3960.28</v>
      </c>
      <c r="C604" s="2">
        <v>155.85</v>
      </c>
      <c r="D604" s="2">
        <v>124.7</v>
      </c>
      <c r="E604" s="2">
        <v>276.2</v>
      </c>
      <c r="F604" s="2">
        <v>472.02</v>
      </c>
      <c r="G604" s="2">
        <v>154.03</v>
      </c>
      <c r="H604" s="2">
        <v>217.45</v>
      </c>
      <c r="I604" s="2">
        <v>160.72999999999999</v>
      </c>
      <c r="J604" s="2">
        <v>203.19</v>
      </c>
      <c r="K604" s="2">
        <v>46.09</v>
      </c>
      <c r="L604" s="2">
        <v>218.71</v>
      </c>
      <c r="M604" s="64">
        <v>7.55</v>
      </c>
      <c r="N604" s="1"/>
      <c r="O604" s="12">
        <f t="shared" si="99"/>
        <v>1.7561980816715783E-2</v>
      </c>
      <c r="P604" s="12">
        <f t="shared" si="100"/>
        <v>1.869403228969202E-2</v>
      </c>
      <c r="Q604" s="12">
        <f t="shared" si="101"/>
        <v>1.1518494484101138E-2</v>
      </c>
      <c r="R604" s="12">
        <f t="shared" si="102"/>
        <v>4.0536467751657534E-2</v>
      </c>
      <c r="S604" s="12">
        <f t="shared" si="103"/>
        <v>1.4158949788367625E-2</v>
      </c>
      <c r="T604" s="12">
        <f t="shared" si="104"/>
        <v>-2.0732102364755534E-3</v>
      </c>
      <c r="U604" s="12">
        <f t="shared" si="105"/>
        <v>4.991449831307504E-3</v>
      </c>
      <c r="V604" s="12">
        <f t="shared" si="106"/>
        <v>5.7568362430384656E-3</v>
      </c>
      <c r="W604" s="12">
        <f t="shared" si="107"/>
        <v>2.5124867564704001E-2</v>
      </c>
      <c r="X604" s="12">
        <f t="shared" si="108"/>
        <v>-9.8818474758323172E-3</v>
      </c>
      <c r="Y604" s="12">
        <f t="shared" si="109"/>
        <v>6.6740311147934772E-3</v>
      </c>
    </row>
    <row r="605" spans="1:25" x14ac:dyDescent="0.35">
      <c r="A605" s="6">
        <v>45002</v>
      </c>
      <c r="B605" s="8">
        <v>3916.64</v>
      </c>
      <c r="C605" s="2">
        <v>155</v>
      </c>
      <c r="D605" s="2">
        <v>123.69</v>
      </c>
      <c r="E605" s="2">
        <v>279.43</v>
      </c>
      <c r="F605" s="2">
        <v>469.5</v>
      </c>
      <c r="G605" s="2">
        <v>152.38</v>
      </c>
      <c r="H605" s="2">
        <v>217.39</v>
      </c>
      <c r="I605" s="2">
        <v>156.52000000000001</v>
      </c>
      <c r="J605" s="2">
        <v>201.05</v>
      </c>
      <c r="K605" s="2">
        <v>46.47</v>
      </c>
      <c r="L605" s="2">
        <v>215.01</v>
      </c>
      <c r="M605" s="64" t="s">
        <v>77</v>
      </c>
      <c r="N605" s="1"/>
      <c r="O605" s="12">
        <f t="shared" si="99"/>
        <v>-1.101942286909019E-2</v>
      </c>
      <c r="P605" s="12">
        <f t="shared" si="100"/>
        <v>-5.4539621430862439E-3</v>
      </c>
      <c r="Q605" s="12">
        <f t="shared" si="101"/>
        <v>-8.0994386527666329E-3</v>
      </c>
      <c r="R605" s="12">
        <f t="shared" si="102"/>
        <v>1.1694424330195519E-2</v>
      </c>
      <c r="S605" s="12">
        <f t="shared" si="103"/>
        <v>-5.3387568323375323E-3</v>
      </c>
      <c r="T605" s="12">
        <f t="shared" si="104"/>
        <v>-1.0712198922287919E-2</v>
      </c>
      <c r="U605" s="12">
        <f t="shared" si="105"/>
        <v>-2.7592550011501515E-4</v>
      </c>
      <c r="V605" s="12">
        <f t="shared" si="106"/>
        <v>-2.6192994462763464E-2</v>
      </c>
      <c r="W605" s="12">
        <f t="shared" si="107"/>
        <v>-1.053201437078588E-2</v>
      </c>
      <c r="X605" s="12">
        <f t="shared" si="108"/>
        <v>8.2447385550010743E-3</v>
      </c>
      <c r="Y605" s="12">
        <f t="shared" si="109"/>
        <v>-1.6917379177906922E-2</v>
      </c>
    </row>
    <row r="606" spans="1:25" x14ac:dyDescent="0.35">
      <c r="A606" s="6">
        <v>45005</v>
      </c>
      <c r="B606" s="8">
        <v>3951.57</v>
      </c>
      <c r="C606" s="2">
        <v>157.4</v>
      </c>
      <c r="D606" s="2">
        <v>125.94</v>
      </c>
      <c r="E606" s="2">
        <v>272.23</v>
      </c>
      <c r="F606" s="2">
        <v>476.96</v>
      </c>
      <c r="G606" s="2">
        <v>153.88999999999999</v>
      </c>
      <c r="H606" s="2">
        <v>218.15</v>
      </c>
      <c r="I606" s="2">
        <v>158.74</v>
      </c>
      <c r="J606" s="2">
        <v>204.77</v>
      </c>
      <c r="K606" s="2">
        <v>46.97</v>
      </c>
      <c r="L606" s="2">
        <v>220.31</v>
      </c>
      <c r="M606" s="64" t="s">
        <v>77</v>
      </c>
      <c r="N606" s="1"/>
      <c r="O606" s="12">
        <f t="shared" si="99"/>
        <v>8.9183585930798781E-3</v>
      </c>
      <c r="P606" s="12">
        <f t="shared" si="100"/>
        <v>1.5483870967742064E-2</v>
      </c>
      <c r="Q606" s="12">
        <f t="shared" si="101"/>
        <v>1.8190637885035166E-2</v>
      </c>
      <c r="R606" s="12">
        <f t="shared" si="102"/>
        <v>-2.5766739433847441E-2</v>
      </c>
      <c r="S606" s="12">
        <f t="shared" si="103"/>
        <v>1.5889243876464176E-2</v>
      </c>
      <c r="T606" s="12">
        <f t="shared" si="104"/>
        <v>9.9094369339807198E-3</v>
      </c>
      <c r="U606" s="12">
        <f t="shared" si="105"/>
        <v>3.4960209761258909E-3</v>
      </c>
      <c r="V606" s="12">
        <f t="shared" si="106"/>
        <v>1.4183490927677012E-2</v>
      </c>
      <c r="W606" s="12">
        <f t="shared" si="107"/>
        <v>1.8502859985078279E-2</v>
      </c>
      <c r="X606" s="12">
        <f t="shared" si="108"/>
        <v>1.0759629868732468E-2</v>
      </c>
      <c r="Y606" s="12">
        <f t="shared" si="109"/>
        <v>2.4650016278312759E-2</v>
      </c>
    </row>
    <row r="607" spans="1:25" x14ac:dyDescent="0.35">
      <c r="A607" s="6">
        <v>45006</v>
      </c>
      <c r="B607" s="8">
        <v>4002.87</v>
      </c>
      <c r="C607" s="2">
        <v>159.28</v>
      </c>
      <c r="D607" s="2">
        <v>126.57</v>
      </c>
      <c r="E607" s="2">
        <v>273.77999999999997</v>
      </c>
      <c r="F607" s="2">
        <v>480.1</v>
      </c>
      <c r="G607" s="2">
        <v>153.88999999999999</v>
      </c>
      <c r="H607" s="2">
        <v>221.95</v>
      </c>
      <c r="I607" s="2">
        <v>164.56</v>
      </c>
      <c r="J607" s="2">
        <v>204.7</v>
      </c>
      <c r="K607" s="2">
        <v>46.81</v>
      </c>
      <c r="L607" s="2">
        <v>224.92</v>
      </c>
      <c r="M607" s="64" t="s">
        <v>77</v>
      </c>
      <c r="N607" s="1"/>
      <c r="O607" s="12">
        <f t="shared" si="99"/>
        <v>1.2982181765728518E-2</v>
      </c>
      <c r="P607" s="12">
        <f t="shared" si="100"/>
        <v>1.1944091486658204E-2</v>
      </c>
      <c r="Q607" s="12">
        <f t="shared" si="101"/>
        <v>5.0023820867080016E-3</v>
      </c>
      <c r="R607" s="12">
        <f t="shared" si="102"/>
        <v>5.6937148734523824E-3</v>
      </c>
      <c r="S607" s="12">
        <f t="shared" si="103"/>
        <v>6.5833612881585069E-3</v>
      </c>
      <c r="T607" s="12">
        <f t="shared" si="104"/>
        <v>0</v>
      </c>
      <c r="U607" s="12">
        <f t="shared" si="105"/>
        <v>1.7419206967682621E-2</v>
      </c>
      <c r="V607" s="12">
        <f t="shared" si="106"/>
        <v>3.6663726848935374E-2</v>
      </c>
      <c r="W607" s="12">
        <f t="shared" si="107"/>
        <v>-3.418469502369792E-4</v>
      </c>
      <c r="X607" s="12">
        <f t="shared" si="108"/>
        <v>-3.4064296359377355E-3</v>
      </c>
      <c r="Y607" s="12">
        <f t="shared" si="109"/>
        <v>2.0925060142526375E-2</v>
      </c>
    </row>
    <row r="608" spans="1:25" x14ac:dyDescent="0.35">
      <c r="A608" s="6">
        <v>45007</v>
      </c>
      <c r="B608" s="8">
        <v>3936.97</v>
      </c>
      <c r="C608" s="2">
        <v>157.83000000000001</v>
      </c>
      <c r="D608" s="2">
        <v>124.05</v>
      </c>
      <c r="E608" s="2">
        <v>272.29000000000002</v>
      </c>
      <c r="F608" s="2">
        <v>475.52</v>
      </c>
      <c r="G608" s="2">
        <v>151.05000000000001</v>
      </c>
      <c r="H608" s="2">
        <v>220.04</v>
      </c>
      <c r="I608" s="2">
        <v>162.75</v>
      </c>
      <c r="J608" s="2">
        <v>196.16</v>
      </c>
      <c r="K608" s="2">
        <v>46.51</v>
      </c>
      <c r="L608" s="2">
        <v>219.95</v>
      </c>
      <c r="M608" s="64" t="s">
        <v>77</v>
      </c>
      <c r="N608" s="1"/>
      <c r="O608" s="12">
        <f t="shared" si="99"/>
        <v>-1.646318766285193E-2</v>
      </c>
      <c r="P608" s="12">
        <f t="shared" si="100"/>
        <v>-9.1034655951782728E-3</v>
      </c>
      <c r="Q608" s="12">
        <f t="shared" si="101"/>
        <v>-1.9909931263332514E-2</v>
      </c>
      <c r="R608" s="12">
        <f t="shared" si="102"/>
        <v>-5.4423259551462655E-3</v>
      </c>
      <c r="S608" s="12">
        <f t="shared" si="103"/>
        <v>-9.5396792334930813E-3</v>
      </c>
      <c r="T608" s="12">
        <f t="shared" si="104"/>
        <v>-1.8454740398986091E-2</v>
      </c>
      <c r="U608" s="12">
        <f t="shared" si="105"/>
        <v>-8.6055417886911068E-3</v>
      </c>
      <c r="V608" s="12">
        <f t="shared" si="106"/>
        <v>-1.0999027710257625E-2</v>
      </c>
      <c r="W608" s="12">
        <f t="shared" si="107"/>
        <v>-4.1719589643380517E-2</v>
      </c>
      <c r="X608" s="12">
        <f t="shared" si="108"/>
        <v>-6.4088869899594503E-3</v>
      </c>
      <c r="Y608" s="12">
        <f t="shared" si="109"/>
        <v>-2.2096745509514459E-2</v>
      </c>
    </row>
    <row r="609" spans="1:25" x14ac:dyDescent="0.35">
      <c r="A609" s="6">
        <v>45008</v>
      </c>
      <c r="B609" s="8">
        <v>3948.72</v>
      </c>
      <c r="C609" s="2">
        <v>158.93</v>
      </c>
      <c r="D609" s="2">
        <v>123.37</v>
      </c>
      <c r="E609" s="2">
        <v>277.66000000000003</v>
      </c>
      <c r="F609" s="2">
        <v>469.91</v>
      </c>
      <c r="G609" s="2">
        <v>151.13</v>
      </c>
      <c r="H609" s="2">
        <v>222.59</v>
      </c>
      <c r="I609" s="2">
        <v>162.76</v>
      </c>
      <c r="J609" s="2">
        <v>197.9</v>
      </c>
      <c r="K609" s="2">
        <v>46.88</v>
      </c>
      <c r="L609" s="2">
        <v>219.44</v>
      </c>
      <c r="M609" s="64">
        <v>7.74</v>
      </c>
      <c r="N609" s="1"/>
      <c r="O609" s="12">
        <f t="shared" si="99"/>
        <v>2.9845287111662788E-3</v>
      </c>
      <c r="P609" s="12">
        <f t="shared" si="100"/>
        <v>6.9695241715770351E-3</v>
      </c>
      <c r="Q609" s="12">
        <f t="shared" si="101"/>
        <v>-5.4816606207174212E-3</v>
      </c>
      <c r="R609" s="12">
        <f t="shared" si="102"/>
        <v>1.9721620331264456E-2</v>
      </c>
      <c r="S609" s="12">
        <f t="shared" si="103"/>
        <v>-1.1797611036339029E-2</v>
      </c>
      <c r="T609" s="12">
        <f t="shared" si="104"/>
        <v>5.2962595167160842E-4</v>
      </c>
      <c r="U609" s="12">
        <f t="shared" si="105"/>
        <v>1.1588802035993551E-2</v>
      </c>
      <c r="V609" s="12">
        <f t="shared" si="106"/>
        <v>6.1443932411586744E-5</v>
      </c>
      <c r="W609" s="12">
        <f t="shared" si="107"/>
        <v>8.8703099510603067E-3</v>
      </c>
      <c r="X609" s="12">
        <f t="shared" si="108"/>
        <v>7.9552784347454164E-3</v>
      </c>
      <c r="Y609" s="12">
        <f t="shared" si="109"/>
        <v>-2.3187087974538834E-3</v>
      </c>
    </row>
    <row r="610" spans="1:25" x14ac:dyDescent="0.35">
      <c r="A610" s="6">
        <v>45009</v>
      </c>
      <c r="B610" s="8">
        <v>3970.99</v>
      </c>
      <c r="C610" s="2">
        <v>160.25</v>
      </c>
      <c r="D610" s="2">
        <v>125.29</v>
      </c>
      <c r="E610" s="2">
        <v>280.57</v>
      </c>
      <c r="F610" s="2">
        <v>475.99</v>
      </c>
      <c r="G610" s="2">
        <v>152.65</v>
      </c>
      <c r="H610" s="2">
        <v>221.04</v>
      </c>
      <c r="I610" s="2">
        <v>159.78</v>
      </c>
      <c r="J610" s="2">
        <v>197.53</v>
      </c>
      <c r="K610" s="2">
        <v>47.27</v>
      </c>
      <c r="L610" s="2">
        <v>217.01</v>
      </c>
      <c r="M610" s="64" t="s">
        <v>77</v>
      </c>
      <c r="N610" s="1"/>
      <c r="O610" s="12">
        <f t="shared" si="99"/>
        <v>5.6398022650376856E-3</v>
      </c>
      <c r="P610" s="12">
        <f t="shared" si="100"/>
        <v>8.3055433209588969E-3</v>
      </c>
      <c r="Q610" s="12">
        <f t="shared" si="101"/>
        <v>1.5562940747345433E-2</v>
      </c>
      <c r="R610" s="12">
        <f t="shared" si="102"/>
        <v>1.0480443708132059E-2</v>
      </c>
      <c r="S610" s="12">
        <f t="shared" si="103"/>
        <v>1.2938647826179484E-2</v>
      </c>
      <c r="T610" s="12">
        <f t="shared" si="104"/>
        <v>1.0057566333620205E-2</v>
      </c>
      <c r="U610" s="12">
        <f t="shared" si="105"/>
        <v>-6.9634754481333605E-3</v>
      </c>
      <c r="V610" s="12">
        <f t="shared" si="106"/>
        <v>-1.8309166871467109E-2</v>
      </c>
      <c r="W610" s="12">
        <f t="shared" si="107"/>
        <v>-1.8696311268318055E-3</v>
      </c>
      <c r="X610" s="12">
        <f t="shared" si="108"/>
        <v>8.319112627986458E-3</v>
      </c>
      <c r="Y610" s="12">
        <f t="shared" si="109"/>
        <v>-1.1073641997812689E-2</v>
      </c>
    </row>
    <row r="611" spans="1:25" x14ac:dyDescent="0.35">
      <c r="A611" s="6">
        <v>45012</v>
      </c>
      <c r="B611" s="8">
        <v>3977.53</v>
      </c>
      <c r="C611" s="2">
        <v>158.28</v>
      </c>
      <c r="D611" s="2">
        <v>129.31</v>
      </c>
      <c r="E611" s="2">
        <v>276.38</v>
      </c>
      <c r="F611" s="2">
        <v>481.9</v>
      </c>
      <c r="G611" s="2">
        <v>153.30000000000001</v>
      </c>
      <c r="H611" s="2">
        <v>221.81</v>
      </c>
      <c r="I611" s="2">
        <v>163.12</v>
      </c>
      <c r="J611" s="2">
        <v>200.57</v>
      </c>
      <c r="K611" s="2">
        <v>48.06</v>
      </c>
      <c r="L611" s="2">
        <v>218</v>
      </c>
      <c r="M611" s="64" t="s">
        <v>77</v>
      </c>
      <c r="N611" s="1"/>
      <c r="O611" s="12">
        <f t="shared" si="99"/>
        <v>1.6469444647304599E-3</v>
      </c>
      <c r="P611" s="12">
        <f t="shared" si="100"/>
        <v>-1.2293291731669265E-2</v>
      </c>
      <c r="Q611" s="12">
        <f t="shared" si="101"/>
        <v>3.2085561497326109E-2</v>
      </c>
      <c r="R611" s="12">
        <f t="shared" si="102"/>
        <v>-1.4933884592080449E-2</v>
      </c>
      <c r="S611" s="12">
        <f t="shared" si="103"/>
        <v>1.2416227231664356E-2</v>
      </c>
      <c r="T611" s="12">
        <f t="shared" si="104"/>
        <v>4.2581067802163197E-3</v>
      </c>
      <c r="U611" s="12">
        <f t="shared" si="105"/>
        <v>3.4835323923272377E-3</v>
      </c>
      <c r="V611" s="12">
        <f t="shared" si="106"/>
        <v>2.0903742646138479E-2</v>
      </c>
      <c r="W611" s="12">
        <f t="shared" si="107"/>
        <v>1.5390067331544577E-2</v>
      </c>
      <c r="X611" s="12">
        <f t="shared" si="108"/>
        <v>1.6712502644383287E-2</v>
      </c>
      <c r="Y611" s="12">
        <f t="shared" si="109"/>
        <v>4.562001751071465E-3</v>
      </c>
    </row>
    <row r="612" spans="1:25" x14ac:dyDescent="0.35">
      <c r="A612" s="6">
        <v>45013</v>
      </c>
      <c r="B612" s="8">
        <v>3971.27</v>
      </c>
      <c r="C612" s="2">
        <v>157.65</v>
      </c>
      <c r="D612" s="2">
        <v>129.34</v>
      </c>
      <c r="E612" s="2">
        <v>275.23</v>
      </c>
      <c r="F612" s="2">
        <v>472.58</v>
      </c>
      <c r="G612" s="2">
        <v>151.82</v>
      </c>
      <c r="H612" s="2">
        <v>220.33</v>
      </c>
      <c r="I612" s="2">
        <v>159.21</v>
      </c>
      <c r="J612" s="2">
        <v>204.96</v>
      </c>
      <c r="K612" s="2">
        <v>47.87</v>
      </c>
      <c r="L612" s="2">
        <v>220.16</v>
      </c>
      <c r="M612" s="64" t="s">
        <v>77</v>
      </c>
      <c r="N612" s="1"/>
      <c r="O612" s="12">
        <f t="shared" si="99"/>
        <v>-1.5738410521103363E-3</v>
      </c>
      <c r="P612" s="12">
        <f t="shared" si="100"/>
        <v>-3.9802880970432053E-3</v>
      </c>
      <c r="Q612" s="12">
        <f t="shared" si="101"/>
        <v>2.3200061866823773E-4</v>
      </c>
      <c r="R612" s="12">
        <f t="shared" si="102"/>
        <v>-4.1609378392067908E-3</v>
      </c>
      <c r="S612" s="12">
        <f t="shared" si="103"/>
        <v>-1.9340112056443259E-2</v>
      </c>
      <c r="T612" s="12">
        <f t="shared" si="104"/>
        <v>-9.6542726679713642E-3</v>
      </c>
      <c r="U612" s="12">
        <f t="shared" si="105"/>
        <v>-6.6723772598169528E-3</v>
      </c>
      <c r="V612" s="12">
        <f t="shared" si="106"/>
        <v>-2.3970083374203033E-2</v>
      </c>
      <c r="W612" s="12">
        <f t="shared" si="107"/>
        <v>2.1887620282195819E-2</v>
      </c>
      <c r="X612" s="12">
        <f t="shared" si="108"/>
        <v>-3.9533915938411157E-3</v>
      </c>
      <c r="Y612" s="12">
        <f t="shared" si="109"/>
        <v>9.9082568807338234E-3</v>
      </c>
    </row>
    <row r="613" spans="1:25" x14ac:dyDescent="0.35">
      <c r="A613" s="6">
        <v>45014</v>
      </c>
      <c r="B613" s="8">
        <v>4027.81</v>
      </c>
      <c r="C613" s="2">
        <v>160.77000000000001</v>
      </c>
      <c r="D613" s="2">
        <v>129.71</v>
      </c>
      <c r="E613" s="2">
        <v>280.51</v>
      </c>
      <c r="F613" s="2">
        <v>466.59</v>
      </c>
      <c r="G613" s="2">
        <v>153.31</v>
      </c>
      <c r="H613" s="2">
        <v>223.3</v>
      </c>
      <c r="I613" s="2">
        <v>163.59</v>
      </c>
      <c r="J613" s="2">
        <v>207.97</v>
      </c>
      <c r="K613" s="2">
        <v>48.08</v>
      </c>
      <c r="L613" s="2">
        <v>223</v>
      </c>
      <c r="M613" s="64" t="s">
        <v>77</v>
      </c>
      <c r="N613" s="1"/>
      <c r="O613" s="12">
        <f t="shared" si="99"/>
        <v>1.4237259113583312E-2</v>
      </c>
      <c r="P613" s="12">
        <f t="shared" si="100"/>
        <v>1.9790675547098013E-2</v>
      </c>
      <c r="Q613" s="12">
        <f t="shared" si="101"/>
        <v>2.8606772846759831E-3</v>
      </c>
      <c r="R613" s="12">
        <f t="shared" si="102"/>
        <v>1.9183955237437766E-2</v>
      </c>
      <c r="S613" s="12">
        <f t="shared" si="103"/>
        <v>-1.2675102628126433E-2</v>
      </c>
      <c r="T613" s="12">
        <f t="shared" si="104"/>
        <v>9.8142537215124559E-3</v>
      </c>
      <c r="U613" s="12">
        <f t="shared" si="105"/>
        <v>1.3479780329505697E-2</v>
      </c>
      <c r="V613" s="12">
        <f t="shared" si="106"/>
        <v>2.751083474656113E-2</v>
      </c>
      <c r="W613" s="12">
        <f t="shared" si="107"/>
        <v>1.4685792349726778E-2</v>
      </c>
      <c r="X613" s="12">
        <f t="shared" si="108"/>
        <v>4.3868811364111693E-3</v>
      </c>
      <c r="Y613" s="12">
        <f t="shared" si="109"/>
        <v>1.2899709302325535E-2</v>
      </c>
    </row>
    <row r="614" spans="1:25" x14ac:dyDescent="0.35">
      <c r="A614" s="6">
        <v>45015</v>
      </c>
      <c r="B614" s="8">
        <v>4050.83</v>
      </c>
      <c r="C614" s="2">
        <v>162.36000000000001</v>
      </c>
      <c r="D614" s="2">
        <v>129.22</v>
      </c>
      <c r="E614" s="2">
        <v>284.05</v>
      </c>
      <c r="F614" s="2">
        <v>470.06</v>
      </c>
      <c r="G614" s="2">
        <v>153.43</v>
      </c>
      <c r="H614" s="2">
        <v>222.36</v>
      </c>
      <c r="I614" s="2">
        <v>162.41</v>
      </c>
      <c r="J614" s="2">
        <v>211.04</v>
      </c>
      <c r="K614" s="2">
        <v>48.56</v>
      </c>
      <c r="L614" s="2">
        <v>224.54</v>
      </c>
      <c r="M614" s="64">
        <v>8.0500000000000007</v>
      </c>
      <c r="N614" s="1"/>
      <c r="O614" s="12">
        <f t="shared" si="99"/>
        <v>5.7152646227105475E-3</v>
      </c>
      <c r="P614" s="12">
        <f t="shared" si="100"/>
        <v>9.8899048329912365E-3</v>
      </c>
      <c r="Q614" s="12">
        <f t="shared" si="101"/>
        <v>-3.7776578521317994E-3</v>
      </c>
      <c r="R614" s="12">
        <f t="shared" si="102"/>
        <v>1.261987094934236E-2</v>
      </c>
      <c r="S614" s="12">
        <f t="shared" si="103"/>
        <v>7.4369360680683894E-3</v>
      </c>
      <c r="T614" s="12">
        <f t="shared" si="104"/>
        <v>7.827278064054255E-4</v>
      </c>
      <c r="U614" s="12">
        <f t="shared" si="105"/>
        <v>-4.2095835199282838E-3</v>
      </c>
      <c r="V614" s="12">
        <f t="shared" si="106"/>
        <v>-7.2131548383153055E-3</v>
      </c>
      <c r="W614" s="12">
        <f t="shared" si="107"/>
        <v>1.4761744482377326E-2</v>
      </c>
      <c r="X614" s="12">
        <f t="shared" si="108"/>
        <v>9.9833610648918381E-3</v>
      </c>
      <c r="Y614" s="12">
        <f t="shared" si="109"/>
        <v>6.905829596412616E-3</v>
      </c>
    </row>
    <row r="615" spans="1:25" x14ac:dyDescent="0.35">
      <c r="A615" s="6">
        <v>45016</v>
      </c>
      <c r="B615" s="8">
        <v>4109.3100000000004</v>
      </c>
      <c r="C615" s="2">
        <v>164.9</v>
      </c>
      <c r="D615" s="2">
        <v>131.09</v>
      </c>
      <c r="E615" s="2">
        <v>288.3</v>
      </c>
      <c r="F615" s="2">
        <v>472.59</v>
      </c>
      <c r="G615" s="2">
        <v>155</v>
      </c>
      <c r="H615" s="2">
        <v>225.46</v>
      </c>
      <c r="I615" s="2">
        <v>164.95</v>
      </c>
      <c r="J615" s="2">
        <v>212.43</v>
      </c>
      <c r="K615" s="2">
        <v>49.15</v>
      </c>
      <c r="L615" s="2">
        <v>228.84</v>
      </c>
      <c r="M615" s="64" t="s">
        <v>77</v>
      </c>
      <c r="N615" s="1"/>
      <c r="O615" s="12">
        <f t="shared" si="99"/>
        <v>1.4436547571732294E-2</v>
      </c>
      <c r="P615" s="12">
        <f t="shared" si="100"/>
        <v>1.5644247351564333E-2</v>
      </c>
      <c r="Q615" s="12">
        <f t="shared" si="101"/>
        <v>1.4471444048908877E-2</v>
      </c>
      <c r="R615" s="12">
        <f t="shared" si="102"/>
        <v>1.496215455025518E-2</v>
      </c>
      <c r="S615" s="12">
        <f t="shared" si="103"/>
        <v>5.3822916223460471E-3</v>
      </c>
      <c r="T615" s="12">
        <f t="shared" si="104"/>
        <v>1.023267939777095E-2</v>
      </c>
      <c r="U615" s="12">
        <f t="shared" si="105"/>
        <v>1.3941356359057355E-2</v>
      </c>
      <c r="V615" s="12">
        <f t="shared" si="106"/>
        <v>1.5639431069515375E-2</v>
      </c>
      <c r="W615" s="12">
        <f t="shared" si="107"/>
        <v>6.5864291129644759E-3</v>
      </c>
      <c r="X615" s="12">
        <f t="shared" si="108"/>
        <v>1.2149917627676921E-2</v>
      </c>
      <c r="Y615" s="12">
        <f t="shared" si="109"/>
        <v>1.9150262759419334E-2</v>
      </c>
    </row>
    <row r="616" spans="1:25" x14ac:dyDescent="0.35">
      <c r="A616" s="6">
        <v>45019</v>
      </c>
      <c r="B616" s="8">
        <v>4124.51</v>
      </c>
      <c r="C616" s="2">
        <v>166.17</v>
      </c>
      <c r="D616" s="2">
        <v>132.06</v>
      </c>
      <c r="E616" s="2">
        <v>287.23</v>
      </c>
      <c r="F616" s="2">
        <v>494.19</v>
      </c>
      <c r="G616" s="2">
        <v>156.85</v>
      </c>
      <c r="H616" s="2">
        <v>229</v>
      </c>
      <c r="I616" s="2">
        <v>163.78</v>
      </c>
      <c r="J616" s="2">
        <v>215.39</v>
      </c>
      <c r="K616" s="2">
        <v>49.56</v>
      </c>
      <c r="L616" s="2">
        <v>229.87</v>
      </c>
      <c r="M616" s="64" t="s">
        <v>77</v>
      </c>
      <c r="N616" s="1"/>
      <c r="O616" s="12">
        <f t="shared" si="99"/>
        <v>3.6989178231867648E-3</v>
      </c>
      <c r="P616" s="12">
        <f t="shared" si="100"/>
        <v>7.7016373559732898E-3</v>
      </c>
      <c r="Q616" s="12">
        <f t="shared" si="101"/>
        <v>7.3994965291022119E-3</v>
      </c>
      <c r="R616" s="12">
        <f t="shared" si="102"/>
        <v>-3.711411723898661E-3</v>
      </c>
      <c r="S616" s="12">
        <f t="shared" si="103"/>
        <v>4.5705579889544934E-2</v>
      </c>
      <c r="T616" s="12">
        <f t="shared" si="104"/>
        <v>1.1935483870967767E-2</v>
      </c>
      <c r="U616" s="12">
        <f t="shared" si="105"/>
        <v>1.5701233034684625E-2</v>
      </c>
      <c r="V616" s="12">
        <f t="shared" si="106"/>
        <v>-7.0930585025764659E-3</v>
      </c>
      <c r="W616" s="12">
        <f t="shared" si="107"/>
        <v>1.3934001788824535E-2</v>
      </c>
      <c r="X616" s="12">
        <f t="shared" si="108"/>
        <v>8.3418107833164168E-3</v>
      </c>
      <c r="Y616" s="12">
        <f t="shared" si="109"/>
        <v>4.5009613703896889E-3</v>
      </c>
    </row>
    <row r="617" spans="1:25" x14ac:dyDescent="0.35">
      <c r="A617" s="6">
        <v>45020</v>
      </c>
      <c r="B617" s="8">
        <v>4100.6000000000004</v>
      </c>
      <c r="C617" s="2">
        <v>165.63</v>
      </c>
      <c r="D617" s="2">
        <v>131.6</v>
      </c>
      <c r="E617" s="2">
        <v>287.18</v>
      </c>
      <c r="F617" s="2">
        <v>493.25</v>
      </c>
      <c r="G617" s="2">
        <v>158.49</v>
      </c>
      <c r="H617" s="2">
        <v>227.66</v>
      </c>
      <c r="I617" s="2">
        <v>162.56</v>
      </c>
      <c r="J617" s="2">
        <v>213.9</v>
      </c>
      <c r="K617" s="2">
        <v>49.08</v>
      </c>
      <c r="L617" s="2">
        <v>217.45</v>
      </c>
      <c r="M617" s="64" t="s">
        <v>77</v>
      </c>
      <c r="N617" s="1"/>
      <c r="O617" s="12">
        <f t="shared" si="99"/>
        <v>-5.7970522559043225E-3</v>
      </c>
      <c r="P617" s="12">
        <f t="shared" si="100"/>
        <v>-3.2496840584942399E-3</v>
      </c>
      <c r="Q617" s="12">
        <f t="shared" si="101"/>
        <v>-3.4832651824928673E-3</v>
      </c>
      <c r="R617" s="12">
        <f t="shared" si="102"/>
        <v>-1.7407652404000107E-4</v>
      </c>
      <c r="S617" s="12">
        <f t="shared" si="103"/>
        <v>-1.9021024302393608E-3</v>
      </c>
      <c r="T617" s="12">
        <f t="shared" si="104"/>
        <v>1.0455849537775119E-2</v>
      </c>
      <c r="U617" s="12">
        <f t="shared" si="105"/>
        <v>-5.8515283842794918E-3</v>
      </c>
      <c r="V617" s="12">
        <f t="shared" si="106"/>
        <v>-7.4490169739894752E-3</v>
      </c>
      <c r="W617" s="12">
        <f t="shared" si="107"/>
        <v>-6.9176842007520056E-3</v>
      </c>
      <c r="X617" s="12">
        <f t="shared" si="108"/>
        <v>-9.6852300242131761E-3</v>
      </c>
      <c r="Y617" s="12">
        <f t="shared" si="109"/>
        <v>-5.4030539000304634E-2</v>
      </c>
    </row>
    <row r="618" spans="1:25" x14ac:dyDescent="0.35">
      <c r="A618" s="6">
        <v>45021</v>
      </c>
      <c r="B618" s="8">
        <v>4090.38</v>
      </c>
      <c r="C618" s="2">
        <v>163.76</v>
      </c>
      <c r="D618" s="2">
        <v>132.13999999999999</v>
      </c>
      <c r="E618" s="2">
        <v>284.33999999999997</v>
      </c>
      <c r="F618" s="2">
        <v>509.23</v>
      </c>
      <c r="G618" s="2">
        <v>165.61</v>
      </c>
      <c r="H618" s="2">
        <v>228.17</v>
      </c>
      <c r="I618" s="2">
        <v>161.08000000000001</v>
      </c>
      <c r="J618" s="2">
        <v>210</v>
      </c>
      <c r="K618" s="2">
        <v>49.89</v>
      </c>
      <c r="L618" s="2">
        <v>213.53</v>
      </c>
      <c r="M618" s="64" t="s">
        <v>77</v>
      </c>
      <c r="N618" s="1"/>
      <c r="O618" s="12">
        <f t="shared" si="99"/>
        <v>-2.4923181973370845E-3</v>
      </c>
      <c r="P618" s="12">
        <f t="shared" si="100"/>
        <v>-1.1290225200748738E-2</v>
      </c>
      <c r="Q618" s="12">
        <f t="shared" si="101"/>
        <v>4.1033434650454836E-3</v>
      </c>
      <c r="R618" s="12">
        <f t="shared" si="102"/>
        <v>-9.8892680548785528E-3</v>
      </c>
      <c r="S618" s="12">
        <f t="shared" si="103"/>
        <v>3.2397364419665564E-2</v>
      </c>
      <c r="T618" s="12">
        <f t="shared" si="104"/>
        <v>4.4923969966559341E-2</v>
      </c>
      <c r="U618" s="12">
        <f t="shared" si="105"/>
        <v>2.2401827286304687E-3</v>
      </c>
      <c r="V618" s="12">
        <f t="shared" si="106"/>
        <v>-9.1043307086613456E-3</v>
      </c>
      <c r="W618" s="12">
        <f t="shared" si="107"/>
        <v>-1.8232819074333828E-2</v>
      </c>
      <c r="X618" s="12">
        <f t="shared" si="108"/>
        <v>1.6503667481662543E-2</v>
      </c>
      <c r="Y618" s="12">
        <f t="shared" si="109"/>
        <v>-1.8027132674177881E-2</v>
      </c>
    </row>
    <row r="619" spans="1:25" x14ac:dyDescent="0.35">
      <c r="A619" s="6">
        <v>45022</v>
      </c>
      <c r="B619" s="8">
        <v>4105.0200000000004</v>
      </c>
      <c r="C619" s="2">
        <v>164.66</v>
      </c>
      <c r="D619" s="2">
        <v>130.5</v>
      </c>
      <c r="E619" s="2">
        <v>291.60000000000002</v>
      </c>
      <c r="F619" s="2">
        <v>512.80999999999995</v>
      </c>
      <c r="G619" s="2">
        <v>165.15</v>
      </c>
      <c r="H619" s="2">
        <v>225.99</v>
      </c>
      <c r="I619" s="2">
        <v>158.83000000000001</v>
      </c>
      <c r="J619" s="2">
        <v>211.37</v>
      </c>
      <c r="K619" s="2">
        <v>50.27</v>
      </c>
      <c r="L619" s="2">
        <v>209.17</v>
      </c>
      <c r="M619" s="64">
        <v>8.01</v>
      </c>
      <c r="N619" s="1"/>
      <c r="O619" s="12">
        <f t="shared" si="99"/>
        <v>3.5791295674241219E-3</v>
      </c>
      <c r="P619" s="12">
        <f t="shared" si="100"/>
        <v>5.4958475818271957E-3</v>
      </c>
      <c r="Q619" s="12">
        <f t="shared" si="101"/>
        <v>-1.2411079158468175E-2</v>
      </c>
      <c r="R619" s="12">
        <f t="shared" si="102"/>
        <v>2.5532812829710982E-2</v>
      </c>
      <c r="S619" s="12">
        <f t="shared" si="103"/>
        <v>7.0302221000333454E-3</v>
      </c>
      <c r="T619" s="12">
        <f t="shared" si="104"/>
        <v>-2.7776100477024945E-3</v>
      </c>
      <c r="U619" s="12">
        <f t="shared" si="105"/>
        <v>-9.5542797037295735E-3</v>
      </c>
      <c r="V619" s="12">
        <f t="shared" si="106"/>
        <v>-1.3968214551775548E-2</v>
      </c>
      <c r="W619" s="12">
        <f t="shared" si="107"/>
        <v>6.5238095238095983E-3</v>
      </c>
      <c r="X619" s="12">
        <f t="shared" si="108"/>
        <v>7.6167568651033246E-3</v>
      </c>
      <c r="Y619" s="12">
        <f t="shared" si="109"/>
        <v>-2.0418676532571567E-2</v>
      </c>
    </row>
    <row r="620" spans="1:25" x14ac:dyDescent="0.35">
      <c r="A620" s="6">
        <v>45026</v>
      </c>
      <c r="B620" s="8">
        <v>4109.1099999999997</v>
      </c>
      <c r="C620" s="2">
        <v>162.03</v>
      </c>
      <c r="D620" s="2">
        <v>131.03</v>
      </c>
      <c r="E620" s="2">
        <v>289.39</v>
      </c>
      <c r="F620" s="2">
        <v>515.17999999999995</v>
      </c>
      <c r="G620" s="2">
        <v>164.32</v>
      </c>
      <c r="H620" s="2">
        <v>226.43</v>
      </c>
      <c r="I620" s="2">
        <v>161.13999999999999</v>
      </c>
      <c r="J620" s="2">
        <v>210.78</v>
      </c>
      <c r="K620" s="2">
        <v>50.17</v>
      </c>
      <c r="L620" s="2">
        <v>215.53</v>
      </c>
      <c r="M620" s="64" t="s">
        <v>77</v>
      </c>
      <c r="N620" s="1"/>
      <c r="O620" s="12">
        <f t="shared" si="99"/>
        <v>9.9634106532953126E-4</v>
      </c>
      <c r="P620" s="12">
        <f t="shared" si="100"/>
        <v>-1.5972306571116257E-2</v>
      </c>
      <c r="Q620" s="12">
        <f t="shared" si="101"/>
        <v>4.0613026819924514E-3</v>
      </c>
      <c r="R620" s="12">
        <f t="shared" si="102"/>
        <v>-7.5788751714679359E-3</v>
      </c>
      <c r="S620" s="12">
        <f t="shared" si="103"/>
        <v>4.6215947426921922E-3</v>
      </c>
      <c r="T620" s="12">
        <f t="shared" si="104"/>
        <v>-5.0257341810475697E-3</v>
      </c>
      <c r="U620" s="12">
        <f t="shared" si="105"/>
        <v>1.9469888048142536E-3</v>
      </c>
      <c r="V620" s="12">
        <f t="shared" si="106"/>
        <v>1.4543851917143913E-2</v>
      </c>
      <c r="W620" s="12">
        <f t="shared" si="107"/>
        <v>-2.7913138099068258E-3</v>
      </c>
      <c r="X620" s="12">
        <f t="shared" si="108"/>
        <v>-1.9892580067635279E-3</v>
      </c>
      <c r="Y620" s="12">
        <f t="shared" si="109"/>
        <v>3.0405889945976927E-2</v>
      </c>
    </row>
    <row r="621" spans="1:25" x14ac:dyDescent="0.35">
      <c r="A621" s="6">
        <v>45027</v>
      </c>
      <c r="B621" s="8">
        <v>4108.9399999999996</v>
      </c>
      <c r="C621" s="2">
        <v>160.80000000000001</v>
      </c>
      <c r="D621" s="2">
        <v>130.41999999999999</v>
      </c>
      <c r="E621" s="2">
        <v>282.83</v>
      </c>
      <c r="F621" s="2">
        <v>520.97</v>
      </c>
      <c r="G621" s="2">
        <v>164.27</v>
      </c>
      <c r="H621" s="2">
        <v>228.45</v>
      </c>
      <c r="I621" s="2">
        <v>161.83000000000001</v>
      </c>
      <c r="J621" s="2">
        <v>212.32</v>
      </c>
      <c r="K621" s="2">
        <v>50.02</v>
      </c>
      <c r="L621" s="2">
        <v>220.6</v>
      </c>
      <c r="M621" s="64" t="s">
        <v>77</v>
      </c>
      <c r="N621" s="1"/>
      <c r="O621" s="12">
        <f t="shared" si="99"/>
        <v>-4.1371489203245737E-5</v>
      </c>
      <c r="P621" s="12">
        <f t="shared" si="100"/>
        <v>-7.5911868172560126E-3</v>
      </c>
      <c r="Q621" s="12">
        <f t="shared" si="101"/>
        <v>-4.6554224223461782E-3</v>
      </c>
      <c r="R621" s="12">
        <f t="shared" si="102"/>
        <v>-2.2668371401914356E-2</v>
      </c>
      <c r="S621" s="12">
        <f t="shared" si="103"/>
        <v>1.1238790325711623E-2</v>
      </c>
      <c r="T621" s="12">
        <f t="shared" si="104"/>
        <v>-3.0428432327156418E-4</v>
      </c>
      <c r="U621" s="12">
        <f t="shared" si="105"/>
        <v>8.9210793622751527E-3</v>
      </c>
      <c r="V621" s="12">
        <f t="shared" si="106"/>
        <v>4.2819908154401176E-3</v>
      </c>
      <c r="W621" s="12">
        <f t="shared" si="107"/>
        <v>7.3061960337792442E-3</v>
      </c>
      <c r="X621" s="12">
        <f t="shared" si="108"/>
        <v>-2.98983456248747E-3</v>
      </c>
      <c r="Y621" s="12">
        <f t="shared" si="109"/>
        <v>2.3523407414280939E-2</v>
      </c>
    </row>
    <row r="622" spans="1:25" x14ac:dyDescent="0.35">
      <c r="A622" s="6">
        <v>45028</v>
      </c>
      <c r="B622" s="8">
        <v>4091.95</v>
      </c>
      <c r="C622" s="2">
        <v>160.1</v>
      </c>
      <c r="D622" s="2">
        <v>128.54</v>
      </c>
      <c r="E622" s="2">
        <v>283.49</v>
      </c>
      <c r="F622" s="2">
        <v>521.19000000000005</v>
      </c>
      <c r="G622" s="2">
        <v>163.92</v>
      </c>
      <c r="H622" s="2">
        <v>227.81</v>
      </c>
      <c r="I622" s="2">
        <v>159.29</v>
      </c>
      <c r="J622" s="2">
        <v>212.34</v>
      </c>
      <c r="K622" s="2">
        <v>49.78</v>
      </c>
      <c r="L622" s="2">
        <v>220.5</v>
      </c>
      <c r="M622" s="64" t="s">
        <v>77</v>
      </c>
      <c r="N622" s="1"/>
      <c r="O622" s="12">
        <f t="shared" si="99"/>
        <v>-4.1348863697205918E-3</v>
      </c>
      <c r="P622" s="12">
        <f t="shared" si="100"/>
        <v>-4.3532338308458485E-3</v>
      </c>
      <c r="Q622" s="12">
        <f t="shared" si="101"/>
        <v>-1.4414967029596659E-2</v>
      </c>
      <c r="R622" s="12">
        <f t="shared" si="102"/>
        <v>2.3335572605451826E-3</v>
      </c>
      <c r="S622" s="12">
        <f t="shared" si="103"/>
        <v>4.2228919131614973E-4</v>
      </c>
      <c r="T622" s="12">
        <f t="shared" si="104"/>
        <v>-2.1306385828211427E-3</v>
      </c>
      <c r="U622" s="12">
        <f t="shared" si="105"/>
        <v>-2.8014882906542971E-3</v>
      </c>
      <c r="V622" s="12">
        <f t="shared" si="106"/>
        <v>-1.5695482914169334E-2</v>
      </c>
      <c r="W622" s="12">
        <f t="shared" si="107"/>
        <v>9.4197437829679487E-5</v>
      </c>
      <c r="X622" s="12">
        <f t="shared" si="108"/>
        <v>-4.7980807676929471E-3</v>
      </c>
      <c r="Y622" s="12">
        <f t="shared" si="109"/>
        <v>-4.5330915684493878E-4</v>
      </c>
    </row>
    <row r="623" spans="1:25" x14ac:dyDescent="0.35">
      <c r="A623" s="6">
        <v>45029</v>
      </c>
      <c r="B623" s="8">
        <v>4146.22</v>
      </c>
      <c r="C623" s="2">
        <v>165.56</v>
      </c>
      <c r="D623" s="2">
        <v>127.9</v>
      </c>
      <c r="E623" s="2">
        <v>289.83999999999997</v>
      </c>
      <c r="F623" s="2">
        <v>526.23</v>
      </c>
      <c r="G623" s="2">
        <v>166.11</v>
      </c>
      <c r="H623" s="2">
        <v>232.69</v>
      </c>
      <c r="I623" s="2">
        <v>162.30000000000001</v>
      </c>
      <c r="J623" s="2">
        <v>213.59</v>
      </c>
      <c r="K623" s="2">
        <v>49.83</v>
      </c>
      <c r="L623" s="2">
        <v>221.67</v>
      </c>
      <c r="M623" s="64" t="s">
        <v>77</v>
      </c>
      <c r="N623" s="1"/>
      <c r="O623" s="12">
        <f t="shared" si="99"/>
        <v>1.3262625398648753E-2</v>
      </c>
      <c r="P623" s="12">
        <f t="shared" si="100"/>
        <v>3.4103685196751998E-2</v>
      </c>
      <c r="Q623" s="12">
        <f t="shared" si="101"/>
        <v>-4.9789948654114236E-3</v>
      </c>
      <c r="R623" s="12">
        <f t="shared" si="102"/>
        <v>2.239937916681356E-2</v>
      </c>
      <c r="S623" s="12">
        <f t="shared" si="103"/>
        <v>9.6701778621999246E-3</v>
      </c>
      <c r="T623" s="12">
        <f t="shared" si="104"/>
        <v>1.3360175695461329E-2</v>
      </c>
      <c r="U623" s="12">
        <f t="shared" si="105"/>
        <v>2.1421359905184234E-2</v>
      </c>
      <c r="V623" s="12">
        <f t="shared" si="106"/>
        <v>1.889635256450517E-2</v>
      </c>
      <c r="W623" s="12">
        <f t="shared" si="107"/>
        <v>5.8867853442592377E-3</v>
      </c>
      <c r="X623" s="12">
        <f t="shared" si="108"/>
        <v>1.0044194455605115E-3</v>
      </c>
      <c r="Y623" s="12">
        <f t="shared" si="109"/>
        <v>5.3061224489794334E-3</v>
      </c>
    </row>
    <row r="624" spans="1:25" x14ac:dyDescent="0.35">
      <c r="A624" s="6">
        <v>45030</v>
      </c>
      <c r="B624" s="8">
        <v>4137.6400000000003</v>
      </c>
      <c r="C624" s="2">
        <v>165.21</v>
      </c>
      <c r="D624" s="2">
        <v>128.13999999999999</v>
      </c>
      <c r="E624" s="2">
        <v>286.14</v>
      </c>
      <c r="F624" s="2">
        <v>511.79</v>
      </c>
      <c r="G624" s="2">
        <v>165.84</v>
      </c>
      <c r="H624" s="2">
        <v>234.02</v>
      </c>
      <c r="I624" s="2">
        <v>163.22</v>
      </c>
      <c r="J624" s="2">
        <v>201.71</v>
      </c>
      <c r="K624" s="2">
        <v>49.49</v>
      </c>
      <c r="L624" s="2">
        <v>223.68</v>
      </c>
      <c r="M624" s="64">
        <v>8.3000000000000007</v>
      </c>
      <c r="N624" s="1"/>
      <c r="O624" s="12">
        <f t="shared" si="99"/>
        <v>-2.0693547375681964E-3</v>
      </c>
      <c r="P624" s="12">
        <f t="shared" si="100"/>
        <v>-2.1140372070548308E-3</v>
      </c>
      <c r="Q624" s="12">
        <f t="shared" si="101"/>
        <v>1.8764659890537772E-3</v>
      </c>
      <c r="R624" s="12">
        <f t="shared" si="102"/>
        <v>-1.2765663814518269E-2</v>
      </c>
      <c r="S624" s="12">
        <f t="shared" si="103"/>
        <v>-2.7440472797065962E-2</v>
      </c>
      <c r="T624" s="12">
        <f t="shared" si="104"/>
        <v>-1.6254289326350646E-3</v>
      </c>
      <c r="U624" s="12">
        <f t="shared" si="105"/>
        <v>5.715759164553802E-3</v>
      </c>
      <c r="V624" s="12">
        <f t="shared" si="106"/>
        <v>5.6685150955020358E-3</v>
      </c>
      <c r="W624" s="12">
        <f t="shared" si="107"/>
        <v>-5.5620581487897391E-2</v>
      </c>
      <c r="X624" s="12">
        <f t="shared" si="108"/>
        <v>-6.823198876178882E-3</v>
      </c>
      <c r="Y624" s="12">
        <f t="shared" si="109"/>
        <v>9.0675328190554794E-3</v>
      </c>
    </row>
    <row r="625" spans="1:25" x14ac:dyDescent="0.35">
      <c r="A625" s="6">
        <v>45033</v>
      </c>
      <c r="B625" s="8">
        <v>4151.32</v>
      </c>
      <c r="C625" s="2">
        <v>165.23</v>
      </c>
      <c r="D625" s="2">
        <v>127.82</v>
      </c>
      <c r="E625" s="2">
        <v>288.8</v>
      </c>
      <c r="F625" s="2">
        <v>505.35</v>
      </c>
      <c r="G625" s="2">
        <v>165.67</v>
      </c>
      <c r="H625" s="2">
        <v>233.48</v>
      </c>
      <c r="I625" s="2">
        <v>163.71</v>
      </c>
      <c r="J625" s="2">
        <v>205.03</v>
      </c>
      <c r="K625" s="2">
        <v>49.84</v>
      </c>
      <c r="L625" s="2">
        <v>225.24</v>
      </c>
      <c r="M625" s="64" t="s">
        <v>77</v>
      </c>
      <c r="N625" s="1"/>
      <c r="O625" s="12">
        <f t="shared" si="99"/>
        <v>3.3062325383550473E-3</v>
      </c>
      <c r="P625" s="12">
        <f t="shared" si="100"/>
        <v>1.2105804733364423E-4</v>
      </c>
      <c r="Q625" s="12">
        <f t="shared" si="101"/>
        <v>-2.4972686124550281E-3</v>
      </c>
      <c r="R625" s="12">
        <f t="shared" si="102"/>
        <v>9.2961487383798058E-3</v>
      </c>
      <c r="S625" s="12">
        <f t="shared" si="103"/>
        <v>-1.2583286113444947E-2</v>
      </c>
      <c r="T625" s="12">
        <f t="shared" si="104"/>
        <v>-1.0250844187169594E-3</v>
      </c>
      <c r="U625" s="12">
        <f t="shared" si="105"/>
        <v>-2.3074950858902321E-3</v>
      </c>
      <c r="V625" s="12">
        <f t="shared" si="106"/>
        <v>3.002083078054163E-3</v>
      </c>
      <c r="W625" s="12">
        <f t="shared" si="107"/>
        <v>1.6459273214020076E-2</v>
      </c>
      <c r="X625" s="12">
        <f t="shared" si="108"/>
        <v>7.0721357850072053E-3</v>
      </c>
      <c r="Y625" s="12">
        <f t="shared" si="109"/>
        <v>6.9742489270385732E-3</v>
      </c>
    </row>
    <row r="626" spans="1:25" x14ac:dyDescent="0.35">
      <c r="A626" s="6">
        <v>45034</v>
      </c>
      <c r="B626" s="8">
        <v>4154.87</v>
      </c>
      <c r="C626" s="2">
        <v>166.47</v>
      </c>
      <c r="D626" s="2">
        <v>127.78</v>
      </c>
      <c r="E626" s="2">
        <v>288.37</v>
      </c>
      <c r="F626" s="2">
        <v>504.48</v>
      </c>
      <c r="G626" s="2">
        <v>161.01</v>
      </c>
      <c r="H626" s="2">
        <v>233.6</v>
      </c>
      <c r="I626" s="2">
        <v>164.4</v>
      </c>
      <c r="J626" s="2">
        <v>208.37</v>
      </c>
      <c r="K626" s="2">
        <v>49.95</v>
      </c>
      <c r="L626" s="2">
        <v>225.2</v>
      </c>
      <c r="M626" s="64" t="s">
        <v>77</v>
      </c>
      <c r="N626" s="1"/>
      <c r="O626" s="12">
        <f t="shared" si="99"/>
        <v>8.5514968732836039E-4</v>
      </c>
      <c r="P626" s="12">
        <f t="shared" si="100"/>
        <v>7.5046904315196894E-3</v>
      </c>
      <c r="Q626" s="12">
        <f t="shared" si="101"/>
        <v>-3.1294007197613105E-4</v>
      </c>
      <c r="R626" s="12">
        <f t="shared" si="102"/>
        <v>-1.4889196675900163E-3</v>
      </c>
      <c r="S626" s="12">
        <f t="shared" si="103"/>
        <v>-1.7215791035916084E-3</v>
      </c>
      <c r="T626" s="12">
        <f t="shared" si="104"/>
        <v>-2.8128206675921974E-2</v>
      </c>
      <c r="U626" s="12">
        <f t="shared" si="105"/>
        <v>5.13962652047395E-4</v>
      </c>
      <c r="V626" s="12">
        <f t="shared" si="106"/>
        <v>4.2147700201575766E-3</v>
      </c>
      <c r="W626" s="12">
        <f t="shared" si="107"/>
        <v>1.6290298980637052E-2</v>
      </c>
      <c r="X626" s="12">
        <f t="shared" si="108"/>
        <v>2.207062600320997E-3</v>
      </c>
      <c r="Y626" s="12">
        <f t="shared" si="109"/>
        <v>-1.7758835020431629E-4</v>
      </c>
    </row>
    <row r="627" spans="1:25" x14ac:dyDescent="0.35">
      <c r="A627" s="6">
        <v>45035</v>
      </c>
      <c r="B627" s="8">
        <v>4154.5200000000004</v>
      </c>
      <c r="C627" s="2">
        <v>167.63</v>
      </c>
      <c r="D627" s="2">
        <v>126.32</v>
      </c>
      <c r="E627" s="2">
        <v>288.45</v>
      </c>
      <c r="F627" s="2">
        <v>486.2</v>
      </c>
      <c r="G627" s="2">
        <v>162.53</v>
      </c>
      <c r="H627" s="2">
        <v>232.57</v>
      </c>
      <c r="I627" s="2">
        <v>164.95</v>
      </c>
      <c r="J627" s="2">
        <v>208.71</v>
      </c>
      <c r="K627" s="2">
        <v>50</v>
      </c>
      <c r="L627" s="2">
        <v>224.65</v>
      </c>
      <c r="M627" s="64" t="s">
        <v>77</v>
      </c>
      <c r="N627" s="1"/>
      <c r="O627" s="12">
        <f t="shared" si="99"/>
        <v>-8.4238496029787058E-5</v>
      </c>
      <c r="P627" s="12">
        <f t="shared" si="100"/>
        <v>6.9682225025529121E-3</v>
      </c>
      <c r="Q627" s="12">
        <f t="shared" si="101"/>
        <v>-1.14258882454219E-2</v>
      </c>
      <c r="R627" s="12">
        <f t="shared" si="102"/>
        <v>2.7742136838093678E-4</v>
      </c>
      <c r="S627" s="12">
        <f t="shared" si="103"/>
        <v>-3.6235331430383821E-2</v>
      </c>
      <c r="T627" s="12">
        <f t="shared" si="104"/>
        <v>9.4404074281100314E-3</v>
      </c>
      <c r="U627" s="12">
        <f t="shared" si="105"/>
        <v>-4.4092465753424737E-3</v>
      </c>
      <c r="V627" s="12">
        <f t="shared" si="106"/>
        <v>3.3454987834549144E-3</v>
      </c>
      <c r="W627" s="12">
        <f t="shared" si="107"/>
        <v>1.6317128185439067E-3</v>
      </c>
      <c r="X627" s="12">
        <f t="shared" si="108"/>
        <v>1.0010010010008674E-3</v>
      </c>
      <c r="Y627" s="12">
        <f t="shared" si="109"/>
        <v>-2.4422735346357749E-3</v>
      </c>
    </row>
    <row r="628" spans="1:25" x14ac:dyDescent="0.35">
      <c r="A628" s="6">
        <v>45036</v>
      </c>
      <c r="B628" s="8">
        <v>4129.79</v>
      </c>
      <c r="C628" s="2">
        <v>166.65</v>
      </c>
      <c r="D628" s="2">
        <v>126.36</v>
      </c>
      <c r="E628" s="2">
        <v>286.11</v>
      </c>
      <c r="F628" s="2">
        <v>487.46</v>
      </c>
      <c r="G628" s="2">
        <v>163.58000000000001</v>
      </c>
      <c r="H628" s="2">
        <v>234.6</v>
      </c>
      <c r="I628" s="2">
        <v>163.28</v>
      </c>
      <c r="J628" s="2">
        <v>207.23</v>
      </c>
      <c r="K628" s="2">
        <v>50.32</v>
      </c>
      <c r="L628" s="2">
        <v>222.27</v>
      </c>
      <c r="M628" s="64" t="s">
        <v>77</v>
      </c>
      <c r="N628" s="1"/>
      <c r="O628" s="12">
        <f t="shared" si="99"/>
        <v>-5.952552882162232E-3</v>
      </c>
      <c r="P628" s="12">
        <f t="shared" si="100"/>
        <v>-5.846208912485773E-3</v>
      </c>
      <c r="Q628" s="12">
        <f t="shared" si="101"/>
        <v>3.1665611146292072E-4</v>
      </c>
      <c r="R628" s="12">
        <f t="shared" si="102"/>
        <v>-8.1123244929796057E-3</v>
      </c>
      <c r="S628" s="12">
        <f t="shared" si="103"/>
        <v>2.591526120937937E-3</v>
      </c>
      <c r="T628" s="12">
        <f t="shared" si="104"/>
        <v>6.460345782317134E-3</v>
      </c>
      <c r="U628" s="12">
        <f t="shared" si="105"/>
        <v>8.7285548437030513E-3</v>
      </c>
      <c r="V628" s="12">
        <f t="shared" si="106"/>
        <v>-1.0124280084874093E-2</v>
      </c>
      <c r="W628" s="12">
        <f t="shared" si="107"/>
        <v>-7.0911791481003128E-3</v>
      </c>
      <c r="X628" s="12">
        <f t="shared" si="108"/>
        <v>6.3999999999999613E-3</v>
      </c>
      <c r="Y628" s="12">
        <f t="shared" si="109"/>
        <v>-1.0594257734253265E-2</v>
      </c>
    </row>
    <row r="629" spans="1:25" x14ac:dyDescent="0.35">
      <c r="A629" s="6">
        <v>45037</v>
      </c>
      <c r="B629" s="8">
        <v>4133.5200000000004</v>
      </c>
      <c r="C629" s="2">
        <v>165.02</v>
      </c>
      <c r="D629" s="2">
        <v>125.73</v>
      </c>
      <c r="E629" s="2">
        <v>285.76</v>
      </c>
      <c r="F629" s="2">
        <v>483.82</v>
      </c>
      <c r="G629" s="2">
        <v>162.69</v>
      </c>
      <c r="H629" s="2">
        <v>234.05</v>
      </c>
      <c r="I629" s="2">
        <v>163.78</v>
      </c>
      <c r="J629" s="2">
        <v>205.15</v>
      </c>
      <c r="K629" s="2">
        <v>50.58</v>
      </c>
      <c r="L629" s="2">
        <v>220.27</v>
      </c>
      <c r="M629" s="64">
        <v>8.35</v>
      </c>
      <c r="N629" s="1"/>
      <c r="O629" s="12">
        <f t="shared" si="99"/>
        <v>9.0319362485757893E-4</v>
      </c>
      <c r="P629" s="12">
        <f t="shared" si="100"/>
        <v>-9.780978097809756E-3</v>
      </c>
      <c r="Q629" s="12">
        <f t="shared" si="101"/>
        <v>-4.985754985754931E-3</v>
      </c>
      <c r="R629" s="12">
        <f t="shared" si="102"/>
        <v>-1.2233057215756959E-3</v>
      </c>
      <c r="S629" s="12">
        <f t="shared" si="103"/>
        <v>-7.4672793665121473E-3</v>
      </c>
      <c r="T629" s="12">
        <f t="shared" si="104"/>
        <v>-5.4407629294536131E-3</v>
      </c>
      <c r="U629" s="12">
        <f t="shared" si="105"/>
        <v>-2.344416027280416E-3</v>
      </c>
      <c r="V629" s="12">
        <f t="shared" si="106"/>
        <v>3.06222439980397E-3</v>
      </c>
      <c r="W629" s="12">
        <f t="shared" si="107"/>
        <v>-1.003715678231909E-2</v>
      </c>
      <c r="X629" s="12">
        <f t="shared" si="108"/>
        <v>5.1669316375198004E-3</v>
      </c>
      <c r="Y629" s="12">
        <f t="shared" si="109"/>
        <v>-8.9980654159356188E-3</v>
      </c>
    </row>
    <row r="630" spans="1:25" x14ac:dyDescent="0.35">
      <c r="A630" s="6">
        <v>45040</v>
      </c>
      <c r="B630" s="8">
        <v>4137.04</v>
      </c>
      <c r="C630" s="2">
        <v>165.33</v>
      </c>
      <c r="D630" s="2">
        <v>125.4</v>
      </c>
      <c r="E630" s="2">
        <v>281.77</v>
      </c>
      <c r="F630" s="2">
        <v>488.94</v>
      </c>
      <c r="G630" s="2">
        <v>163.68</v>
      </c>
      <c r="H630" s="2">
        <v>232.76</v>
      </c>
      <c r="I630" s="2">
        <v>160.59</v>
      </c>
      <c r="J630" s="2">
        <v>205.77</v>
      </c>
      <c r="K630" s="2">
        <v>50.92</v>
      </c>
      <c r="L630" s="2">
        <v>223.43</v>
      </c>
      <c r="M630" s="64" t="s">
        <v>77</v>
      </c>
      <c r="N630" s="1"/>
      <c r="O630" s="12">
        <f t="shared" si="99"/>
        <v>8.5157444502503843E-4</v>
      </c>
      <c r="P630" s="12">
        <f t="shared" si="100"/>
        <v>1.8785601745243685E-3</v>
      </c>
      <c r="Q630" s="12">
        <f t="shared" si="101"/>
        <v>-2.624671916010457E-3</v>
      </c>
      <c r="R630" s="12">
        <f t="shared" si="102"/>
        <v>-1.3962765957446832E-2</v>
      </c>
      <c r="S630" s="12">
        <f t="shared" si="103"/>
        <v>1.0582448017857793E-2</v>
      </c>
      <c r="T630" s="12">
        <f t="shared" si="104"/>
        <v>6.0851926977687487E-3</v>
      </c>
      <c r="U630" s="12">
        <f t="shared" si="105"/>
        <v>-5.5116428113651805E-3</v>
      </c>
      <c r="V630" s="12">
        <f t="shared" si="106"/>
        <v>-1.9477347661497113E-2</v>
      </c>
      <c r="W630" s="12">
        <f t="shared" si="107"/>
        <v>3.0221788934925442E-3</v>
      </c>
      <c r="X630" s="12">
        <f t="shared" si="108"/>
        <v>6.7220245156189851E-3</v>
      </c>
      <c r="Y630" s="12">
        <f t="shared" si="109"/>
        <v>1.4346029872429167E-2</v>
      </c>
    </row>
    <row r="631" spans="1:25" x14ac:dyDescent="0.35">
      <c r="A631" s="6">
        <v>45041</v>
      </c>
      <c r="B631" s="8">
        <v>4071.63</v>
      </c>
      <c r="C631" s="2">
        <v>163.77000000000001</v>
      </c>
      <c r="D631" s="2">
        <v>125.89</v>
      </c>
      <c r="E631" s="2">
        <v>275.42</v>
      </c>
      <c r="F631" s="2">
        <v>491.92</v>
      </c>
      <c r="G631" s="2">
        <v>165.18</v>
      </c>
      <c r="H631" s="2">
        <v>229.59</v>
      </c>
      <c r="I631" s="2">
        <v>156.12</v>
      </c>
      <c r="J631" s="2">
        <v>202.19</v>
      </c>
      <c r="K631" s="2">
        <v>50.52</v>
      </c>
      <c r="L631" s="2">
        <v>218.63</v>
      </c>
      <c r="M631" s="64" t="s">
        <v>77</v>
      </c>
      <c r="N631" s="1"/>
      <c r="O631" s="12">
        <f t="shared" si="99"/>
        <v>-1.5810821263512076E-2</v>
      </c>
      <c r="P631" s="12">
        <f t="shared" si="100"/>
        <v>-9.4356741063328364E-3</v>
      </c>
      <c r="Q631" s="12">
        <f t="shared" si="101"/>
        <v>3.9074960127591929E-3</v>
      </c>
      <c r="R631" s="12">
        <f t="shared" si="102"/>
        <v>-2.2536111012527837E-2</v>
      </c>
      <c r="S631" s="12">
        <f t="shared" si="103"/>
        <v>6.0948173600032796E-3</v>
      </c>
      <c r="T631" s="12">
        <f t="shared" si="104"/>
        <v>9.1642228739003961E-3</v>
      </c>
      <c r="U631" s="12">
        <f t="shared" si="105"/>
        <v>-1.3619178553015976E-2</v>
      </c>
      <c r="V631" s="12">
        <f t="shared" si="106"/>
        <v>-2.7834858957593855E-2</v>
      </c>
      <c r="W631" s="12">
        <f t="shared" si="107"/>
        <v>-1.7398065801623286E-2</v>
      </c>
      <c r="X631" s="12">
        <f t="shared" si="108"/>
        <v>-7.8554595443832698E-3</v>
      </c>
      <c r="Y631" s="12">
        <f t="shared" si="109"/>
        <v>-2.1483238598218768E-2</v>
      </c>
    </row>
    <row r="632" spans="1:25" x14ac:dyDescent="0.35">
      <c r="A632" s="6">
        <v>45042</v>
      </c>
      <c r="B632" s="8">
        <v>4055.99</v>
      </c>
      <c r="C632" s="2">
        <v>163.76</v>
      </c>
      <c r="D632" s="2">
        <v>125.85</v>
      </c>
      <c r="E632" s="2">
        <v>295.37</v>
      </c>
      <c r="F632" s="2">
        <v>482.95</v>
      </c>
      <c r="G632" s="2">
        <v>162.62</v>
      </c>
      <c r="H632" s="2">
        <v>228.15</v>
      </c>
      <c r="I632" s="2">
        <v>155.72</v>
      </c>
      <c r="J632" s="2">
        <v>203.03</v>
      </c>
      <c r="K632" s="2">
        <v>50.3</v>
      </c>
      <c r="L632" s="2">
        <v>216.19</v>
      </c>
      <c r="M632" s="64" t="s">
        <v>77</v>
      </c>
      <c r="N632" s="1"/>
      <c r="O632" s="12">
        <f t="shared" si="99"/>
        <v>-3.8412134697898281E-3</v>
      </c>
      <c r="P632" s="12">
        <f t="shared" si="100"/>
        <v>-6.1061244428284311E-5</v>
      </c>
      <c r="Q632" s="12">
        <f t="shared" si="101"/>
        <v>-3.1773770752252517E-4</v>
      </c>
      <c r="R632" s="12">
        <f t="shared" si="102"/>
        <v>7.2434826809962827E-2</v>
      </c>
      <c r="S632" s="12">
        <f t="shared" si="103"/>
        <v>-1.8234672304439759E-2</v>
      </c>
      <c r="T632" s="12">
        <f t="shared" si="104"/>
        <v>-1.5498244339508416E-2</v>
      </c>
      <c r="U632" s="12">
        <f t="shared" si="105"/>
        <v>-6.2720501764014225E-3</v>
      </c>
      <c r="V632" s="12">
        <f t="shared" si="106"/>
        <v>-2.5621316935691141E-3</v>
      </c>
      <c r="W632" s="12">
        <f t="shared" si="107"/>
        <v>4.154508135911783E-3</v>
      </c>
      <c r="X632" s="12">
        <f t="shared" si="108"/>
        <v>-4.354711005542522E-3</v>
      </c>
      <c r="Y632" s="12">
        <f t="shared" si="109"/>
        <v>-1.1160407995243093E-2</v>
      </c>
    </row>
    <row r="633" spans="1:25" x14ac:dyDescent="0.35">
      <c r="A633" s="6">
        <v>45043</v>
      </c>
      <c r="B633" s="8">
        <v>4135.3500000000004</v>
      </c>
      <c r="C633" s="2">
        <v>168.41</v>
      </c>
      <c r="D633" s="2">
        <v>126.97</v>
      </c>
      <c r="E633" s="2">
        <v>304.83</v>
      </c>
      <c r="F633" s="2">
        <v>490.47</v>
      </c>
      <c r="G633" s="2">
        <v>163</v>
      </c>
      <c r="H633" s="2">
        <v>229.01</v>
      </c>
      <c r="I633" s="2">
        <v>158.44999999999999</v>
      </c>
      <c r="J633" s="2">
        <v>206.04</v>
      </c>
      <c r="K633" s="2">
        <v>50.46</v>
      </c>
      <c r="L633" s="2">
        <v>214.33</v>
      </c>
      <c r="M633" s="64" t="s">
        <v>77</v>
      </c>
      <c r="N633" s="1"/>
      <c r="O633" s="12">
        <f t="shared" si="99"/>
        <v>1.9566123190639217E-2</v>
      </c>
      <c r="P633" s="12">
        <f t="shared" si="100"/>
        <v>2.8395212506106438E-2</v>
      </c>
      <c r="Q633" s="12">
        <f t="shared" si="101"/>
        <v>8.8994835121176674E-3</v>
      </c>
      <c r="R633" s="12">
        <f t="shared" si="102"/>
        <v>3.2027626366929463E-2</v>
      </c>
      <c r="S633" s="12">
        <f t="shared" si="103"/>
        <v>1.5570970079718416E-2</v>
      </c>
      <c r="T633" s="12">
        <f t="shared" si="104"/>
        <v>2.3367359488377648E-3</v>
      </c>
      <c r="U633" s="12">
        <f t="shared" si="105"/>
        <v>3.7694499232960865E-3</v>
      </c>
      <c r="V633" s="12">
        <f t="shared" si="106"/>
        <v>1.7531466735165591E-2</v>
      </c>
      <c r="W633" s="12">
        <f t="shared" si="107"/>
        <v>1.4825395261783836E-2</v>
      </c>
      <c r="X633" s="12">
        <f t="shared" si="108"/>
        <v>3.1809145129224614E-3</v>
      </c>
      <c r="Y633" s="12">
        <f t="shared" si="109"/>
        <v>-8.6035431796104289E-3</v>
      </c>
    </row>
    <row r="634" spans="1:25" x14ac:dyDescent="0.35">
      <c r="A634" s="6">
        <v>45044</v>
      </c>
      <c r="B634" s="8">
        <v>4169.4799999999996</v>
      </c>
      <c r="C634" s="2">
        <v>169.68</v>
      </c>
      <c r="D634" s="2">
        <v>126.41</v>
      </c>
      <c r="E634" s="2">
        <v>307.26</v>
      </c>
      <c r="F634" s="2">
        <v>492.09</v>
      </c>
      <c r="G634" s="2">
        <v>163.69999999999999</v>
      </c>
      <c r="H634" s="2">
        <v>232.73</v>
      </c>
      <c r="I634" s="2">
        <v>161.34</v>
      </c>
      <c r="J634" s="2">
        <v>206.78</v>
      </c>
      <c r="K634" s="2">
        <v>50.32</v>
      </c>
      <c r="L634" s="2">
        <v>218.8</v>
      </c>
      <c r="M634" s="64">
        <v>8.35</v>
      </c>
      <c r="N634" s="1"/>
      <c r="O634" s="12">
        <f t="shared" si="99"/>
        <v>8.2532312863479174E-3</v>
      </c>
      <c r="P634" s="12">
        <f t="shared" si="100"/>
        <v>7.5411198859924866E-3</v>
      </c>
      <c r="Q634" s="12">
        <f t="shared" si="101"/>
        <v>-4.4104906670867638E-3</v>
      </c>
      <c r="R634" s="12">
        <f t="shared" si="102"/>
        <v>7.9716563330380907E-3</v>
      </c>
      <c r="S634" s="12">
        <f t="shared" si="103"/>
        <v>3.3029543091318558E-3</v>
      </c>
      <c r="T634" s="12">
        <f t="shared" si="104"/>
        <v>4.2944785276073372E-3</v>
      </c>
      <c r="U634" s="12">
        <f t="shared" si="105"/>
        <v>1.6243832147067705E-2</v>
      </c>
      <c r="V634" s="12">
        <f t="shared" si="106"/>
        <v>1.8239192174187568E-2</v>
      </c>
      <c r="W634" s="12">
        <f t="shared" si="107"/>
        <v>3.5915356241507101E-3</v>
      </c>
      <c r="X634" s="12">
        <f t="shared" si="108"/>
        <v>-2.7744748315498002E-3</v>
      </c>
      <c r="Y634" s="12">
        <f t="shared" si="109"/>
        <v>2.0855689824103019E-2</v>
      </c>
    </row>
    <row r="635" spans="1:25" x14ac:dyDescent="0.35">
      <c r="A635" s="6">
        <v>45047</v>
      </c>
      <c r="B635" s="8">
        <v>4167.87</v>
      </c>
      <c r="C635" s="2">
        <v>169.59</v>
      </c>
      <c r="D635" s="2">
        <v>126.09</v>
      </c>
      <c r="E635" s="2">
        <v>305.56</v>
      </c>
      <c r="F635" s="2">
        <v>495.7</v>
      </c>
      <c r="G635" s="2">
        <v>163.6</v>
      </c>
      <c r="H635" s="2">
        <v>232.51</v>
      </c>
      <c r="I635" s="2">
        <v>159.32</v>
      </c>
      <c r="J635" s="2">
        <v>203.87</v>
      </c>
      <c r="K635" s="2">
        <v>50.53</v>
      </c>
      <c r="L635" s="2">
        <v>217.27</v>
      </c>
      <c r="M635" s="64" t="s">
        <v>77</v>
      </c>
      <c r="N635" s="1"/>
      <c r="O635" s="12">
        <f t="shared" si="99"/>
        <v>-3.861392787588569E-4</v>
      </c>
      <c r="P635" s="12">
        <f t="shared" si="100"/>
        <v>-5.304101838755626E-4</v>
      </c>
      <c r="Q635" s="12">
        <f t="shared" si="101"/>
        <v>-2.5314452970491841E-3</v>
      </c>
      <c r="R635" s="12">
        <f t="shared" si="102"/>
        <v>-5.5327735468332362E-3</v>
      </c>
      <c r="S635" s="12">
        <f t="shared" si="103"/>
        <v>7.3360564124449468E-3</v>
      </c>
      <c r="T635" s="12">
        <f t="shared" si="104"/>
        <v>-6.108735491753281E-4</v>
      </c>
      <c r="U635" s="12">
        <f t="shared" si="105"/>
        <v>-9.45301422248912E-4</v>
      </c>
      <c r="V635" s="12">
        <f t="shared" si="106"/>
        <v>-1.2520143795710981E-2</v>
      </c>
      <c r="W635" s="12">
        <f t="shared" si="107"/>
        <v>-1.4072927749298803E-2</v>
      </c>
      <c r="X635" s="12">
        <f t="shared" si="108"/>
        <v>4.1732909379967875E-3</v>
      </c>
      <c r="Y635" s="12">
        <f t="shared" si="109"/>
        <v>-6.992687385740437E-3</v>
      </c>
    </row>
    <row r="636" spans="1:25" x14ac:dyDescent="0.35">
      <c r="A636" s="6">
        <v>45048</v>
      </c>
      <c r="B636" s="8">
        <v>4119.58</v>
      </c>
      <c r="C636" s="2">
        <v>168.54</v>
      </c>
      <c r="D636" s="2">
        <v>125.16</v>
      </c>
      <c r="E636" s="2">
        <v>305.41000000000003</v>
      </c>
      <c r="F636" s="2">
        <v>493.39</v>
      </c>
      <c r="G636" s="2">
        <v>165.03</v>
      </c>
      <c r="H636" s="2">
        <v>226.98</v>
      </c>
      <c r="I636" s="2">
        <v>153.25</v>
      </c>
      <c r="J636" s="2">
        <v>203.25</v>
      </c>
      <c r="K636" s="2">
        <v>50.39</v>
      </c>
      <c r="L636" s="2">
        <v>215.15</v>
      </c>
      <c r="M636" s="64" t="s">
        <v>77</v>
      </c>
      <c r="N636" s="1"/>
      <c r="O636" s="12">
        <f t="shared" si="99"/>
        <v>-1.1586253889876552E-2</v>
      </c>
      <c r="P636" s="12">
        <f t="shared" si="100"/>
        <v>-6.1914027949762085E-3</v>
      </c>
      <c r="Q636" s="12">
        <f t="shared" si="101"/>
        <v>-7.3756840352130482E-3</v>
      </c>
      <c r="R636" s="12">
        <f t="shared" si="102"/>
        <v>-4.90901950517042E-4</v>
      </c>
      <c r="S636" s="12">
        <f t="shared" si="103"/>
        <v>-4.6600766592697074E-3</v>
      </c>
      <c r="T636" s="12">
        <f t="shared" si="104"/>
        <v>8.7408312958434653E-3</v>
      </c>
      <c r="U636" s="12">
        <f t="shared" si="105"/>
        <v>-2.3783923272117313E-2</v>
      </c>
      <c r="V636" s="12">
        <f t="shared" si="106"/>
        <v>-3.8099422545819661E-2</v>
      </c>
      <c r="W636" s="12">
        <f t="shared" si="107"/>
        <v>-3.0411536763623737E-3</v>
      </c>
      <c r="X636" s="12">
        <f t="shared" si="108"/>
        <v>-2.7706313081338196E-3</v>
      </c>
      <c r="Y636" s="12">
        <f t="shared" si="109"/>
        <v>-9.7574446541169868E-3</v>
      </c>
    </row>
    <row r="637" spans="1:25" x14ac:dyDescent="0.35">
      <c r="A637" s="6">
        <v>45049</v>
      </c>
      <c r="B637" s="8">
        <v>4090.75</v>
      </c>
      <c r="C637" s="2">
        <v>167.45</v>
      </c>
      <c r="D637" s="2">
        <v>123.45</v>
      </c>
      <c r="E637" s="2">
        <v>304.39999999999998</v>
      </c>
      <c r="F637" s="2">
        <v>489.44</v>
      </c>
      <c r="G637" s="2">
        <v>162.87</v>
      </c>
      <c r="H637" s="2">
        <v>225.98</v>
      </c>
      <c r="I637" s="2">
        <v>152.21</v>
      </c>
      <c r="J637" s="2">
        <v>200.93</v>
      </c>
      <c r="K637" s="2">
        <v>50.21</v>
      </c>
      <c r="L637" s="2">
        <v>215.64</v>
      </c>
      <c r="M637" s="64" t="s">
        <v>77</v>
      </c>
      <c r="N637" s="1"/>
      <c r="O637" s="12">
        <f t="shared" si="99"/>
        <v>-6.9982862330625339E-3</v>
      </c>
      <c r="P637" s="12">
        <f t="shared" si="100"/>
        <v>-6.4673074641035111E-3</v>
      </c>
      <c r="Q637" s="12">
        <f t="shared" si="101"/>
        <v>-1.366251198465962E-2</v>
      </c>
      <c r="R637" s="12">
        <f t="shared" si="102"/>
        <v>-3.3070298942406984E-3</v>
      </c>
      <c r="S637" s="12">
        <f t="shared" si="103"/>
        <v>-8.0058371673523698E-3</v>
      </c>
      <c r="T637" s="12">
        <f t="shared" si="104"/>
        <v>-1.3088529358298517E-2</v>
      </c>
      <c r="U637" s="12">
        <f t="shared" si="105"/>
        <v>-4.4056745087672766E-3</v>
      </c>
      <c r="V637" s="12">
        <f t="shared" si="106"/>
        <v>-6.7862969004893747E-3</v>
      </c>
      <c r="W637" s="12">
        <f t="shared" si="107"/>
        <v>-1.1414514145141386E-2</v>
      </c>
      <c r="X637" s="12">
        <f t="shared" si="108"/>
        <v>-3.572137328835101E-3</v>
      </c>
      <c r="Y637" s="12">
        <f t="shared" si="109"/>
        <v>2.2774808273295921E-3</v>
      </c>
    </row>
    <row r="638" spans="1:25" x14ac:dyDescent="0.35">
      <c r="A638" s="6">
        <v>45050</v>
      </c>
      <c r="B638" s="8">
        <v>4061.22</v>
      </c>
      <c r="C638" s="2">
        <v>165.79</v>
      </c>
      <c r="D638" s="2">
        <v>122.57</v>
      </c>
      <c r="E638" s="2">
        <v>305.41000000000003</v>
      </c>
      <c r="F638" s="2">
        <v>487.28</v>
      </c>
      <c r="G638" s="2">
        <v>162.13</v>
      </c>
      <c r="H638" s="2">
        <v>225.6</v>
      </c>
      <c r="I638" s="2">
        <v>148.81</v>
      </c>
      <c r="J638" s="2">
        <v>197.05</v>
      </c>
      <c r="K638" s="2">
        <v>50.16</v>
      </c>
      <c r="L638" s="2">
        <v>210.38</v>
      </c>
      <c r="M638" s="64" t="s">
        <v>77</v>
      </c>
      <c r="N638" s="1"/>
      <c r="O638" s="12">
        <f t="shared" si="99"/>
        <v>-7.2187251726456569E-3</v>
      </c>
      <c r="P638" s="12">
        <f t="shared" si="100"/>
        <v>-9.9134069871603669E-3</v>
      </c>
      <c r="Q638" s="12">
        <f t="shared" si="101"/>
        <v>-7.1283920615634599E-3</v>
      </c>
      <c r="R638" s="12">
        <f t="shared" si="102"/>
        <v>3.3180026281209862E-3</v>
      </c>
      <c r="S638" s="12">
        <f t="shared" si="103"/>
        <v>-4.4132069303695065E-3</v>
      </c>
      <c r="T638" s="12">
        <f t="shared" si="104"/>
        <v>-4.5435009516793246E-3</v>
      </c>
      <c r="U638" s="12">
        <f t="shared" si="105"/>
        <v>-1.6815647402425027E-3</v>
      </c>
      <c r="V638" s="12">
        <f t="shared" si="106"/>
        <v>-2.233755995006903E-2</v>
      </c>
      <c r="W638" s="12">
        <f t="shared" si="107"/>
        <v>-1.9310207534962376E-2</v>
      </c>
      <c r="X638" s="12">
        <f t="shared" si="108"/>
        <v>-9.9581756622191264E-4</v>
      </c>
      <c r="Y638" s="12">
        <f t="shared" si="109"/>
        <v>-2.439250602856613E-2</v>
      </c>
    </row>
    <row r="639" spans="1:25" x14ac:dyDescent="0.35">
      <c r="A639" s="6">
        <v>45051</v>
      </c>
      <c r="B639" s="8">
        <v>4136.25</v>
      </c>
      <c r="C639" s="2">
        <v>173.57</v>
      </c>
      <c r="D639" s="2">
        <v>123.65</v>
      </c>
      <c r="E639" s="2">
        <v>310.64999999999998</v>
      </c>
      <c r="F639" s="2">
        <v>494.28</v>
      </c>
      <c r="G639" s="2">
        <v>162.68</v>
      </c>
      <c r="H639" s="2">
        <v>231.78</v>
      </c>
      <c r="I639" s="2">
        <v>152.65</v>
      </c>
      <c r="J639" s="2">
        <v>198.34</v>
      </c>
      <c r="K639" s="2">
        <v>50.59</v>
      </c>
      <c r="L639" s="2">
        <v>215.09</v>
      </c>
      <c r="M639" s="64">
        <v>8.35</v>
      </c>
      <c r="N639" s="1"/>
      <c r="O639" s="12">
        <f t="shared" si="99"/>
        <v>1.8474744042430657E-2</v>
      </c>
      <c r="P639" s="12">
        <f t="shared" si="100"/>
        <v>4.6926835152904189E-2</v>
      </c>
      <c r="Q639" s="12">
        <f t="shared" si="101"/>
        <v>8.8112915068940811E-3</v>
      </c>
      <c r="R639" s="12">
        <f t="shared" si="102"/>
        <v>1.7157264005762674E-2</v>
      </c>
      <c r="S639" s="12">
        <f t="shared" si="103"/>
        <v>1.4365457231981571E-2</v>
      </c>
      <c r="T639" s="12">
        <f t="shared" si="104"/>
        <v>3.392339480663642E-3</v>
      </c>
      <c r="U639" s="12">
        <f t="shared" si="105"/>
        <v>2.7393617021276517E-2</v>
      </c>
      <c r="V639" s="12">
        <f t="shared" si="106"/>
        <v>2.5804717424904311E-2</v>
      </c>
      <c r="W639" s="12">
        <f t="shared" si="107"/>
        <v>6.5465617863484926E-3</v>
      </c>
      <c r="X639" s="12">
        <f t="shared" si="108"/>
        <v>8.5725677830943425E-3</v>
      </c>
      <c r="Y639" s="12">
        <f t="shared" si="109"/>
        <v>2.2388059701492491E-2</v>
      </c>
    </row>
    <row r="640" spans="1:25" x14ac:dyDescent="0.35">
      <c r="A640" s="6">
        <v>45054</v>
      </c>
      <c r="B640" s="8">
        <v>4138.12</v>
      </c>
      <c r="C640" s="2">
        <v>173.5</v>
      </c>
      <c r="D640" s="2">
        <v>123.4</v>
      </c>
      <c r="E640" s="2">
        <v>308.64999999999998</v>
      </c>
      <c r="F640" s="2">
        <v>492.62</v>
      </c>
      <c r="G640" s="2">
        <v>162.31</v>
      </c>
      <c r="H640" s="2">
        <v>232.23</v>
      </c>
      <c r="I640" s="2">
        <v>153.04</v>
      </c>
      <c r="J640" s="2">
        <v>197.26</v>
      </c>
      <c r="K640" s="2">
        <v>50.91</v>
      </c>
      <c r="L640" s="2">
        <v>214.79</v>
      </c>
      <c r="M640" s="64" t="s">
        <v>77</v>
      </c>
      <c r="N640" s="1"/>
      <c r="O640" s="12">
        <f t="shared" si="99"/>
        <v>4.5210033242670811E-4</v>
      </c>
      <c r="P640" s="12">
        <f t="shared" si="100"/>
        <v>-4.0329550037443429E-4</v>
      </c>
      <c r="Q640" s="12">
        <f t="shared" si="101"/>
        <v>-2.021835826930829E-3</v>
      </c>
      <c r="R640" s="12">
        <f t="shared" si="102"/>
        <v>-6.4381136327056332E-3</v>
      </c>
      <c r="S640" s="12">
        <f t="shared" si="103"/>
        <v>-3.3584203285585978E-3</v>
      </c>
      <c r="T640" s="12">
        <f t="shared" si="104"/>
        <v>-2.2744037373986226E-3</v>
      </c>
      <c r="U640" s="12">
        <f t="shared" si="105"/>
        <v>1.9414962464405772E-3</v>
      </c>
      <c r="V640" s="12">
        <f t="shared" si="106"/>
        <v>2.5548640681296586E-3</v>
      </c>
      <c r="W640" s="12">
        <f t="shared" si="107"/>
        <v>-5.4451951194918191E-3</v>
      </c>
      <c r="X640" s="12">
        <f t="shared" si="108"/>
        <v>6.3253607432296466E-3</v>
      </c>
      <c r="Y640" s="12">
        <f t="shared" si="109"/>
        <v>-1.3947649821005603E-3</v>
      </c>
    </row>
    <row r="641" spans="1:25" x14ac:dyDescent="0.35">
      <c r="A641" s="6">
        <v>45055</v>
      </c>
      <c r="B641" s="8">
        <v>4119.17</v>
      </c>
      <c r="C641" s="2">
        <v>171.77</v>
      </c>
      <c r="D641" s="2">
        <v>121.17</v>
      </c>
      <c r="E641" s="2">
        <v>307</v>
      </c>
      <c r="F641" s="2">
        <v>490.38</v>
      </c>
      <c r="G641" s="2">
        <v>161.05000000000001</v>
      </c>
      <c r="H641" s="2">
        <v>233.26</v>
      </c>
      <c r="I641" s="2">
        <v>153.38</v>
      </c>
      <c r="J641" s="2">
        <v>201.88</v>
      </c>
      <c r="K641" s="2">
        <v>50.99</v>
      </c>
      <c r="L641" s="2">
        <v>213.49</v>
      </c>
      <c r="M641" s="64" t="s">
        <v>77</v>
      </c>
      <c r="N641" s="1"/>
      <c r="O641" s="12">
        <f t="shared" si="99"/>
        <v>-4.5793742085777911E-3</v>
      </c>
      <c r="P641" s="12">
        <f t="shared" si="100"/>
        <v>-9.9711815561959183E-3</v>
      </c>
      <c r="Q641" s="12">
        <f t="shared" si="101"/>
        <v>-1.807131280388985E-2</v>
      </c>
      <c r="R641" s="12">
        <f t="shared" si="102"/>
        <v>-5.3458610076136948E-3</v>
      </c>
      <c r="S641" s="12">
        <f t="shared" si="103"/>
        <v>-4.5471154236531586E-3</v>
      </c>
      <c r="T641" s="12">
        <f t="shared" si="104"/>
        <v>-7.76292280204538E-3</v>
      </c>
      <c r="U641" s="12">
        <f t="shared" si="105"/>
        <v>4.4352581492486109E-3</v>
      </c>
      <c r="V641" s="12">
        <f t="shared" si="106"/>
        <v>2.2216414009410546E-3</v>
      </c>
      <c r="W641" s="12">
        <f t="shared" si="107"/>
        <v>2.3420865862313622E-2</v>
      </c>
      <c r="X641" s="12">
        <f t="shared" si="108"/>
        <v>1.5714005107052564E-3</v>
      </c>
      <c r="Y641" s="12">
        <f t="shared" si="109"/>
        <v>-6.0524232971739256E-3</v>
      </c>
    </row>
    <row r="642" spans="1:25" x14ac:dyDescent="0.35">
      <c r="A642" s="6">
        <v>45056</v>
      </c>
      <c r="B642" s="8">
        <v>4137.6400000000003</v>
      </c>
      <c r="C642" s="2">
        <v>173.55</v>
      </c>
      <c r="D642" s="2">
        <v>122.02</v>
      </c>
      <c r="E642" s="2">
        <v>312.31</v>
      </c>
      <c r="F642" s="2">
        <v>490.07</v>
      </c>
      <c r="G642" s="2">
        <v>161.65</v>
      </c>
      <c r="H642" s="2">
        <v>231.27</v>
      </c>
      <c r="I642" s="2">
        <v>148.68</v>
      </c>
      <c r="J642" s="2">
        <v>200.84</v>
      </c>
      <c r="K642" s="2">
        <v>50.85</v>
      </c>
      <c r="L642" s="2">
        <v>213.17</v>
      </c>
      <c r="M642" s="64" t="s">
        <v>77</v>
      </c>
      <c r="N642" s="1"/>
      <c r="O642" s="12">
        <f t="shared" si="99"/>
        <v>4.4839130213125689E-3</v>
      </c>
      <c r="P642" s="12">
        <f t="shared" si="100"/>
        <v>1.0362694300518172E-2</v>
      </c>
      <c r="Q642" s="12">
        <f t="shared" si="101"/>
        <v>7.0149376908474892E-3</v>
      </c>
      <c r="R642" s="12">
        <f t="shared" si="102"/>
        <v>1.7296416938110681E-2</v>
      </c>
      <c r="S642" s="12">
        <f t="shared" si="103"/>
        <v>-6.3216281251277096E-4</v>
      </c>
      <c r="T642" s="12">
        <f t="shared" si="104"/>
        <v>3.725551071095845E-3</v>
      </c>
      <c r="U642" s="12">
        <f t="shared" si="105"/>
        <v>-8.5312526794134591E-3</v>
      </c>
      <c r="V642" s="12">
        <f t="shared" si="106"/>
        <v>-3.0642847828921571E-2</v>
      </c>
      <c r="W642" s="12">
        <f t="shared" si="107"/>
        <v>-5.1515751931839882E-3</v>
      </c>
      <c r="X642" s="12">
        <f t="shared" si="108"/>
        <v>-2.745636399294038E-3</v>
      </c>
      <c r="Y642" s="12">
        <f t="shared" si="109"/>
        <v>-1.4988992458664363E-3</v>
      </c>
    </row>
    <row r="643" spans="1:25" x14ac:dyDescent="0.35">
      <c r="A643" s="6">
        <v>45057</v>
      </c>
      <c r="B643" s="8">
        <v>4130.62</v>
      </c>
      <c r="C643" s="2">
        <v>173.75</v>
      </c>
      <c r="D643" s="2">
        <v>120.9</v>
      </c>
      <c r="E643" s="2">
        <v>310.11</v>
      </c>
      <c r="F643" s="2">
        <v>488.76</v>
      </c>
      <c r="G643" s="2">
        <v>160.99</v>
      </c>
      <c r="H643" s="2">
        <v>231.01</v>
      </c>
      <c r="I643" s="2">
        <v>147.99</v>
      </c>
      <c r="J643" s="2">
        <v>201.84</v>
      </c>
      <c r="K643" s="2">
        <v>51.04</v>
      </c>
      <c r="L643" s="2">
        <v>210.03</v>
      </c>
      <c r="M643" s="64" t="s">
        <v>77</v>
      </c>
      <c r="N643" s="1"/>
      <c r="O643" s="12">
        <f t="shared" si="99"/>
        <v>-1.6966193288928677E-3</v>
      </c>
      <c r="P643" s="12">
        <f t="shared" si="100"/>
        <v>1.1524056467875354E-3</v>
      </c>
      <c r="Q643" s="12">
        <f t="shared" si="101"/>
        <v>-9.1788231437468504E-3</v>
      </c>
      <c r="R643" s="12">
        <f t="shared" si="102"/>
        <v>-7.0442829240178195E-3</v>
      </c>
      <c r="S643" s="12">
        <f t="shared" si="103"/>
        <v>-2.6730875181096847E-3</v>
      </c>
      <c r="T643" s="12">
        <f t="shared" si="104"/>
        <v>-4.0828951438292016E-3</v>
      </c>
      <c r="U643" s="12">
        <f t="shared" si="105"/>
        <v>-1.1242270938730536E-3</v>
      </c>
      <c r="V643" s="12">
        <f t="shared" si="106"/>
        <v>-4.6408393866020914E-3</v>
      </c>
      <c r="W643" s="12">
        <f t="shared" si="107"/>
        <v>4.9790878311093412E-3</v>
      </c>
      <c r="X643" s="12">
        <f t="shared" si="108"/>
        <v>3.736479842674445E-3</v>
      </c>
      <c r="Y643" s="12">
        <f t="shared" si="109"/>
        <v>-1.4730027677440471E-2</v>
      </c>
    </row>
    <row r="644" spans="1:25" x14ac:dyDescent="0.35">
      <c r="A644" s="6">
        <v>45058</v>
      </c>
      <c r="B644" s="8">
        <v>4124.08</v>
      </c>
      <c r="C644" s="2">
        <v>172.57</v>
      </c>
      <c r="D644" s="2">
        <v>122.84</v>
      </c>
      <c r="E644" s="2">
        <v>308.97000000000003</v>
      </c>
      <c r="F644" s="2">
        <v>491.23</v>
      </c>
      <c r="G644" s="2">
        <v>160.78</v>
      </c>
      <c r="H644" s="2">
        <v>231.38</v>
      </c>
      <c r="I644" s="2">
        <v>147.93</v>
      </c>
      <c r="J644" s="2">
        <v>200.7</v>
      </c>
      <c r="K644" s="2">
        <v>51.02</v>
      </c>
      <c r="L644" s="2">
        <v>209.54</v>
      </c>
      <c r="M644" s="64">
        <v>8.5500000000000007</v>
      </c>
      <c r="N644" s="1"/>
      <c r="O644" s="12">
        <f t="shared" si="99"/>
        <v>-1.5832974226629437E-3</v>
      </c>
      <c r="P644" s="12">
        <f t="shared" si="100"/>
        <v>-6.7913669064748605E-3</v>
      </c>
      <c r="Q644" s="12">
        <f t="shared" si="101"/>
        <v>1.6046319272125631E-2</v>
      </c>
      <c r="R644" s="12">
        <f t="shared" si="102"/>
        <v>-3.6761149269614046E-3</v>
      </c>
      <c r="S644" s="12">
        <f t="shared" si="103"/>
        <v>5.0536050413292344E-3</v>
      </c>
      <c r="T644" s="12">
        <f t="shared" si="104"/>
        <v>-1.3044288465122733E-3</v>
      </c>
      <c r="U644" s="12">
        <f t="shared" si="105"/>
        <v>1.6016622657029078E-3</v>
      </c>
      <c r="V644" s="12">
        <f t="shared" si="106"/>
        <v>-4.0543279951354982E-4</v>
      </c>
      <c r="W644" s="12">
        <f t="shared" si="107"/>
        <v>-5.6480380499406291E-3</v>
      </c>
      <c r="X644" s="12">
        <f t="shared" si="108"/>
        <v>-3.9184952978044141E-4</v>
      </c>
      <c r="Y644" s="12">
        <f t="shared" si="109"/>
        <v>-2.333000047612277E-3</v>
      </c>
    </row>
    <row r="645" spans="1:25" x14ac:dyDescent="0.35">
      <c r="A645" s="6">
        <v>45061</v>
      </c>
      <c r="B645" s="8">
        <v>4136.28</v>
      </c>
      <c r="C645" s="2">
        <v>172.07</v>
      </c>
      <c r="D645" s="2">
        <v>123.36</v>
      </c>
      <c r="E645" s="2">
        <v>309.45999999999998</v>
      </c>
      <c r="F645" s="2">
        <v>486.86</v>
      </c>
      <c r="G645" s="2">
        <v>159.55000000000001</v>
      </c>
      <c r="H645" s="2">
        <v>232.81</v>
      </c>
      <c r="I645" s="2">
        <v>150</v>
      </c>
      <c r="J645" s="2">
        <v>202.77</v>
      </c>
      <c r="K645" s="2">
        <v>50.63</v>
      </c>
      <c r="L645" s="2">
        <v>211.29</v>
      </c>
      <c r="M645" s="64" t="s">
        <v>77</v>
      </c>
      <c r="N645" s="1"/>
      <c r="O645" s="12">
        <f t="shared" ref="O645:O708" si="110">(B645/B644)-1</f>
        <v>2.958235533743192E-3</v>
      </c>
      <c r="P645" s="12">
        <f t="shared" ref="P645:P708" si="111">(C645/C644)-1</f>
        <v>-2.8973749782696956E-3</v>
      </c>
      <c r="Q645" s="12">
        <f t="shared" ref="Q645:Q708" si="112">(D645/D644)-1</f>
        <v>4.2331488114619731E-3</v>
      </c>
      <c r="R645" s="12">
        <f t="shared" ref="R645:R708" si="113">(E645/E644)-1</f>
        <v>1.5859144900798317E-3</v>
      </c>
      <c r="S645" s="12">
        <f t="shared" ref="S645:S708" si="114">(F645/F644)-1</f>
        <v>-8.896036479856706E-3</v>
      </c>
      <c r="T645" s="12">
        <f t="shared" ref="T645:T708" si="115">(G645/G644)-1</f>
        <v>-7.65020524940907E-3</v>
      </c>
      <c r="U645" s="12">
        <f t="shared" ref="U645:U708" si="116">(H645/H644)-1</f>
        <v>6.1803094476617915E-3</v>
      </c>
      <c r="V645" s="12">
        <f t="shared" ref="V645:V708" si="117">(I645/I644)-1</f>
        <v>1.3993104846887094E-2</v>
      </c>
      <c r="W645" s="12">
        <f t="shared" ref="W645:W708" si="118">(J645/J644)-1</f>
        <v>1.0313901345291532E-2</v>
      </c>
      <c r="X645" s="12">
        <f t="shared" ref="X645:X708" si="119">(K645/K644)-1</f>
        <v>-7.6440611524892788E-3</v>
      </c>
      <c r="Y645" s="12">
        <f t="shared" ref="Y645:Y708" si="120">(L645/L644)-1</f>
        <v>8.3516273742483271E-3</v>
      </c>
    </row>
    <row r="646" spans="1:25" x14ac:dyDescent="0.35">
      <c r="A646" s="6">
        <v>45062</v>
      </c>
      <c r="B646" s="8">
        <v>4109.8999999999996</v>
      </c>
      <c r="C646" s="2">
        <v>172.07</v>
      </c>
      <c r="D646" s="2">
        <v>123.46</v>
      </c>
      <c r="E646" s="2">
        <v>311.74</v>
      </c>
      <c r="F646" s="2">
        <v>479.72</v>
      </c>
      <c r="G646" s="2">
        <v>159.34</v>
      </c>
      <c r="H646" s="2">
        <v>230.47</v>
      </c>
      <c r="I646" s="2">
        <v>148.41</v>
      </c>
      <c r="J646" s="2">
        <v>200.87</v>
      </c>
      <c r="K646" s="2">
        <v>49.93</v>
      </c>
      <c r="L646" s="2">
        <v>207.2</v>
      </c>
      <c r="M646" s="64" t="s">
        <v>77</v>
      </c>
      <c r="N646" s="1"/>
      <c r="O646" s="12">
        <f t="shared" si="110"/>
        <v>-6.3777113735047353E-3</v>
      </c>
      <c r="P646" s="12">
        <f t="shared" si="111"/>
        <v>0</v>
      </c>
      <c r="Q646" s="12">
        <f t="shared" si="112"/>
        <v>8.1063553826199453E-4</v>
      </c>
      <c r="R646" s="12">
        <f t="shared" si="113"/>
        <v>7.367672720222318E-3</v>
      </c>
      <c r="S646" s="12">
        <f t="shared" si="114"/>
        <v>-1.4665406893151989E-2</v>
      </c>
      <c r="T646" s="12">
        <f t="shared" si="115"/>
        <v>-1.3162018176120505E-3</v>
      </c>
      <c r="U646" s="12">
        <f t="shared" si="116"/>
        <v>-1.0051114642841807E-2</v>
      </c>
      <c r="V646" s="12">
        <f t="shared" si="117"/>
        <v>-1.0600000000000054E-2</v>
      </c>
      <c r="W646" s="12">
        <f t="shared" si="118"/>
        <v>-9.3702224194900374E-3</v>
      </c>
      <c r="X646" s="12">
        <f t="shared" si="119"/>
        <v>-1.382579498321157E-2</v>
      </c>
      <c r="Y646" s="12">
        <f t="shared" si="120"/>
        <v>-1.9357281461498399E-2</v>
      </c>
    </row>
    <row r="647" spans="1:25" x14ac:dyDescent="0.35">
      <c r="A647" s="6">
        <v>45063</v>
      </c>
      <c r="B647" s="8">
        <v>4158.7700000000004</v>
      </c>
      <c r="C647" s="2">
        <v>172.69</v>
      </c>
      <c r="D647" s="2">
        <v>125.71</v>
      </c>
      <c r="E647" s="2">
        <v>314</v>
      </c>
      <c r="F647" s="2">
        <v>484.81</v>
      </c>
      <c r="G647" s="2">
        <v>158.99</v>
      </c>
      <c r="H647" s="2">
        <v>232.65</v>
      </c>
      <c r="I647" s="2">
        <v>152.09</v>
      </c>
      <c r="J647" s="2">
        <v>206.87</v>
      </c>
      <c r="K647" s="2">
        <v>49.84</v>
      </c>
      <c r="L647" s="2">
        <v>212.1</v>
      </c>
      <c r="M647" s="64" t="s">
        <v>77</v>
      </c>
      <c r="N647" s="1"/>
      <c r="O647" s="12">
        <f t="shared" si="110"/>
        <v>1.1890800262780221E-2</v>
      </c>
      <c r="P647" s="12">
        <f t="shared" si="111"/>
        <v>3.6031847503923409E-3</v>
      </c>
      <c r="Q647" s="12">
        <f t="shared" si="112"/>
        <v>1.8224526162319732E-2</v>
      </c>
      <c r="R647" s="12">
        <f t="shared" si="113"/>
        <v>7.2496311028420468E-3</v>
      </c>
      <c r="S647" s="12">
        <f t="shared" si="114"/>
        <v>1.0610356041023783E-2</v>
      </c>
      <c r="T647" s="12">
        <f t="shared" si="115"/>
        <v>-2.196560813355064E-3</v>
      </c>
      <c r="U647" s="12">
        <f t="shared" si="116"/>
        <v>9.45893174816681E-3</v>
      </c>
      <c r="V647" s="12">
        <f t="shared" si="117"/>
        <v>2.4796172764638635E-2</v>
      </c>
      <c r="W647" s="12">
        <f t="shared" si="118"/>
        <v>2.9870065216309083E-2</v>
      </c>
      <c r="X647" s="12">
        <f t="shared" si="119"/>
        <v>-1.8025235329460765E-3</v>
      </c>
      <c r="Y647" s="12">
        <f t="shared" si="120"/>
        <v>2.3648648648648685E-2</v>
      </c>
    </row>
    <row r="648" spans="1:25" x14ac:dyDescent="0.35">
      <c r="A648" s="6">
        <v>45064</v>
      </c>
      <c r="B648" s="8">
        <v>4198.05</v>
      </c>
      <c r="C648" s="2">
        <v>175.05</v>
      </c>
      <c r="D648" s="2">
        <v>126.15</v>
      </c>
      <c r="E648" s="2">
        <v>318.52</v>
      </c>
      <c r="F648" s="2">
        <v>479.23</v>
      </c>
      <c r="G648" s="2">
        <v>158.47999999999999</v>
      </c>
      <c r="H648" s="2">
        <v>233.6</v>
      </c>
      <c r="I648" s="2">
        <v>153.47999999999999</v>
      </c>
      <c r="J648" s="2">
        <v>207.24</v>
      </c>
      <c r="K648" s="2">
        <v>50.49</v>
      </c>
      <c r="L648" s="2">
        <v>214.72</v>
      </c>
      <c r="M648" s="64" t="s">
        <v>77</v>
      </c>
      <c r="N648" s="1"/>
      <c r="O648" s="12">
        <f t="shared" si="110"/>
        <v>9.4451003541911049E-3</v>
      </c>
      <c r="P648" s="12">
        <f t="shared" si="111"/>
        <v>1.3666106896751407E-2</v>
      </c>
      <c r="Q648" s="12">
        <f t="shared" si="112"/>
        <v>3.5001193222496951E-3</v>
      </c>
      <c r="R648" s="12">
        <f t="shared" si="113"/>
        <v>1.4394904458598701E-2</v>
      </c>
      <c r="S648" s="12">
        <f t="shared" si="114"/>
        <v>-1.1509663579546636E-2</v>
      </c>
      <c r="T648" s="12">
        <f t="shared" si="115"/>
        <v>-3.2077489150261762E-3</v>
      </c>
      <c r="U648" s="12">
        <f t="shared" si="116"/>
        <v>4.0833870621104218E-3</v>
      </c>
      <c r="V648" s="12">
        <f t="shared" si="117"/>
        <v>9.1393253994345169E-3</v>
      </c>
      <c r="W648" s="12">
        <f t="shared" si="118"/>
        <v>1.7885628655678332E-3</v>
      </c>
      <c r="X648" s="12">
        <f t="shared" si="119"/>
        <v>1.3041733547351386E-2</v>
      </c>
      <c r="Y648" s="12">
        <f t="shared" si="120"/>
        <v>1.2352663837812417E-2</v>
      </c>
    </row>
    <row r="649" spans="1:25" x14ac:dyDescent="0.35">
      <c r="A649" s="6">
        <v>45065</v>
      </c>
      <c r="B649" s="8">
        <v>4191.9799999999996</v>
      </c>
      <c r="C649" s="2">
        <v>175.16</v>
      </c>
      <c r="D649" s="2">
        <v>127.26</v>
      </c>
      <c r="E649" s="2">
        <v>318.33999999999997</v>
      </c>
      <c r="F649" s="2">
        <v>478.82</v>
      </c>
      <c r="G649" s="2">
        <v>158.91</v>
      </c>
      <c r="H649" s="2">
        <v>233.31</v>
      </c>
      <c r="I649" s="2">
        <v>152.94999999999999</v>
      </c>
      <c r="J649" s="2">
        <v>205.49</v>
      </c>
      <c r="K649" s="2">
        <v>49.97</v>
      </c>
      <c r="L649" s="2">
        <v>214.78</v>
      </c>
      <c r="M649" s="64">
        <v>8.75</v>
      </c>
      <c r="N649" s="1"/>
      <c r="O649" s="12">
        <f t="shared" si="110"/>
        <v>-1.445909410321633E-3</v>
      </c>
      <c r="P649" s="12">
        <f t="shared" si="111"/>
        <v>6.2839188803187618E-4</v>
      </c>
      <c r="Q649" s="12">
        <f t="shared" si="112"/>
        <v>8.7990487514864046E-3</v>
      </c>
      <c r="R649" s="12">
        <f t="shared" si="113"/>
        <v>-5.6511365063416363E-4</v>
      </c>
      <c r="S649" s="12">
        <f t="shared" si="114"/>
        <v>-8.5553909396329786E-4</v>
      </c>
      <c r="T649" s="12">
        <f t="shared" si="115"/>
        <v>2.7132761231700719E-3</v>
      </c>
      <c r="U649" s="12">
        <f t="shared" si="116"/>
        <v>-1.2414383561643039E-3</v>
      </c>
      <c r="V649" s="12">
        <f t="shared" si="117"/>
        <v>-3.4532186604118165E-3</v>
      </c>
      <c r="W649" s="12">
        <f t="shared" si="118"/>
        <v>-8.4443157691564963E-3</v>
      </c>
      <c r="X649" s="12">
        <f t="shared" si="119"/>
        <v>-1.0299069122598592E-2</v>
      </c>
      <c r="Y649" s="12">
        <f t="shared" si="120"/>
        <v>2.794336810729714E-4</v>
      </c>
    </row>
    <row r="650" spans="1:25" x14ac:dyDescent="0.35">
      <c r="A650" s="6">
        <v>45068</v>
      </c>
      <c r="B650" s="8">
        <v>4192.63</v>
      </c>
      <c r="C650" s="2">
        <v>174.2</v>
      </c>
      <c r="D650" s="2">
        <v>127.5</v>
      </c>
      <c r="E650" s="2">
        <v>321.18</v>
      </c>
      <c r="F650" s="2">
        <v>480.62</v>
      </c>
      <c r="G650" s="2">
        <v>156.87</v>
      </c>
      <c r="H650" s="2">
        <v>231.28</v>
      </c>
      <c r="I650" s="2">
        <v>155.51</v>
      </c>
      <c r="J650" s="2">
        <v>205.91</v>
      </c>
      <c r="K650" s="2">
        <v>49.53</v>
      </c>
      <c r="L650" s="2">
        <v>214.26</v>
      </c>
      <c r="M650" s="64" t="s">
        <v>77</v>
      </c>
      <c r="N650" s="1"/>
      <c r="O650" s="12">
        <f t="shared" si="110"/>
        <v>1.5505799168891166E-4</v>
      </c>
      <c r="P650" s="12">
        <f t="shared" si="111"/>
        <v>-5.4807033569308494E-3</v>
      </c>
      <c r="Q650" s="12">
        <f t="shared" si="112"/>
        <v>1.885902876001877E-3</v>
      </c>
      <c r="R650" s="12">
        <f t="shared" si="113"/>
        <v>8.9212791355155474E-3</v>
      </c>
      <c r="S650" s="12">
        <f t="shared" si="114"/>
        <v>3.759241468610286E-3</v>
      </c>
      <c r="T650" s="12">
        <f t="shared" si="115"/>
        <v>-1.2837455163299927E-2</v>
      </c>
      <c r="U650" s="12">
        <f t="shared" si="116"/>
        <v>-8.7008700870087052E-3</v>
      </c>
      <c r="V650" s="12">
        <f t="shared" si="117"/>
        <v>1.673749591369722E-2</v>
      </c>
      <c r="W650" s="12">
        <f t="shared" si="118"/>
        <v>2.0438950800525379E-3</v>
      </c>
      <c r="X650" s="12">
        <f t="shared" si="119"/>
        <v>-8.8052831699019229E-3</v>
      </c>
      <c r="Y650" s="12">
        <f t="shared" si="120"/>
        <v>-2.4210820374337416E-3</v>
      </c>
    </row>
    <row r="651" spans="1:25" x14ac:dyDescent="0.35">
      <c r="A651" s="6">
        <v>45069</v>
      </c>
      <c r="B651" s="8">
        <v>4145.58</v>
      </c>
      <c r="C651" s="2">
        <v>171.56</v>
      </c>
      <c r="D651" s="2">
        <v>128.18</v>
      </c>
      <c r="E651" s="2">
        <v>315.26</v>
      </c>
      <c r="F651" s="2">
        <v>479.44</v>
      </c>
      <c r="G651" s="2">
        <v>156.81</v>
      </c>
      <c r="H651" s="2">
        <v>224.58</v>
      </c>
      <c r="I651" s="2">
        <v>152.56</v>
      </c>
      <c r="J651" s="2">
        <v>202.6</v>
      </c>
      <c r="K651" s="2">
        <v>49.44</v>
      </c>
      <c r="L651" s="2">
        <v>212.71</v>
      </c>
      <c r="M651" s="64" t="s">
        <v>77</v>
      </c>
      <c r="N651" s="1"/>
      <c r="O651" s="12">
        <f t="shared" si="110"/>
        <v>-1.1222073018606449E-2</v>
      </c>
      <c r="P651" s="12">
        <f t="shared" si="111"/>
        <v>-1.5154994259471755E-2</v>
      </c>
      <c r="Q651" s="12">
        <f t="shared" si="112"/>
        <v>5.3333333333334121E-3</v>
      </c>
      <c r="R651" s="12">
        <f t="shared" si="113"/>
        <v>-1.8432031882433586E-2</v>
      </c>
      <c r="S651" s="12">
        <f t="shared" si="114"/>
        <v>-2.4551620823103359E-3</v>
      </c>
      <c r="T651" s="12">
        <f t="shared" si="115"/>
        <v>-3.8248231019322176E-4</v>
      </c>
      <c r="U651" s="12">
        <f t="shared" si="116"/>
        <v>-2.8969214804565824E-2</v>
      </c>
      <c r="V651" s="12">
        <f t="shared" si="117"/>
        <v>-1.8969841167770451E-2</v>
      </c>
      <c r="W651" s="12">
        <f t="shared" si="118"/>
        <v>-1.6074984216405186E-2</v>
      </c>
      <c r="X651" s="12">
        <f t="shared" si="119"/>
        <v>-1.8170805572380599E-3</v>
      </c>
      <c r="Y651" s="12">
        <f t="shared" si="120"/>
        <v>-7.2342014375057495E-3</v>
      </c>
    </row>
    <row r="652" spans="1:25" x14ac:dyDescent="0.35">
      <c r="A652" s="6">
        <v>45070</v>
      </c>
      <c r="B652" s="8">
        <v>4115.24</v>
      </c>
      <c r="C652" s="2">
        <v>171.84</v>
      </c>
      <c r="D652" s="2">
        <v>125.68</v>
      </c>
      <c r="E652" s="2">
        <v>313.85000000000002</v>
      </c>
      <c r="F652" s="2">
        <v>480.83</v>
      </c>
      <c r="G652" s="2">
        <v>156.66</v>
      </c>
      <c r="H652" s="2">
        <v>222.25</v>
      </c>
      <c r="I652" s="2">
        <v>150.72</v>
      </c>
      <c r="J652" s="2">
        <v>199.27</v>
      </c>
      <c r="K652" s="2">
        <v>49.21</v>
      </c>
      <c r="L652" s="2">
        <v>209.7</v>
      </c>
      <c r="M652" s="64" t="s">
        <v>77</v>
      </c>
      <c r="N652" s="1"/>
      <c r="O652" s="12">
        <f t="shared" si="110"/>
        <v>-7.3186381640205633E-3</v>
      </c>
      <c r="P652" s="12">
        <f t="shared" si="111"/>
        <v>1.6320820704127659E-3</v>
      </c>
      <c r="Q652" s="12">
        <f t="shared" si="112"/>
        <v>-1.9503822749258881E-2</v>
      </c>
      <c r="R652" s="12">
        <f t="shared" si="113"/>
        <v>-4.4724988898051654E-3</v>
      </c>
      <c r="S652" s="12">
        <f t="shared" si="114"/>
        <v>2.8992157517102601E-3</v>
      </c>
      <c r="T652" s="12">
        <f t="shared" si="115"/>
        <v>-9.5657164721640875E-4</v>
      </c>
      <c r="U652" s="12">
        <f t="shared" si="116"/>
        <v>-1.0374922076765603E-2</v>
      </c>
      <c r="V652" s="12">
        <f t="shared" si="117"/>
        <v>-1.2060828526481382E-2</v>
      </c>
      <c r="W652" s="12">
        <f t="shared" si="118"/>
        <v>-1.6436327739387857E-2</v>
      </c>
      <c r="X652" s="12">
        <f t="shared" si="119"/>
        <v>-4.6521035598704463E-3</v>
      </c>
      <c r="Y652" s="12">
        <f t="shared" si="120"/>
        <v>-1.4150721639791364E-2</v>
      </c>
    </row>
    <row r="653" spans="1:25" x14ac:dyDescent="0.35">
      <c r="A653" s="6">
        <v>45071</v>
      </c>
      <c r="B653" s="8">
        <v>4151.28</v>
      </c>
      <c r="C653" s="2">
        <v>172.99</v>
      </c>
      <c r="D653" s="2">
        <v>126.76</v>
      </c>
      <c r="E653" s="2">
        <v>325.92</v>
      </c>
      <c r="F653" s="2">
        <v>477.7</v>
      </c>
      <c r="G653" s="2">
        <v>154.41</v>
      </c>
      <c r="H653" s="2">
        <v>223.38</v>
      </c>
      <c r="I653" s="2">
        <v>151.08000000000001</v>
      </c>
      <c r="J653" s="2">
        <v>200.87</v>
      </c>
      <c r="K653" s="2">
        <v>48.72</v>
      </c>
      <c r="L653" s="2">
        <v>209.98</v>
      </c>
      <c r="M653" s="64">
        <v>8.61</v>
      </c>
      <c r="N653" s="1"/>
      <c r="O653" s="12">
        <f t="shared" si="110"/>
        <v>8.7576909244662104E-3</v>
      </c>
      <c r="P653" s="12">
        <f t="shared" si="111"/>
        <v>6.6922718808193338E-3</v>
      </c>
      <c r="Q653" s="12">
        <f t="shared" si="112"/>
        <v>8.5932527052832164E-3</v>
      </c>
      <c r="R653" s="12">
        <f t="shared" si="113"/>
        <v>3.8457862036004542E-2</v>
      </c>
      <c r="S653" s="12">
        <f t="shared" si="114"/>
        <v>-6.5095771894432275E-3</v>
      </c>
      <c r="T653" s="12">
        <f t="shared" si="115"/>
        <v>-1.4362313289927209E-2</v>
      </c>
      <c r="U653" s="12">
        <f t="shared" si="116"/>
        <v>5.0843644544431577E-3</v>
      </c>
      <c r="V653" s="12">
        <f t="shared" si="117"/>
        <v>2.3885350318473275E-3</v>
      </c>
      <c r="W653" s="12">
        <f t="shared" si="118"/>
        <v>8.0293069704420184E-3</v>
      </c>
      <c r="X653" s="12">
        <f t="shared" si="119"/>
        <v>-9.957325746799417E-3</v>
      </c>
      <c r="Y653" s="12">
        <f t="shared" si="120"/>
        <v>1.3352408202194077E-3</v>
      </c>
    </row>
    <row r="654" spans="1:25" x14ac:dyDescent="0.35">
      <c r="A654" s="6">
        <v>45072</v>
      </c>
      <c r="B654" s="8">
        <v>4205.45</v>
      </c>
      <c r="C654" s="2">
        <v>175.43</v>
      </c>
      <c r="D654" s="2">
        <v>128.88999999999999</v>
      </c>
      <c r="E654" s="2">
        <v>332.89</v>
      </c>
      <c r="F654" s="2">
        <v>481.52</v>
      </c>
      <c r="G654" s="2">
        <v>154.35</v>
      </c>
      <c r="H654" s="2">
        <v>225.01</v>
      </c>
      <c r="I654" s="2">
        <v>157.24</v>
      </c>
      <c r="J654" s="2">
        <v>203.63</v>
      </c>
      <c r="K654" s="2">
        <v>48.81</v>
      </c>
      <c r="L654" s="2">
        <v>211.8</v>
      </c>
      <c r="M654" s="64" t="s">
        <v>77</v>
      </c>
      <c r="N654" s="1"/>
      <c r="O654" s="12">
        <f t="shared" si="110"/>
        <v>1.3048987300302572E-2</v>
      </c>
      <c r="P654" s="12">
        <f t="shared" si="111"/>
        <v>1.4104861552690862E-2</v>
      </c>
      <c r="Q654" s="12">
        <f t="shared" si="112"/>
        <v>1.6803408015146681E-2</v>
      </c>
      <c r="R654" s="12">
        <f t="shared" si="113"/>
        <v>2.1385616102110871E-2</v>
      </c>
      <c r="S654" s="12">
        <f t="shared" si="114"/>
        <v>7.9966506175424001E-3</v>
      </c>
      <c r="T654" s="12">
        <f t="shared" si="115"/>
        <v>-3.8857586943852329E-4</v>
      </c>
      <c r="U654" s="12">
        <f t="shared" si="116"/>
        <v>7.2969827200286552E-3</v>
      </c>
      <c r="V654" s="12">
        <f t="shared" si="117"/>
        <v>4.0773100344188462E-2</v>
      </c>
      <c r="W654" s="12">
        <f t="shared" si="118"/>
        <v>1.3740229999502196E-2</v>
      </c>
      <c r="X654" s="12">
        <f t="shared" si="119"/>
        <v>1.847290640394128E-3</v>
      </c>
      <c r="Y654" s="12">
        <f t="shared" si="120"/>
        <v>8.6674921421088236E-3</v>
      </c>
    </row>
    <row r="655" spans="1:25" x14ac:dyDescent="0.35">
      <c r="A655" s="6">
        <v>45076</v>
      </c>
      <c r="B655" s="8">
        <v>4205.5200000000004</v>
      </c>
      <c r="C655" s="2">
        <v>177.3</v>
      </c>
      <c r="D655" s="2">
        <v>129.47999999999999</v>
      </c>
      <c r="E655" s="2">
        <v>331.21</v>
      </c>
      <c r="F655" s="2">
        <v>479.85</v>
      </c>
      <c r="G655" s="2">
        <v>154.37</v>
      </c>
      <c r="H655" s="2">
        <v>221.64</v>
      </c>
      <c r="I655" s="2">
        <v>158.01</v>
      </c>
      <c r="J655" s="2">
        <v>204.69</v>
      </c>
      <c r="K655" s="2">
        <v>48.69</v>
      </c>
      <c r="L655" s="2">
        <v>209.9</v>
      </c>
      <c r="M655" s="64" t="s">
        <v>77</v>
      </c>
      <c r="N655" s="1"/>
      <c r="O655" s="12">
        <f t="shared" si="110"/>
        <v>1.6645067709930572E-5</v>
      </c>
      <c r="P655" s="12">
        <f t="shared" si="111"/>
        <v>1.0659522316593506E-2</v>
      </c>
      <c r="Q655" s="12">
        <f t="shared" si="112"/>
        <v>4.5775467452866536E-3</v>
      </c>
      <c r="R655" s="12">
        <f t="shared" si="113"/>
        <v>-5.0467121271291493E-3</v>
      </c>
      <c r="S655" s="12">
        <f t="shared" si="114"/>
        <v>-3.4681840837347266E-3</v>
      </c>
      <c r="T655" s="12">
        <f t="shared" si="115"/>
        <v>1.2957563977988862E-4</v>
      </c>
      <c r="U655" s="12">
        <f t="shared" si="116"/>
        <v>-1.4977112128349845E-2</v>
      </c>
      <c r="V655" s="12">
        <f t="shared" si="117"/>
        <v>4.8969727804628604E-3</v>
      </c>
      <c r="W655" s="12">
        <f t="shared" si="118"/>
        <v>5.2055198153513338E-3</v>
      </c>
      <c r="X655" s="12">
        <f t="shared" si="119"/>
        <v>-2.4585125998771717E-3</v>
      </c>
      <c r="Y655" s="12">
        <f t="shared" si="120"/>
        <v>-8.9707271010387446E-3</v>
      </c>
    </row>
    <row r="656" spans="1:25" x14ac:dyDescent="0.35">
      <c r="A656" s="6">
        <v>45077</v>
      </c>
      <c r="B656" s="8">
        <v>4179.83</v>
      </c>
      <c r="C656" s="2">
        <v>177.25</v>
      </c>
      <c r="D656" s="2">
        <v>128.59</v>
      </c>
      <c r="E656" s="2">
        <v>328.39</v>
      </c>
      <c r="F656" s="2">
        <v>487.24</v>
      </c>
      <c r="G656" s="2">
        <v>155.06</v>
      </c>
      <c r="H656" s="2">
        <v>221.03</v>
      </c>
      <c r="I656" s="2">
        <v>158.56</v>
      </c>
      <c r="J656" s="2">
        <v>205.7</v>
      </c>
      <c r="K656" s="2">
        <v>48.96</v>
      </c>
      <c r="L656" s="2">
        <v>205.75</v>
      </c>
      <c r="M656" s="64" t="s">
        <v>77</v>
      </c>
      <c r="N656" s="1"/>
      <c r="O656" s="12">
        <f t="shared" si="110"/>
        <v>-6.1086381707852189E-3</v>
      </c>
      <c r="P656" s="12">
        <f t="shared" si="111"/>
        <v>-2.8200789622112588E-4</v>
      </c>
      <c r="Q656" s="12">
        <f t="shared" si="112"/>
        <v>-6.873648439913449E-3</v>
      </c>
      <c r="R656" s="12">
        <f t="shared" si="113"/>
        <v>-8.514235681289839E-3</v>
      </c>
      <c r="S656" s="12">
        <f t="shared" si="114"/>
        <v>1.5400646035219401E-2</v>
      </c>
      <c r="T656" s="12">
        <f t="shared" si="115"/>
        <v>4.469780397745593E-3</v>
      </c>
      <c r="U656" s="12">
        <f t="shared" si="116"/>
        <v>-2.7522107922757222E-3</v>
      </c>
      <c r="V656" s="12">
        <f t="shared" si="117"/>
        <v>3.480792354914275E-3</v>
      </c>
      <c r="W656" s="12">
        <f t="shared" si="118"/>
        <v>4.9342908788900797E-3</v>
      </c>
      <c r="X656" s="12">
        <f t="shared" si="119"/>
        <v>5.5452865064695711E-3</v>
      </c>
      <c r="Y656" s="12">
        <f t="shared" si="120"/>
        <v>-1.9771319676036181E-2</v>
      </c>
    </row>
    <row r="657" spans="1:25" x14ac:dyDescent="0.35">
      <c r="A657" s="6">
        <v>45078</v>
      </c>
      <c r="B657" s="8">
        <v>4221.0200000000004</v>
      </c>
      <c r="C657" s="2">
        <v>180.09</v>
      </c>
      <c r="D657" s="2">
        <v>129.82</v>
      </c>
      <c r="E657" s="2">
        <v>332.58</v>
      </c>
      <c r="F657" s="2">
        <v>493.63</v>
      </c>
      <c r="G657" s="2">
        <v>154.54</v>
      </c>
      <c r="H657" s="2">
        <v>226.5</v>
      </c>
      <c r="I657" s="2">
        <v>162.72</v>
      </c>
      <c r="J657" s="2">
        <v>207.96</v>
      </c>
      <c r="K657" s="2">
        <v>49.14</v>
      </c>
      <c r="L657" s="2">
        <v>209.07</v>
      </c>
      <c r="M657" s="64" t="s">
        <v>77</v>
      </c>
      <c r="N657" s="1"/>
      <c r="O657" s="12">
        <f t="shared" si="110"/>
        <v>9.8544677654355262E-3</v>
      </c>
      <c r="P657" s="12">
        <f t="shared" si="111"/>
        <v>1.6022566995768761E-2</v>
      </c>
      <c r="Q657" s="12">
        <f t="shared" si="112"/>
        <v>9.565285014386804E-3</v>
      </c>
      <c r="R657" s="12">
        <f t="shared" si="113"/>
        <v>1.2759219221048168E-2</v>
      </c>
      <c r="S657" s="12">
        <f t="shared" si="114"/>
        <v>1.3114686807322862E-2</v>
      </c>
      <c r="T657" s="12">
        <f t="shared" si="115"/>
        <v>-3.3535405649426364E-3</v>
      </c>
      <c r="U657" s="12">
        <f t="shared" si="116"/>
        <v>2.4747771795683882E-2</v>
      </c>
      <c r="V657" s="12">
        <f t="shared" si="117"/>
        <v>2.6236125126135157E-2</v>
      </c>
      <c r="W657" s="12">
        <f t="shared" si="118"/>
        <v>1.0986874088478427E-2</v>
      </c>
      <c r="X657" s="12">
        <f t="shared" si="119"/>
        <v>3.6764705882352811E-3</v>
      </c>
      <c r="Y657" s="12">
        <f t="shared" si="120"/>
        <v>1.6136087484811545E-2</v>
      </c>
    </row>
    <row r="658" spans="1:25" x14ac:dyDescent="0.35">
      <c r="A658" s="6">
        <v>45079</v>
      </c>
      <c r="B658" s="8">
        <v>4282.37</v>
      </c>
      <c r="C658" s="2">
        <v>180.95</v>
      </c>
      <c r="D658" s="2">
        <v>132.41999999999999</v>
      </c>
      <c r="E658" s="2">
        <v>335.4</v>
      </c>
      <c r="F658" s="2">
        <v>499.58</v>
      </c>
      <c r="G658" s="2">
        <v>156.97</v>
      </c>
      <c r="H658" s="2">
        <v>228.79</v>
      </c>
      <c r="I658" s="2">
        <v>168.56</v>
      </c>
      <c r="J658" s="2">
        <v>213.32</v>
      </c>
      <c r="K658" s="2">
        <v>49.61</v>
      </c>
      <c r="L658" s="2">
        <v>226.63</v>
      </c>
      <c r="M658" s="64">
        <v>9.25</v>
      </c>
      <c r="N658" s="1"/>
      <c r="O658" s="12">
        <f t="shared" si="110"/>
        <v>1.4534401637518846E-2</v>
      </c>
      <c r="P658" s="12">
        <f t="shared" si="111"/>
        <v>4.7753900827363083E-3</v>
      </c>
      <c r="Q658" s="12">
        <f t="shared" si="112"/>
        <v>2.0027730704051727E-2</v>
      </c>
      <c r="R658" s="12">
        <f t="shared" si="113"/>
        <v>8.4791629081724107E-3</v>
      </c>
      <c r="S658" s="12">
        <f t="shared" si="114"/>
        <v>1.2053562384782168E-2</v>
      </c>
      <c r="T658" s="12">
        <f t="shared" si="115"/>
        <v>1.5724084379448833E-2</v>
      </c>
      <c r="U658" s="12">
        <f t="shared" si="116"/>
        <v>1.0110375275938166E-2</v>
      </c>
      <c r="V658" s="12">
        <f t="shared" si="117"/>
        <v>3.5889872173058057E-2</v>
      </c>
      <c r="W658" s="12">
        <f t="shared" si="118"/>
        <v>2.5774187343719834E-2</v>
      </c>
      <c r="X658" s="12">
        <f t="shared" si="119"/>
        <v>9.5645095645096045E-3</v>
      </c>
      <c r="Y658" s="12">
        <f t="shared" si="120"/>
        <v>8.3991007796431871E-2</v>
      </c>
    </row>
    <row r="659" spans="1:25" x14ac:dyDescent="0.35">
      <c r="A659" s="6">
        <v>45082</v>
      </c>
      <c r="B659" s="8">
        <v>4273.79</v>
      </c>
      <c r="C659" s="2">
        <v>179.58</v>
      </c>
      <c r="D659" s="2">
        <v>132.63999999999999</v>
      </c>
      <c r="E659" s="2">
        <v>335.94</v>
      </c>
      <c r="F659" s="2">
        <v>498.19</v>
      </c>
      <c r="G659" s="2">
        <v>158.32</v>
      </c>
      <c r="H659" s="2">
        <v>226.77</v>
      </c>
      <c r="I659" s="2">
        <v>167.43</v>
      </c>
      <c r="J659" s="2">
        <v>208.78</v>
      </c>
      <c r="K659" s="2">
        <v>49.93</v>
      </c>
      <c r="L659" s="2">
        <v>222.47</v>
      </c>
      <c r="M659" s="64" t="s">
        <v>77</v>
      </c>
      <c r="N659" s="1"/>
      <c r="O659" s="12">
        <f t="shared" si="110"/>
        <v>-2.0035634473434261E-3</v>
      </c>
      <c r="P659" s="12">
        <f t="shared" si="111"/>
        <v>-7.5711522520032215E-3</v>
      </c>
      <c r="Q659" s="12">
        <f t="shared" si="112"/>
        <v>1.6613804561245171E-3</v>
      </c>
      <c r="R659" s="12">
        <f t="shared" si="113"/>
        <v>1.610017889087656E-3</v>
      </c>
      <c r="S659" s="12">
        <f t="shared" si="114"/>
        <v>-2.7823371632170746E-3</v>
      </c>
      <c r="T659" s="12">
        <f t="shared" si="115"/>
        <v>8.6003694973562084E-3</v>
      </c>
      <c r="U659" s="12">
        <f t="shared" si="116"/>
        <v>-8.8290572140390378E-3</v>
      </c>
      <c r="V659" s="12">
        <f t="shared" si="117"/>
        <v>-6.703844328428965E-3</v>
      </c>
      <c r="W659" s="12">
        <f t="shared" si="118"/>
        <v>-2.1282580161260056E-2</v>
      </c>
      <c r="X659" s="12">
        <f t="shared" si="119"/>
        <v>6.4503124370087761E-3</v>
      </c>
      <c r="Y659" s="12">
        <f t="shared" si="120"/>
        <v>-1.8355910514936236E-2</v>
      </c>
    </row>
    <row r="660" spans="1:25" x14ac:dyDescent="0.35">
      <c r="A660" s="6">
        <v>45083</v>
      </c>
      <c r="B660" s="8">
        <v>4283.8500000000004</v>
      </c>
      <c r="C660" s="2">
        <v>179.21</v>
      </c>
      <c r="D660" s="2">
        <v>132.69</v>
      </c>
      <c r="E660" s="2">
        <v>333.68</v>
      </c>
      <c r="F660" s="2">
        <v>487.57</v>
      </c>
      <c r="G660" s="2">
        <v>158.18</v>
      </c>
      <c r="H660" s="2">
        <v>228.22</v>
      </c>
      <c r="I660" s="2">
        <v>171.82</v>
      </c>
      <c r="J660" s="2">
        <v>207.29</v>
      </c>
      <c r="K660" s="2">
        <v>49.93</v>
      </c>
      <c r="L660" s="2">
        <v>226.68</v>
      </c>
      <c r="M660" s="64" t="s">
        <v>77</v>
      </c>
      <c r="N660" s="1"/>
      <c r="O660" s="12">
        <f t="shared" si="110"/>
        <v>2.3538826194080542E-3</v>
      </c>
      <c r="P660" s="12">
        <f t="shared" si="111"/>
        <v>-2.0603630693841746E-3</v>
      </c>
      <c r="Q660" s="12">
        <f t="shared" si="112"/>
        <v>3.7696019300370587E-4</v>
      </c>
      <c r="R660" s="12">
        <f t="shared" si="113"/>
        <v>-6.7273917961540031E-3</v>
      </c>
      <c r="S660" s="12">
        <f t="shared" si="114"/>
        <v>-2.1317168148698329E-2</v>
      </c>
      <c r="T660" s="12">
        <f t="shared" si="115"/>
        <v>-8.8428499242032554E-4</v>
      </c>
      <c r="U660" s="12">
        <f t="shared" si="116"/>
        <v>6.3941438461876388E-3</v>
      </c>
      <c r="V660" s="12">
        <f t="shared" si="117"/>
        <v>2.6219912799378742E-2</v>
      </c>
      <c r="W660" s="12">
        <f t="shared" si="118"/>
        <v>-7.1366989175208895E-3</v>
      </c>
      <c r="X660" s="12">
        <f t="shared" si="119"/>
        <v>0</v>
      </c>
      <c r="Y660" s="12">
        <f t="shared" si="120"/>
        <v>1.8923899851665427E-2</v>
      </c>
    </row>
    <row r="661" spans="1:25" x14ac:dyDescent="0.35">
      <c r="A661" s="6">
        <v>45084</v>
      </c>
      <c r="B661" s="8">
        <v>4267.5200000000004</v>
      </c>
      <c r="C661" s="2">
        <v>177.82</v>
      </c>
      <c r="D661" s="2">
        <v>134.38</v>
      </c>
      <c r="E661" s="2">
        <v>323.38</v>
      </c>
      <c r="F661" s="2">
        <v>482.13</v>
      </c>
      <c r="G661" s="2">
        <v>158.52000000000001</v>
      </c>
      <c r="H661" s="2">
        <v>225.27</v>
      </c>
      <c r="I661" s="2">
        <v>171.55</v>
      </c>
      <c r="J661" s="2">
        <v>211.93</v>
      </c>
      <c r="K661" s="2">
        <v>50</v>
      </c>
      <c r="L661" s="2">
        <v>235.55</v>
      </c>
      <c r="M661" s="64" t="s">
        <v>77</v>
      </c>
      <c r="N661" s="1"/>
      <c r="O661" s="12">
        <f t="shared" si="110"/>
        <v>-3.8119915496573897E-3</v>
      </c>
      <c r="P661" s="12">
        <f t="shared" si="111"/>
        <v>-7.7562636013616126E-3</v>
      </c>
      <c r="Q661" s="12">
        <f t="shared" si="112"/>
        <v>1.2736453387595104E-2</v>
      </c>
      <c r="R661" s="12">
        <f t="shared" si="113"/>
        <v>-3.0867897386717802E-2</v>
      </c>
      <c r="S661" s="12">
        <f t="shared" si="114"/>
        <v>-1.1157372274750332E-2</v>
      </c>
      <c r="T661" s="12">
        <f t="shared" si="115"/>
        <v>2.1494499936780542E-3</v>
      </c>
      <c r="U661" s="12">
        <f t="shared" si="116"/>
        <v>-1.292612391552006E-2</v>
      </c>
      <c r="V661" s="12">
        <f t="shared" si="117"/>
        <v>-1.5714119427306938E-3</v>
      </c>
      <c r="W661" s="12">
        <f t="shared" si="118"/>
        <v>2.2384099570649907E-2</v>
      </c>
      <c r="X661" s="12">
        <f t="shared" si="119"/>
        <v>1.4019627478469854E-3</v>
      </c>
      <c r="Y661" s="12">
        <f t="shared" si="120"/>
        <v>3.9130051173460467E-2</v>
      </c>
    </row>
    <row r="662" spans="1:25" x14ac:dyDescent="0.35">
      <c r="A662" s="6">
        <v>45085</v>
      </c>
      <c r="B662" s="8">
        <v>4293.93</v>
      </c>
      <c r="C662" s="2">
        <v>180.57</v>
      </c>
      <c r="D662" s="2">
        <v>134.41</v>
      </c>
      <c r="E662" s="2">
        <v>325.26</v>
      </c>
      <c r="F662" s="2">
        <v>490.23</v>
      </c>
      <c r="G662" s="2">
        <v>160.26</v>
      </c>
      <c r="H662" s="2">
        <v>223.05</v>
      </c>
      <c r="I662" s="2">
        <v>171.14</v>
      </c>
      <c r="J662" s="2">
        <v>218.11</v>
      </c>
      <c r="K662" s="2">
        <v>50.72</v>
      </c>
      <c r="L662" s="2">
        <v>234.45</v>
      </c>
      <c r="M662" s="64" t="s">
        <v>77</v>
      </c>
      <c r="N662" s="1"/>
      <c r="O662" s="12">
        <f t="shared" si="110"/>
        <v>6.1886060287941191E-3</v>
      </c>
      <c r="P662" s="12">
        <f t="shared" si="111"/>
        <v>1.5465077044201969E-2</v>
      </c>
      <c r="Q662" s="12">
        <f t="shared" si="112"/>
        <v>2.2324750706959051E-4</v>
      </c>
      <c r="R662" s="12">
        <f t="shared" si="113"/>
        <v>5.8135939142804904E-3</v>
      </c>
      <c r="S662" s="12">
        <f t="shared" si="114"/>
        <v>1.6800448011947022E-2</v>
      </c>
      <c r="T662" s="12">
        <f t="shared" si="115"/>
        <v>1.097653292959877E-2</v>
      </c>
      <c r="U662" s="12">
        <f t="shared" si="116"/>
        <v>-9.8548408576375479E-3</v>
      </c>
      <c r="V662" s="12">
        <f t="shared" si="117"/>
        <v>-2.3899737685807443E-3</v>
      </c>
      <c r="W662" s="12">
        <f t="shared" si="118"/>
        <v>2.9160571886943876E-2</v>
      </c>
      <c r="X662" s="12">
        <f t="shared" si="119"/>
        <v>1.4399999999999968E-2</v>
      </c>
      <c r="Y662" s="12">
        <f t="shared" si="120"/>
        <v>-4.6699214604118966E-3</v>
      </c>
    </row>
    <row r="663" spans="1:25" x14ac:dyDescent="0.35">
      <c r="A663" s="6">
        <v>45086</v>
      </c>
      <c r="B663" s="8">
        <v>4298.8599999999997</v>
      </c>
      <c r="C663" s="2">
        <v>180.96</v>
      </c>
      <c r="D663" s="2">
        <v>135.30000000000001</v>
      </c>
      <c r="E663" s="2">
        <v>326.79000000000002</v>
      </c>
      <c r="F663" s="2">
        <v>493.62</v>
      </c>
      <c r="G663" s="2">
        <v>160.01</v>
      </c>
      <c r="H663" s="2">
        <v>223.56</v>
      </c>
      <c r="I663" s="2">
        <v>171.72</v>
      </c>
      <c r="J663" s="2">
        <v>217.31</v>
      </c>
      <c r="K663" s="2">
        <v>51.03</v>
      </c>
      <c r="L663" s="2">
        <v>235.03</v>
      </c>
      <c r="M663" s="64">
        <v>9</v>
      </c>
      <c r="N663" s="1"/>
      <c r="O663" s="12">
        <f t="shared" si="110"/>
        <v>1.1481323635922358E-3</v>
      </c>
      <c r="P663" s="12">
        <f t="shared" si="111"/>
        <v>2.1598272138230179E-3</v>
      </c>
      <c r="Q663" s="12">
        <f t="shared" si="112"/>
        <v>6.6215311360762197E-3</v>
      </c>
      <c r="R663" s="12">
        <f t="shared" si="113"/>
        <v>4.7039291643609094E-3</v>
      </c>
      <c r="S663" s="12">
        <f t="shared" si="114"/>
        <v>6.9151214735940769E-3</v>
      </c>
      <c r="T663" s="12">
        <f t="shared" si="115"/>
        <v>-1.5599650567826862E-3</v>
      </c>
      <c r="U663" s="12">
        <f t="shared" si="116"/>
        <v>2.2864828513786684E-3</v>
      </c>
      <c r="V663" s="12">
        <f t="shared" si="117"/>
        <v>3.3890382143275666E-3</v>
      </c>
      <c r="W663" s="12">
        <f t="shared" si="118"/>
        <v>-3.6678740085278605E-3</v>
      </c>
      <c r="X663" s="12">
        <f t="shared" si="119"/>
        <v>6.1119873817034875E-3</v>
      </c>
      <c r="Y663" s="12">
        <f t="shared" si="120"/>
        <v>2.4738750266581899E-3</v>
      </c>
    </row>
    <row r="664" spans="1:25" x14ac:dyDescent="0.35">
      <c r="A664" s="6">
        <v>45089</v>
      </c>
      <c r="B664" s="8">
        <v>4338.93</v>
      </c>
      <c r="C664" s="2">
        <v>183.79</v>
      </c>
      <c r="D664" s="2">
        <v>136.41999999999999</v>
      </c>
      <c r="E664" s="2">
        <v>331.85</v>
      </c>
      <c r="F664" s="2">
        <v>492.59</v>
      </c>
      <c r="G664" s="2">
        <v>159.9</v>
      </c>
      <c r="H664" s="2">
        <v>226.17</v>
      </c>
      <c r="I664" s="2">
        <v>173.64</v>
      </c>
      <c r="J664" s="2">
        <v>221.56</v>
      </c>
      <c r="K664" s="2">
        <v>51.37</v>
      </c>
      <c r="L664" s="2">
        <v>237.9</v>
      </c>
      <c r="M664" s="64" t="s">
        <v>77</v>
      </c>
      <c r="N664" s="1"/>
      <c r="O664" s="12">
        <f t="shared" si="110"/>
        <v>9.3210758201012212E-3</v>
      </c>
      <c r="P664" s="12">
        <f t="shared" si="111"/>
        <v>1.5638815207780654E-2</v>
      </c>
      <c r="Q664" s="12">
        <f t="shared" si="112"/>
        <v>8.2779009608275889E-3</v>
      </c>
      <c r="R664" s="12">
        <f t="shared" si="113"/>
        <v>1.5483949937268537E-2</v>
      </c>
      <c r="S664" s="12">
        <f t="shared" si="114"/>
        <v>-2.0866253393299061E-3</v>
      </c>
      <c r="T664" s="12">
        <f t="shared" si="115"/>
        <v>-6.8745703393524593E-4</v>
      </c>
      <c r="U664" s="12">
        <f t="shared" si="116"/>
        <v>1.1674718196457157E-2</v>
      </c>
      <c r="V664" s="12">
        <f t="shared" si="117"/>
        <v>1.1180992313067684E-2</v>
      </c>
      <c r="W664" s="12">
        <f t="shared" si="118"/>
        <v>1.9557314435598938E-2</v>
      </c>
      <c r="X664" s="12">
        <f t="shared" si="119"/>
        <v>6.6627474034881562E-3</v>
      </c>
      <c r="Y664" s="12">
        <f t="shared" si="120"/>
        <v>1.2211207079947162E-2</v>
      </c>
    </row>
    <row r="665" spans="1:25" x14ac:dyDescent="0.35">
      <c r="A665" s="6">
        <v>45090</v>
      </c>
      <c r="B665" s="8">
        <v>4369.01</v>
      </c>
      <c r="C665" s="2">
        <v>183.31</v>
      </c>
      <c r="D665" s="2">
        <v>137.6</v>
      </c>
      <c r="E665" s="2">
        <v>334.29</v>
      </c>
      <c r="F665" s="2">
        <v>491.31</v>
      </c>
      <c r="G665" s="2">
        <v>160.74</v>
      </c>
      <c r="H665" s="2">
        <v>223.4</v>
      </c>
      <c r="I665" s="2">
        <v>175.14</v>
      </c>
      <c r="J665" s="2">
        <v>220.38</v>
      </c>
      <c r="K665" s="2">
        <v>51.77</v>
      </c>
      <c r="L665" s="2">
        <v>245.44</v>
      </c>
      <c r="M665" s="64" t="s">
        <v>77</v>
      </c>
      <c r="N665" s="1"/>
      <c r="O665" s="12">
        <f t="shared" si="110"/>
        <v>6.9325847616807934E-3</v>
      </c>
      <c r="P665" s="12">
        <f t="shared" si="111"/>
        <v>-2.6116763697697776E-3</v>
      </c>
      <c r="Q665" s="12">
        <f t="shared" si="112"/>
        <v>8.6497580999853607E-3</v>
      </c>
      <c r="R665" s="12">
        <f t="shared" si="113"/>
        <v>7.3527196022298291E-3</v>
      </c>
      <c r="S665" s="12">
        <f t="shared" si="114"/>
        <v>-2.5985099169694159E-3</v>
      </c>
      <c r="T665" s="12">
        <f t="shared" si="115"/>
        <v>5.2532833020637604E-3</v>
      </c>
      <c r="U665" s="12">
        <f t="shared" si="116"/>
        <v>-1.2247424503691873E-2</v>
      </c>
      <c r="V665" s="12">
        <f t="shared" si="117"/>
        <v>8.6385625431928403E-3</v>
      </c>
      <c r="W665" s="12">
        <f t="shared" si="118"/>
        <v>-5.3258710958656863E-3</v>
      </c>
      <c r="X665" s="12">
        <f t="shared" si="119"/>
        <v>7.7866459022777335E-3</v>
      </c>
      <c r="Y665" s="12">
        <f t="shared" si="120"/>
        <v>3.1693989071038153E-2</v>
      </c>
    </row>
    <row r="666" spans="1:25" x14ac:dyDescent="0.35">
      <c r="A666" s="6">
        <v>45091</v>
      </c>
      <c r="B666" s="8">
        <v>4372.59</v>
      </c>
      <c r="C666" s="2">
        <v>183.95</v>
      </c>
      <c r="D666" s="2">
        <v>137.19999999999999</v>
      </c>
      <c r="E666" s="2">
        <v>337.34</v>
      </c>
      <c r="F666" s="2">
        <v>459.86</v>
      </c>
      <c r="G666" s="2">
        <v>161.56</v>
      </c>
      <c r="H666" s="2">
        <v>223.44</v>
      </c>
      <c r="I666" s="2">
        <v>174.47</v>
      </c>
      <c r="J666" s="2">
        <v>216.9</v>
      </c>
      <c r="K666" s="2">
        <v>52.29</v>
      </c>
      <c r="L666" s="2">
        <v>243.32</v>
      </c>
      <c r="M666" s="64" t="s">
        <v>77</v>
      </c>
      <c r="N666" s="1"/>
      <c r="O666" s="12">
        <f t="shared" si="110"/>
        <v>8.1940760034870941E-4</v>
      </c>
      <c r="P666" s="12">
        <f t="shared" si="111"/>
        <v>3.4913534449838579E-3</v>
      </c>
      <c r="Q666" s="12">
        <f t="shared" si="112"/>
        <v>-2.9069767441860517E-3</v>
      </c>
      <c r="R666" s="12">
        <f t="shared" si="113"/>
        <v>9.1238146519487806E-3</v>
      </c>
      <c r="S666" s="12">
        <f t="shared" si="114"/>
        <v>-6.401253790885586E-2</v>
      </c>
      <c r="T666" s="12">
        <f t="shared" si="115"/>
        <v>5.1014059972627201E-3</v>
      </c>
      <c r="U666" s="12">
        <f t="shared" si="116"/>
        <v>1.790510295434089E-4</v>
      </c>
      <c r="V666" s="12">
        <f t="shared" si="117"/>
        <v>-3.8255110197555897E-3</v>
      </c>
      <c r="W666" s="12">
        <f t="shared" si="118"/>
        <v>-1.5790906615845257E-2</v>
      </c>
      <c r="X666" s="12">
        <f t="shared" si="119"/>
        <v>1.0044427274483292E-2</v>
      </c>
      <c r="Y666" s="12">
        <f t="shared" si="120"/>
        <v>-8.6375488917862508E-3</v>
      </c>
    </row>
    <row r="667" spans="1:25" x14ac:dyDescent="0.35">
      <c r="A667" s="6">
        <v>45092</v>
      </c>
      <c r="B667" s="8">
        <v>4425.84</v>
      </c>
      <c r="C667" s="2">
        <v>186.01</v>
      </c>
      <c r="D667" s="2">
        <v>138.4</v>
      </c>
      <c r="E667" s="2">
        <v>348.1</v>
      </c>
      <c r="F667" s="2">
        <v>465.89</v>
      </c>
      <c r="G667" s="2">
        <v>163.72999999999999</v>
      </c>
      <c r="H667" s="2">
        <v>226.17</v>
      </c>
      <c r="I667" s="2">
        <v>173.81</v>
      </c>
      <c r="J667" s="2">
        <v>219.41</v>
      </c>
      <c r="K667" s="2">
        <v>52.58</v>
      </c>
      <c r="L667" s="2">
        <v>247.67</v>
      </c>
      <c r="M667" s="64" t="s">
        <v>77</v>
      </c>
      <c r="N667" s="1"/>
      <c r="O667" s="12">
        <f t="shared" si="110"/>
        <v>1.2178136985173449E-2</v>
      </c>
      <c r="P667" s="12">
        <f t="shared" si="111"/>
        <v>1.1198695297635286E-2</v>
      </c>
      <c r="Q667" s="12">
        <f t="shared" si="112"/>
        <v>8.7463556851312685E-3</v>
      </c>
      <c r="R667" s="12">
        <f t="shared" si="113"/>
        <v>3.189660283393625E-2</v>
      </c>
      <c r="S667" s="12">
        <f t="shared" si="114"/>
        <v>1.3112686469795021E-2</v>
      </c>
      <c r="T667" s="12">
        <f t="shared" si="115"/>
        <v>1.3431542461005197E-2</v>
      </c>
      <c r="U667" s="12">
        <f t="shared" si="116"/>
        <v>1.2218045112782017E-2</v>
      </c>
      <c r="V667" s="12">
        <f t="shared" si="117"/>
        <v>-3.7828853097953141E-3</v>
      </c>
      <c r="W667" s="12">
        <f t="shared" si="118"/>
        <v>1.1572153065928958E-2</v>
      </c>
      <c r="X667" s="12">
        <f t="shared" si="119"/>
        <v>5.5459934978006054E-3</v>
      </c>
      <c r="Y667" s="12">
        <f t="shared" si="120"/>
        <v>1.7877691928324779E-2</v>
      </c>
    </row>
    <row r="668" spans="1:25" x14ac:dyDescent="0.35">
      <c r="A668" s="6">
        <v>45093</v>
      </c>
      <c r="B668" s="8">
        <v>4409.59</v>
      </c>
      <c r="C668" s="2">
        <v>184.92</v>
      </c>
      <c r="D668" s="2">
        <v>137.47999999999999</v>
      </c>
      <c r="E668" s="2">
        <v>342.33</v>
      </c>
      <c r="F668" s="2">
        <v>458.49</v>
      </c>
      <c r="G668" s="2">
        <v>164.23</v>
      </c>
      <c r="H668" s="2">
        <v>228.91</v>
      </c>
      <c r="I668" s="2">
        <v>172.21</v>
      </c>
      <c r="J668" s="2">
        <v>219.99</v>
      </c>
      <c r="K668" s="2">
        <v>51.84</v>
      </c>
      <c r="L668" s="2">
        <v>245.27</v>
      </c>
      <c r="M668" s="64">
        <v>8.9</v>
      </c>
      <c r="N668" s="1"/>
      <c r="O668" s="12">
        <f t="shared" si="110"/>
        <v>-3.6716193988033385E-3</v>
      </c>
      <c r="P668" s="12">
        <f t="shared" si="111"/>
        <v>-5.8599000053760619E-3</v>
      </c>
      <c r="Q668" s="12">
        <f t="shared" si="112"/>
        <v>-6.6473988439307297E-3</v>
      </c>
      <c r="R668" s="12">
        <f t="shared" si="113"/>
        <v>-1.6575696638897019E-2</v>
      </c>
      <c r="S668" s="12">
        <f t="shared" si="114"/>
        <v>-1.588357766854831E-2</v>
      </c>
      <c r="T668" s="12">
        <f t="shared" si="115"/>
        <v>3.0538080986990401E-3</v>
      </c>
      <c r="U668" s="12">
        <f t="shared" si="116"/>
        <v>1.211478091700946E-2</v>
      </c>
      <c r="V668" s="12">
        <f t="shared" si="117"/>
        <v>-9.2054542316322152E-3</v>
      </c>
      <c r="W668" s="12">
        <f t="shared" si="118"/>
        <v>2.6434528964041082E-3</v>
      </c>
      <c r="X668" s="12">
        <f t="shared" si="119"/>
        <v>-1.4073792316469991E-2</v>
      </c>
      <c r="Y668" s="12">
        <f t="shared" si="120"/>
        <v>-9.6903137239067183E-3</v>
      </c>
    </row>
    <row r="669" spans="1:25" x14ac:dyDescent="0.35">
      <c r="A669" s="6">
        <v>45097</v>
      </c>
      <c r="B669" s="8">
        <v>4388.71</v>
      </c>
      <c r="C669" s="2">
        <v>185.01</v>
      </c>
      <c r="D669" s="2">
        <v>135.96</v>
      </c>
      <c r="E669" s="2">
        <v>338.05</v>
      </c>
      <c r="F669" s="2">
        <v>469.39</v>
      </c>
      <c r="G669" s="2">
        <v>164.13</v>
      </c>
      <c r="H669" s="2">
        <v>226.47</v>
      </c>
      <c r="I669" s="2">
        <v>169.41</v>
      </c>
      <c r="J669" s="2">
        <v>212.37</v>
      </c>
      <c r="K669" s="2">
        <v>51.39</v>
      </c>
      <c r="L669" s="2">
        <v>241.15</v>
      </c>
      <c r="M669" s="64" t="s">
        <v>77</v>
      </c>
      <c r="N669" s="1"/>
      <c r="O669" s="12">
        <f t="shared" si="110"/>
        <v>-4.7351341054383544E-3</v>
      </c>
      <c r="P669" s="12">
        <f t="shared" si="111"/>
        <v>4.866969500325613E-4</v>
      </c>
      <c r="Q669" s="12">
        <f t="shared" si="112"/>
        <v>-1.1056153622344911E-2</v>
      </c>
      <c r="R669" s="12">
        <f t="shared" si="113"/>
        <v>-1.2502556013203603E-2</v>
      </c>
      <c r="S669" s="12">
        <f t="shared" si="114"/>
        <v>2.3773691901677108E-2</v>
      </c>
      <c r="T669" s="12">
        <f t="shared" si="115"/>
        <v>-6.0890214942455057E-4</v>
      </c>
      <c r="U669" s="12">
        <f t="shared" si="116"/>
        <v>-1.0659211043641648E-2</v>
      </c>
      <c r="V669" s="12">
        <f t="shared" si="117"/>
        <v>-1.6259218396144304E-2</v>
      </c>
      <c r="W669" s="12">
        <f t="shared" si="118"/>
        <v>-3.4637938088094899E-2</v>
      </c>
      <c r="X669" s="12">
        <f t="shared" si="119"/>
        <v>-8.6805555555555802E-3</v>
      </c>
      <c r="Y669" s="12">
        <f t="shared" si="120"/>
        <v>-1.6797814653239262E-2</v>
      </c>
    </row>
    <row r="670" spans="1:25" x14ac:dyDescent="0.35">
      <c r="A670" s="6">
        <v>45098</v>
      </c>
      <c r="B670" s="8">
        <v>4365.6899999999996</v>
      </c>
      <c r="C670" s="2">
        <v>183.96</v>
      </c>
      <c r="D670" s="2">
        <v>133.69</v>
      </c>
      <c r="E670" s="2">
        <v>333.56</v>
      </c>
      <c r="F670" s="2">
        <v>476.75</v>
      </c>
      <c r="G670" s="2">
        <v>163.88</v>
      </c>
      <c r="H670" s="2">
        <v>227.25</v>
      </c>
      <c r="I670" s="2">
        <v>167.92</v>
      </c>
      <c r="J670" s="2">
        <v>212.08</v>
      </c>
      <c r="K670" s="2">
        <v>51.49</v>
      </c>
      <c r="L670" s="2">
        <v>241.48</v>
      </c>
      <c r="M670" s="64" t="s">
        <v>77</v>
      </c>
      <c r="N670" s="1"/>
      <c r="O670" s="12">
        <f t="shared" si="110"/>
        <v>-5.245277085977551E-3</v>
      </c>
      <c r="P670" s="12">
        <f t="shared" si="111"/>
        <v>-5.6753688989783502E-3</v>
      </c>
      <c r="Q670" s="12">
        <f t="shared" si="112"/>
        <v>-1.6696087084436706E-2</v>
      </c>
      <c r="R670" s="12">
        <f t="shared" si="113"/>
        <v>-1.3282058867031488E-2</v>
      </c>
      <c r="S670" s="12">
        <f t="shared" si="114"/>
        <v>1.5679925009054241E-2</v>
      </c>
      <c r="T670" s="12">
        <f t="shared" si="115"/>
        <v>-1.5231828428684535E-3</v>
      </c>
      <c r="U670" s="12">
        <f t="shared" si="116"/>
        <v>3.4441647900385064E-3</v>
      </c>
      <c r="V670" s="12">
        <f t="shared" si="117"/>
        <v>-8.795230505873386E-3</v>
      </c>
      <c r="W670" s="12">
        <f t="shared" si="118"/>
        <v>-1.3655412723077021E-3</v>
      </c>
      <c r="X670" s="12">
        <f t="shared" si="119"/>
        <v>1.9459038723488309E-3</v>
      </c>
      <c r="Y670" s="12">
        <f t="shared" si="120"/>
        <v>1.368442877876852E-3</v>
      </c>
    </row>
    <row r="671" spans="1:25" x14ac:dyDescent="0.35">
      <c r="A671" s="6">
        <v>45099</v>
      </c>
      <c r="B671" s="8">
        <v>4381.8900000000003</v>
      </c>
      <c r="C671" s="2">
        <v>187</v>
      </c>
      <c r="D671" s="2">
        <v>131.16999999999999</v>
      </c>
      <c r="E671" s="2">
        <v>339.71</v>
      </c>
      <c r="F671" s="2">
        <v>479.05</v>
      </c>
      <c r="G671" s="2">
        <v>165.62</v>
      </c>
      <c r="H671" s="2">
        <v>228.39</v>
      </c>
      <c r="I671" s="2">
        <v>168.26</v>
      </c>
      <c r="J671" s="2">
        <v>205.61</v>
      </c>
      <c r="K671" s="2">
        <v>51.92</v>
      </c>
      <c r="L671" s="2">
        <v>237.34</v>
      </c>
      <c r="M671" s="64" t="s">
        <v>77</v>
      </c>
      <c r="N671" s="1"/>
      <c r="O671" s="12">
        <f t="shared" si="110"/>
        <v>3.7107536265745811E-3</v>
      </c>
      <c r="P671" s="12">
        <f t="shared" si="111"/>
        <v>1.6525331593824744E-2</v>
      </c>
      <c r="Q671" s="12">
        <f t="shared" si="112"/>
        <v>-1.8849577380507188E-2</v>
      </c>
      <c r="R671" s="12">
        <f t="shared" si="113"/>
        <v>1.8437462525482617E-2</v>
      </c>
      <c r="S671" s="12">
        <f t="shared" si="114"/>
        <v>4.824331410592686E-3</v>
      </c>
      <c r="T671" s="12">
        <f t="shared" si="115"/>
        <v>1.061752501830604E-2</v>
      </c>
      <c r="U671" s="12">
        <f t="shared" si="116"/>
        <v>5.0165016501648729E-3</v>
      </c>
      <c r="V671" s="12">
        <f t="shared" si="117"/>
        <v>2.0247737017626832E-3</v>
      </c>
      <c r="W671" s="12">
        <f t="shared" si="118"/>
        <v>-3.0507355714824547E-2</v>
      </c>
      <c r="X671" s="12">
        <f t="shared" si="119"/>
        <v>8.351136142940474E-3</v>
      </c>
      <c r="Y671" s="12">
        <f t="shared" si="120"/>
        <v>-1.7144276958754312E-2</v>
      </c>
    </row>
    <row r="672" spans="1:25" x14ac:dyDescent="0.35">
      <c r="A672" s="6">
        <v>45100</v>
      </c>
      <c r="B672" s="8">
        <v>4348.33</v>
      </c>
      <c r="C672" s="2">
        <v>186.68</v>
      </c>
      <c r="D672" s="2">
        <v>129.43</v>
      </c>
      <c r="E672" s="2">
        <v>335.02</v>
      </c>
      <c r="F672" s="2">
        <v>477</v>
      </c>
      <c r="G672" s="2">
        <v>165.48</v>
      </c>
      <c r="H672" s="2">
        <v>229.55</v>
      </c>
      <c r="I672" s="2">
        <v>168.07</v>
      </c>
      <c r="J672" s="2">
        <v>205.41</v>
      </c>
      <c r="K672" s="2">
        <v>51.82</v>
      </c>
      <c r="L672" s="2">
        <v>234.44</v>
      </c>
      <c r="M672" s="64" t="s">
        <v>77</v>
      </c>
      <c r="N672" s="1"/>
      <c r="O672" s="12">
        <f t="shared" si="110"/>
        <v>-7.6587956338476371E-3</v>
      </c>
      <c r="P672" s="12">
        <f t="shared" si="111"/>
        <v>-1.7112299465240621E-3</v>
      </c>
      <c r="Q672" s="12">
        <f t="shared" si="112"/>
        <v>-1.3265228329648382E-2</v>
      </c>
      <c r="R672" s="12">
        <f t="shared" si="113"/>
        <v>-1.3805893261899849E-2</v>
      </c>
      <c r="S672" s="12">
        <f t="shared" si="114"/>
        <v>-4.2793027867654709E-3</v>
      </c>
      <c r="T672" s="12">
        <f t="shared" si="115"/>
        <v>-8.453085376163294E-4</v>
      </c>
      <c r="U672" s="12">
        <f t="shared" si="116"/>
        <v>5.0790314812383386E-3</v>
      </c>
      <c r="V672" s="12">
        <f t="shared" si="117"/>
        <v>-1.1292048020919987E-3</v>
      </c>
      <c r="W672" s="12">
        <f t="shared" si="118"/>
        <v>-9.7271533485732142E-4</v>
      </c>
      <c r="X672" s="12">
        <f t="shared" si="119"/>
        <v>-1.9260400616333273E-3</v>
      </c>
      <c r="Y672" s="12">
        <f t="shared" si="120"/>
        <v>-1.2218757900058996E-2</v>
      </c>
    </row>
    <row r="673" spans="1:25" x14ac:dyDescent="0.35">
      <c r="A673" s="6">
        <v>45103</v>
      </c>
      <c r="B673" s="8">
        <v>4328.82</v>
      </c>
      <c r="C673" s="2">
        <v>185.27</v>
      </c>
      <c r="D673" s="2">
        <v>131.34</v>
      </c>
      <c r="E673" s="2">
        <v>328.6</v>
      </c>
      <c r="F673" s="2">
        <v>479.06</v>
      </c>
      <c r="G673" s="2">
        <v>163.63</v>
      </c>
      <c r="H673" s="2">
        <v>226.3</v>
      </c>
      <c r="I673" s="2">
        <v>167.11</v>
      </c>
      <c r="J673" s="2">
        <v>205.58</v>
      </c>
      <c r="K673" s="2">
        <v>51.68</v>
      </c>
      <c r="L673" s="2">
        <v>236.95</v>
      </c>
      <c r="M673" s="64">
        <v>8.8000000000000007</v>
      </c>
      <c r="N673" s="1"/>
      <c r="O673" s="12">
        <f t="shared" si="110"/>
        <v>-4.4867799822001508E-3</v>
      </c>
      <c r="P673" s="12">
        <f t="shared" si="111"/>
        <v>-7.5530319262909762E-3</v>
      </c>
      <c r="Q673" s="12">
        <f t="shared" si="112"/>
        <v>1.475701151201414E-2</v>
      </c>
      <c r="R673" s="12">
        <f t="shared" si="113"/>
        <v>-1.9163035042683907E-2</v>
      </c>
      <c r="S673" s="12">
        <f t="shared" si="114"/>
        <v>4.3186582809224827E-3</v>
      </c>
      <c r="T673" s="12">
        <f t="shared" si="115"/>
        <v>-1.1179598743050523E-2</v>
      </c>
      <c r="U673" s="12">
        <f t="shared" si="116"/>
        <v>-1.4158135482465695E-2</v>
      </c>
      <c r="V673" s="12">
        <f t="shared" si="117"/>
        <v>-5.7119057535549578E-3</v>
      </c>
      <c r="W673" s="12">
        <f t="shared" si="118"/>
        <v>8.2761306654988154E-4</v>
      </c>
      <c r="X673" s="12">
        <f t="shared" si="119"/>
        <v>-2.7016595908915253E-3</v>
      </c>
      <c r="Y673" s="12">
        <f t="shared" si="120"/>
        <v>1.0706364101689125E-2</v>
      </c>
    </row>
    <row r="674" spans="1:25" x14ac:dyDescent="0.35">
      <c r="A674" s="6">
        <v>45104</v>
      </c>
      <c r="B674" s="8">
        <v>4378.41</v>
      </c>
      <c r="C674" s="2">
        <v>188.06</v>
      </c>
      <c r="D674" s="2">
        <v>132.34</v>
      </c>
      <c r="E674" s="2">
        <v>334.57</v>
      </c>
      <c r="F674" s="2">
        <v>482.56</v>
      </c>
      <c r="G674" s="2">
        <v>163.29</v>
      </c>
      <c r="H674" s="2">
        <v>227.34</v>
      </c>
      <c r="I674" s="2">
        <v>168.19</v>
      </c>
      <c r="J674" s="2">
        <v>209.43</v>
      </c>
      <c r="K674" s="2">
        <v>51.5</v>
      </c>
      <c r="L674" s="2">
        <v>240.69</v>
      </c>
      <c r="M674" s="64" t="s">
        <v>77</v>
      </c>
      <c r="N674" s="1"/>
      <c r="O674" s="12">
        <f t="shared" si="110"/>
        <v>1.1455777787018118E-2</v>
      </c>
      <c r="P674" s="12">
        <f t="shared" si="111"/>
        <v>1.5059102930857549E-2</v>
      </c>
      <c r="Q674" s="12">
        <f t="shared" si="112"/>
        <v>7.6138267093039946E-3</v>
      </c>
      <c r="R674" s="12">
        <f t="shared" si="113"/>
        <v>1.8167985392574471E-2</v>
      </c>
      <c r="S674" s="12">
        <f t="shared" si="114"/>
        <v>7.3059741994738747E-3</v>
      </c>
      <c r="T674" s="12">
        <f t="shared" si="115"/>
        <v>-2.0778585833893803E-3</v>
      </c>
      <c r="U674" s="12">
        <f t="shared" si="116"/>
        <v>4.595669465311536E-3</v>
      </c>
      <c r="V674" s="12">
        <f t="shared" si="117"/>
        <v>6.4628089282507961E-3</v>
      </c>
      <c r="W674" s="12">
        <f t="shared" si="118"/>
        <v>1.8727502675357499E-2</v>
      </c>
      <c r="X674" s="12">
        <f t="shared" si="119"/>
        <v>-3.4829721362229504E-3</v>
      </c>
      <c r="Y674" s="12">
        <f t="shared" si="120"/>
        <v>1.5783920658366757E-2</v>
      </c>
    </row>
    <row r="675" spans="1:25" x14ac:dyDescent="0.35">
      <c r="A675" s="6">
        <v>45105</v>
      </c>
      <c r="B675" s="8">
        <v>4376.8599999999997</v>
      </c>
      <c r="C675" s="2">
        <v>189.25</v>
      </c>
      <c r="D675" s="2">
        <v>131.76</v>
      </c>
      <c r="E675" s="2">
        <v>335.85</v>
      </c>
      <c r="F675" s="2">
        <v>474.45</v>
      </c>
      <c r="G675" s="2">
        <v>162.96</v>
      </c>
      <c r="H675" s="2">
        <v>227.96</v>
      </c>
      <c r="I675" s="2">
        <v>169.78</v>
      </c>
      <c r="J675" s="2">
        <v>210.72</v>
      </c>
      <c r="K675" s="2">
        <v>51.78</v>
      </c>
      <c r="L675" s="2">
        <v>241.87</v>
      </c>
      <c r="M675" s="64" t="s">
        <v>77</v>
      </c>
      <c r="N675" s="1"/>
      <c r="O675" s="12">
        <f t="shared" si="110"/>
        <v>-3.5400978894173374E-4</v>
      </c>
      <c r="P675" s="12">
        <f t="shared" si="111"/>
        <v>6.3277677337019167E-3</v>
      </c>
      <c r="Q675" s="12">
        <f t="shared" si="112"/>
        <v>-4.3826507480732024E-3</v>
      </c>
      <c r="R675" s="12">
        <f t="shared" si="113"/>
        <v>3.8258062587799291E-3</v>
      </c>
      <c r="S675" s="12">
        <f t="shared" si="114"/>
        <v>-1.6806200265252036E-2</v>
      </c>
      <c r="T675" s="12">
        <f t="shared" si="115"/>
        <v>-2.0209443321697051E-3</v>
      </c>
      <c r="U675" s="12">
        <f t="shared" si="116"/>
        <v>2.7271927509457949E-3</v>
      </c>
      <c r="V675" s="12">
        <f t="shared" si="117"/>
        <v>9.4535941494737763E-3</v>
      </c>
      <c r="W675" s="12">
        <f t="shared" si="118"/>
        <v>6.159575991978139E-3</v>
      </c>
      <c r="X675" s="12">
        <f t="shared" si="119"/>
        <v>5.4368932038835194E-3</v>
      </c>
      <c r="Y675" s="12">
        <f t="shared" si="120"/>
        <v>4.9025717728199414E-3</v>
      </c>
    </row>
    <row r="676" spans="1:25" x14ac:dyDescent="0.35">
      <c r="A676" s="6">
        <v>45106</v>
      </c>
      <c r="B676" s="8">
        <v>4396.4399999999996</v>
      </c>
      <c r="C676" s="2">
        <v>189.59</v>
      </c>
      <c r="D676" s="2">
        <v>134.06</v>
      </c>
      <c r="E676" s="2">
        <v>335.05</v>
      </c>
      <c r="F676" s="2">
        <v>476.44</v>
      </c>
      <c r="G676" s="2">
        <v>164.1</v>
      </c>
      <c r="H676" s="2">
        <v>234.32</v>
      </c>
      <c r="I676" s="2">
        <v>172.08</v>
      </c>
      <c r="J676" s="2">
        <v>211.83</v>
      </c>
      <c r="K676" s="2">
        <v>51.43</v>
      </c>
      <c r="L676" s="2">
        <v>244.24</v>
      </c>
      <c r="M676" s="64" t="s">
        <v>77</v>
      </c>
      <c r="N676" s="1"/>
      <c r="O676" s="12">
        <f t="shared" si="110"/>
        <v>4.4735266835127518E-3</v>
      </c>
      <c r="P676" s="12">
        <f t="shared" si="111"/>
        <v>1.7965653896960809E-3</v>
      </c>
      <c r="Q676" s="12">
        <f t="shared" si="112"/>
        <v>1.745598057073483E-2</v>
      </c>
      <c r="R676" s="12">
        <f t="shared" si="113"/>
        <v>-2.3820157808546183E-3</v>
      </c>
      <c r="S676" s="12">
        <f t="shared" si="114"/>
        <v>4.1943302771629831E-3</v>
      </c>
      <c r="T676" s="12">
        <f t="shared" si="115"/>
        <v>6.9955817378497542E-3</v>
      </c>
      <c r="U676" s="12">
        <f t="shared" si="116"/>
        <v>2.7899631514300749E-2</v>
      </c>
      <c r="V676" s="12">
        <f t="shared" si="117"/>
        <v>1.3546943102838993E-2</v>
      </c>
      <c r="W676" s="12">
        <f t="shared" si="118"/>
        <v>5.2676537585421013E-3</v>
      </c>
      <c r="X676" s="12">
        <f t="shared" si="119"/>
        <v>-6.7593665507917899E-3</v>
      </c>
      <c r="Y676" s="12">
        <f t="shared" si="120"/>
        <v>9.7986521685202721E-3</v>
      </c>
    </row>
    <row r="677" spans="1:25" x14ac:dyDescent="0.35">
      <c r="A677" s="6">
        <v>45107</v>
      </c>
      <c r="B677" s="8">
        <v>4450.38</v>
      </c>
      <c r="C677" s="2">
        <v>193.97</v>
      </c>
      <c r="D677" s="2">
        <v>133.81</v>
      </c>
      <c r="E677" s="2">
        <v>340.54</v>
      </c>
      <c r="F677" s="2">
        <v>480.64</v>
      </c>
      <c r="G677" s="2">
        <v>165.52</v>
      </c>
      <c r="H677" s="2">
        <v>237.48</v>
      </c>
      <c r="I677" s="2">
        <v>174.2</v>
      </c>
      <c r="J677" s="2">
        <v>211.16</v>
      </c>
      <c r="K677" s="2">
        <v>52.39</v>
      </c>
      <c r="L677" s="2">
        <v>246.05</v>
      </c>
      <c r="M677" s="64" t="s">
        <v>77</v>
      </c>
      <c r="N677" s="1"/>
      <c r="O677" s="12">
        <f t="shared" si="110"/>
        <v>1.2269017659743087E-2</v>
      </c>
      <c r="P677" s="12">
        <f t="shared" si="111"/>
        <v>2.3102484308244131E-2</v>
      </c>
      <c r="Q677" s="12">
        <f t="shared" si="112"/>
        <v>-1.8648366403103411E-3</v>
      </c>
      <c r="R677" s="12">
        <f t="shared" si="113"/>
        <v>1.6385614087449651E-2</v>
      </c>
      <c r="S677" s="12">
        <f t="shared" si="114"/>
        <v>8.8153807404920403E-3</v>
      </c>
      <c r="T677" s="12">
        <f t="shared" si="115"/>
        <v>8.653260207190927E-3</v>
      </c>
      <c r="U677" s="12">
        <f t="shared" si="116"/>
        <v>1.3485831341754961E-2</v>
      </c>
      <c r="V677" s="12">
        <f t="shared" si="117"/>
        <v>1.2319851231985091E-2</v>
      </c>
      <c r="W677" s="12">
        <f t="shared" si="118"/>
        <v>-3.1629136571780236E-3</v>
      </c>
      <c r="X677" s="12">
        <f t="shared" si="119"/>
        <v>1.8666148162550966E-2</v>
      </c>
      <c r="Y677" s="12">
        <f t="shared" si="120"/>
        <v>7.4107435309531677E-3</v>
      </c>
    </row>
    <row r="678" spans="1:25" x14ac:dyDescent="0.35">
      <c r="A678" s="6">
        <v>45110</v>
      </c>
      <c r="B678" s="8">
        <v>4455.59</v>
      </c>
      <c r="C678" s="2">
        <v>192.46</v>
      </c>
      <c r="D678" s="2">
        <v>133.66999999999999</v>
      </c>
      <c r="E678" s="2">
        <v>337.99</v>
      </c>
      <c r="F678" s="2">
        <v>477.88</v>
      </c>
      <c r="G678" s="2">
        <v>163.35</v>
      </c>
      <c r="H678" s="2">
        <v>237.97</v>
      </c>
      <c r="I678" s="2">
        <v>175.44</v>
      </c>
      <c r="J678" s="2">
        <v>210.92</v>
      </c>
      <c r="K678" s="2">
        <v>52.73</v>
      </c>
      <c r="L678" s="2">
        <v>247.33</v>
      </c>
      <c r="M678" s="64">
        <v>9</v>
      </c>
      <c r="N678" s="1"/>
      <c r="O678" s="12">
        <f t="shared" si="110"/>
        <v>1.1706865481149187E-3</v>
      </c>
      <c r="P678" s="12">
        <f t="shared" si="111"/>
        <v>-7.7847089756147847E-3</v>
      </c>
      <c r="Q678" s="12">
        <f t="shared" si="112"/>
        <v>-1.0462596218520082E-3</v>
      </c>
      <c r="R678" s="12">
        <f t="shared" si="113"/>
        <v>-7.488107123979626E-3</v>
      </c>
      <c r="S678" s="12">
        <f t="shared" si="114"/>
        <v>-5.7423435419440283E-3</v>
      </c>
      <c r="T678" s="12">
        <f t="shared" si="115"/>
        <v>-1.3110198163364006E-2</v>
      </c>
      <c r="U678" s="12">
        <f t="shared" si="116"/>
        <v>2.0633316489810927E-3</v>
      </c>
      <c r="V678" s="12">
        <f t="shared" si="117"/>
        <v>7.1182548794490597E-3</v>
      </c>
      <c r="W678" s="12">
        <f t="shared" si="118"/>
        <v>-1.1365788975185032E-3</v>
      </c>
      <c r="X678" s="12">
        <f t="shared" si="119"/>
        <v>6.4897881275052249E-3</v>
      </c>
      <c r="Y678" s="12">
        <f t="shared" si="120"/>
        <v>5.2021946758789017E-3</v>
      </c>
    </row>
    <row r="679" spans="1:25" x14ac:dyDescent="0.35">
      <c r="A679" s="6">
        <v>45112</v>
      </c>
      <c r="B679" s="8">
        <v>4446.82</v>
      </c>
      <c r="C679" s="2">
        <v>191.33</v>
      </c>
      <c r="D679" s="2">
        <v>134.24</v>
      </c>
      <c r="E679" s="2">
        <v>338.15</v>
      </c>
      <c r="F679" s="2">
        <v>471.22</v>
      </c>
      <c r="G679" s="2">
        <v>162.81</v>
      </c>
      <c r="H679" s="2">
        <v>239.45</v>
      </c>
      <c r="I679" s="2">
        <v>175.57</v>
      </c>
      <c r="J679" s="2">
        <v>213.31</v>
      </c>
      <c r="K679" s="2">
        <v>52.7</v>
      </c>
      <c r="L679" s="2">
        <v>244.83</v>
      </c>
      <c r="M679" s="64" t="s">
        <v>77</v>
      </c>
      <c r="N679" s="1"/>
      <c r="O679" s="12">
        <f t="shared" si="110"/>
        <v>-1.9683139606652134E-3</v>
      </c>
      <c r="P679" s="12">
        <f t="shared" si="111"/>
        <v>-5.8713498908864459E-3</v>
      </c>
      <c r="Q679" s="12">
        <f t="shared" si="112"/>
        <v>4.2642328121493822E-3</v>
      </c>
      <c r="R679" s="12">
        <f t="shared" si="113"/>
        <v>4.7338678659114564E-4</v>
      </c>
      <c r="S679" s="12">
        <f t="shared" si="114"/>
        <v>-1.3936553109567207E-2</v>
      </c>
      <c r="T679" s="12">
        <f t="shared" si="115"/>
        <v>-3.3057851239668423E-3</v>
      </c>
      <c r="U679" s="12">
        <f t="shared" si="116"/>
        <v>6.2192713367230645E-3</v>
      </c>
      <c r="V679" s="12">
        <f t="shared" si="117"/>
        <v>7.4099407204730738E-4</v>
      </c>
      <c r="W679" s="12">
        <f t="shared" si="118"/>
        <v>1.1331310449459675E-2</v>
      </c>
      <c r="X679" s="12">
        <f t="shared" si="119"/>
        <v>-5.6893608951247288E-4</v>
      </c>
      <c r="Y679" s="12">
        <f t="shared" si="120"/>
        <v>-1.0107952937371101E-2</v>
      </c>
    </row>
    <row r="680" spans="1:25" x14ac:dyDescent="0.35">
      <c r="A680" s="6">
        <v>45113</v>
      </c>
      <c r="B680" s="8">
        <v>4411.59</v>
      </c>
      <c r="C680" s="2">
        <v>191.81</v>
      </c>
      <c r="D680" s="2">
        <v>132.16</v>
      </c>
      <c r="E680" s="2">
        <v>341.27</v>
      </c>
      <c r="F680" s="2">
        <v>469.36</v>
      </c>
      <c r="G680" s="2">
        <v>161.6</v>
      </c>
      <c r="H680" s="2">
        <v>238.88</v>
      </c>
      <c r="I680" s="2">
        <v>170.94</v>
      </c>
      <c r="J680" s="2">
        <v>212.62</v>
      </c>
      <c r="K680" s="2">
        <v>52.37</v>
      </c>
      <c r="L680" s="2">
        <v>240.58</v>
      </c>
      <c r="M680" s="64" t="s">
        <v>77</v>
      </c>
      <c r="N680" s="1"/>
      <c r="O680" s="12">
        <f t="shared" si="110"/>
        <v>-7.9225154155103672E-3</v>
      </c>
      <c r="P680" s="12">
        <f t="shared" si="111"/>
        <v>2.5087545079180984E-3</v>
      </c>
      <c r="Q680" s="12">
        <f t="shared" si="112"/>
        <v>-1.5494636471990564E-2</v>
      </c>
      <c r="R680" s="12">
        <f t="shared" si="113"/>
        <v>9.2266745527131988E-3</v>
      </c>
      <c r="S680" s="12">
        <f t="shared" si="114"/>
        <v>-3.9472008828148608E-3</v>
      </c>
      <c r="T680" s="12">
        <f t="shared" si="115"/>
        <v>-7.4319759228549387E-3</v>
      </c>
      <c r="U680" s="12">
        <f t="shared" si="116"/>
        <v>-2.3804552098558585E-3</v>
      </c>
      <c r="V680" s="12">
        <f t="shared" si="117"/>
        <v>-2.6371247935296438E-2</v>
      </c>
      <c r="W680" s="12">
        <f t="shared" si="118"/>
        <v>-3.2347287984623163E-3</v>
      </c>
      <c r="X680" s="12">
        <f t="shared" si="119"/>
        <v>-6.2618595825427725E-3</v>
      </c>
      <c r="Y680" s="12">
        <f t="shared" si="120"/>
        <v>-1.7358983784666937E-2</v>
      </c>
    </row>
    <row r="681" spans="1:25" x14ac:dyDescent="0.35">
      <c r="A681" s="6">
        <v>45114</v>
      </c>
      <c r="B681" s="8">
        <v>4398.95</v>
      </c>
      <c r="C681" s="2">
        <v>190.68</v>
      </c>
      <c r="D681" s="2">
        <v>132.08000000000001</v>
      </c>
      <c r="E681" s="2">
        <v>337.22</v>
      </c>
      <c r="F681" s="2">
        <v>461.58</v>
      </c>
      <c r="G681" s="2">
        <v>159.25</v>
      </c>
      <c r="H681" s="2">
        <v>236.45</v>
      </c>
      <c r="I681" s="2">
        <v>169.8</v>
      </c>
      <c r="J681" s="2">
        <v>212.1</v>
      </c>
      <c r="K681" s="2">
        <v>51.16</v>
      </c>
      <c r="L681" s="2">
        <v>245.18</v>
      </c>
      <c r="M681" s="64" t="s">
        <v>77</v>
      </c>
      <c r="N681" s="1"/>
      <c r="O681" s="12">
        <f t="shared" si="110"/>
        <v>-2.8651801277997935E-3</v>
      </c>
      <c r="P681" s="12">
        <f t="shared" si="111"/>
        <v>-5.8912465460612129E-3</v>
      </c>
      <c r="Q681" s="12">
        <f t="shared" si="112"/>
        <v>-6.0532687651315698E-4</v>
      </c>
      <c r="R681" s="12">
        <f t="shared" si="113"/>
        <v>-1.1867436340727178E-2</v>
      </c>
      <c r="S681" s="12">
        <f t="shared" si="114"/>
        <v>-1.6575762740753452E-2</v>
      </c>
      <c r="T681" s="12">
        <f t="shared" si="115"/>
        <v>-1.4542079207920722E-2</v>
      </c>
      <c r="U681" s="12">
        <f t="shared" si="116"/>
        <v>-1.0172471533824501E-2</v>
      </c>
      <c r="V681" s="12">
        <f t="shared" si="117"/>
        <v>-6.6690066690066052E-3</v>
      </c>
      <c r="W681" s="12">
        <f t="shared" si="118"/>
        <v>-2.4456777349262104E-3</v>
      </c>
      <c r="X681" s="12">
        <f t="shared" si="119"/>
        <v>-2.3104831010120286E-2</v>
      </c>
      <c r="Y681" s="12">
        <f t="shared" si="120"/>
        <v>1.9120458891013437E-2</v>
      </c>
    </row>
    <row r="682" spans="1:25" x14ac:dyDescent="0.35">
      <c r="A682" s="6">
        <v>45117</v>
      </c>
      <c r="B682" s="8">
        <v>4409.53</v>
      </c>
      <c r="C682" s="2">
        <v>188.61</v>
      </c>
      <c r="D682" s="2">
        <v>132.9</v>
      </c>
      <c r="E682" s="2">
        <v>331.83</v>
      </c>
      <c r="F682" s="2">
        <v>463.05</v>
      </c>
      <c r="G682" s="2">
        <v>159.51</v>
      </c>
      <c r="H682" s="2">
        <v>238.16</v>
      </c>
      <c r="I682" s="2">
        <v>171.71</v>
      </c>
      <c r="J682" s="2">
        <v>213.31</v>
      </c>
      <c r="K682" s="2">
        <v>51.63</v>
      </c>
      <c r="L682" s="2">
        <v>248.81</v>
      </c>
      <c r="M682" s="64">
        <v>9.4</v>
      </c>
      <c r="N682" s="1"/>
      <c r="O682" s="12">
        <f t="shared" si="110"/>
        <v>2.4051194034939716E-3</v>
      </c>
      <c r="P682" s="12">
        <f t="shared" si="111"/>
        <v>-1.0855884203901822E-2</v>
      </c>
      <c r="Q682" s="12">
        <f t="shared" si="112"/>
        <v>6.2083585705632327E-3</v>
      </c>
      <c r="R682" s="12">
        <f t="shared" si="113"/>
        <v>-1.5983630864124465E-2</v>
      </c>
      <c r="S682" s="12">
        <f t="shared" si="114"/>
        <v>3.1847133757962887E-3</v>
      </c>
      <c r="T682" s="12">
        <f t="shared" si="115"/>
        <v>1.6326530612245094E-3</v>
      </c>
      <c r="U682" s="12">
        <f t="shared" si="116"/>
        <v>7.2319729329668458E-3</v>
      </c>
      <c r="V682" s="12">
        <f t="shared" si="117"/>
        <v>1.1248527679623033E-2</v>
      </c>
      <c r="W682" s="12">
        <f t="shared" si="118"/>
        <v>5.7048561999057945E-3</v>
      </c>
      <c r="X682" s="12">
        <f t="shared" si="119"/>
        <v>9.1868647380768387E-3</v>
      </c>
      <c r="Y682" s="12">
        <f t="shared" si="120"/>
        <v>1.4805449057835096E-2</v>
      </c>
    </row>
    <row r="683" spans="1:25" x14ac:dyDescent="0.35">
      <c r="A683" s="6">
        <v>45118</v>
      </c>
      <c r="B683" s="8">
        <v>4439.26</v>
      </c>
      <c r="C683" s="2">
        <v>188.08</v>
      </c>
      <c r="D683" s="2">
        <v>134.44</v>
      </c>
      <c r="E683" s="2">
        <v>332.47</v>
      </c>
      <c r="F683" s="2">
        <v>462.89</v>
      </c>
      <c r="G683" s="2">
        <v>158.63</v>
      </c>
      <c r="H683" s="2">
        <v>240.55</v>
      </c>
      <c r="I683" s="2">
        <v>174.64</v>
      </c>
      <c r="J683" s="2">
        <v>218.76</v>
      </c>
      <c r="K683" s="2">
        <v>51.55</v>
      </c>
      <c r="L683" s="2">
        <v>252.85</v>
      </c>
      <c r="M683" s="64">
        <v>9.4</v>
      </c>
      <c r="N683" s="1"/>
      <c r="O683" s="12">
        <f t="shared" si="110"/>
        <v>6.7422151567175792E-3</v>
      </c>
      <c r="P683" s="12">
        <f t="shared" si="111"/>
        <v>-2.8100312814802741E-3</v>
      </c>
      <c r="Q683" s="12">
        <f t="shared" si="112"/>
        <v>1.1587659894657598E-2</v>
      </c>
      <c r="R683" s="12">
        <f t="shared" si="113"/>
        <v>1.9286984299191623E-3</v>
      </c>
      <c r="S683" s="12">
        <f t="shared" si="114"/>
        <v>-3.4553503941259223E-4</v>
      </c>
      <c r="T683" s="12">
        <f t="shared" si="115"/>
        <v>-5.516895492445606E-3</v>
      </c>
      <c r="U683" s="12">
        <f t="shared" si="116"/>
        <v>1.003527040644947E-2</v>
      </c>
      <c r="V683" s="12">
        <f t="shared" si="117"/>
        <v>1.7063653834954229E-2</v>
      </c>
      <c r="W683" s="12">
        <f t="shared" si="118"/>
        <v>2.5549669495100957E-2</v>
      </c>
      <c r="X683" s="12">
        <f t="shared" si="119"/>
        <v>-1.5494867325199779E-3</v>
      </c>
      <c r="Y683" s="12">
        <f t="shared" si="120"/>
        <v>1.623728949801051E-2</v>
      </c>
    </row>
    <row r="684" spans="1:25" x14ac:dyDescent="0.35">
      <c r="A684" s="6">
        <v>45119</v>
      </c>
      <c r="B684" s="8">
        <v>4472.16</v>
      </c>
      <c r="C684" s="2">
        <v>189.77</v>
      </c>
      <c r="D684" s="2">
        <v>132.84</v>
      </c>
      <c r="E684" s="2">
        <v>337.2</v>
      </c>
      <c r="F684" s="2">
        <v>451.7</v>
      </c>
      <c r="G684" s="2">
        <v>158.08000000000001</v>
      </c>
      <c r="H684" s="2">
        <v>242.21</v>
      </c>
      <c r="I684" s="2">
        <v>174.33</v>
      </c>
      <c r="J684" s="2">
        <v>217.11</v>
      </c>
      <c r="K684" s="2">
        <v>51.68</v>
      </c>
      <c r="L684" s="2">
        <v>253.6</v>
      </c>
      <c r="M684" s="64" t="s">
        <v>77</v>
      </c>
      <c r="N684" s="1"/>
      <c r="O684" s="12">
        <f t="shared" si="110"/>
        <v>7.4111451007599083E-3</v>
      </c>
      <c r="P684" s="12">
        <f t="shared" si="111"/>
        <v>8.9855380689067843E-3</v>
      </c>
      <c r="Q684" s="12">
        <f t="shared" si="112"/>
        <v>-1.1901219875037117E-2</v>
      </c>
      <c r="R684" s="12">
        <f t="shared" si="113"/>
        <v>1.4226847535115938E-2</v>
      </c>
      <c r="S684" s="12">
        <f t="shared" si="114"/>
        <v>-2.417420985547325E-2</v>
      </c>
      <c r="T684" s="12">
        <f t="shared" si="115"/>
        <v>-3.4671877954988162E-3</v>
      </c>
      <c r="U684" s="12">
        <f t="shared" si="116"/>
        <v>6.9008522136768669E-3</v>
      </c>
      <c r="V684" s="12">
        <f t="shared" si="117"/>
        <v>-1.7750801649105696E-3</v>
      </c>
      <c r="W684" s="12">
        <f t="shared" si="118"/>
        <v>-7.5425123422928619E-3</v>
      </c>
      <c r="X684" s="12">
        <f t="shared" si="119"/>
        <v>2.5218234723569655E-3</v>
      </c>
      <c r="Y684" s="12">
        <f t="shared" si="120"/>
        <v>2.9661854854656777E-3</v>
      </c>
    </row>
    <row r="685" spans="1:25" x14ac:dyDescent="0.35">
      <c r="A685" s="6">
        <v>45120</v>
      </c>
      <c r="B685" s="8">
        <v>4510.04</v>
      </c>
      <c r="C685" s="2">
        <v>190.54</v>
      </c>
      <c r="D685" s="2">
        <v>133.91999999999999</v>
      </c>
      <c r="E685" s="2">
        <v>342.66</v>
      </c>
      <c r="F685" s="2">
        <v>447.75</v>
      </c>
      <c r="G685" s="2">
        <v>158.81</v>
      </c>
      <c r="H685" s="2">
        <v>243.31</v>
      </c>
      <c r="I685" s="2">
        <v>174.24</v>
      </c>
      <c r="J685" s="2">
        <v>216.85</v>
      </c>
      <c r="K685" s="2">
        <v>51.38</v>
      </c>
      <c r="L685" s="2">
        <v>255.86</v>
      </c>
      <c r="M685" s="64" t="s">
        <v>77</v>
      </c>
      <c r="N685" s="1"/>
      <c r="O685" s="12">
        <f t="shared" si="110"/>
        <v>8.4701799577833192E-3</v>
      </c>
      <c r="P685" s="12">
        <f t="shared" si="111"/>
        <v>4.0575433419400841E-3</v>
      </c>
      <c r="Q685" s="12">
        <f t="shared" si="112"/>
        <v>8.1300813008129413E-3</v>
      </c>
      <c r="R685" s="12">
        <f t="shared" si="113"/>
        <v>1.6192170818505547E-2</v>
      </c>
      <c r="S685" s="12">
        <f t="shared" si="114"/>
        <v>-8.7447420854549485E-3</v>
      </c>
      <c r="T685" s="12">
        <f t="shared" si="115"/>
        <v>4.617914979756943E-3</v>
      </c>
      <c r="U685" s="12">
        <f t="shared" si="116"/>
        <v>4.5415135626110104E-3</v>
      </c>
      <c r="V685" s="12">
        <f t="shared" si="117"/>
        <v>-5.162622612286949E-4</v>
      </c>
      <c r="W685" s="12">
        <f t="shared" si="118"/>
        <v>-1.1975496292202514E-3</v>
      </c>
      <c r="X685" s="12">
        <f t="shared" si="119"/>
        <v>-5.804953560371473E-3</v>
      </c>
      <c r="Y685" s="12">
        <f t="shared" si="120"/>
        <v>8.9116719242903208E-3</v>
      </c>
    </row>
    <row r="686" spans="1:25" x14ac:dyDescent="0.35">
      <c r="A686" s="6">
        <v>45121</v>
      </c>
      <c r="B686" s="8">
        <v>4505.42</v>
      </c>
      <c r="C686" s="2">
        <v>190.69</v>
      </c>
      <c r="D686" s="2">
        <v>133.4</v>
      </c>
      <c r="E686" s="2">
        <v>345.24</v>
      </c>
      <c r="F686" s="2">
        <v>480.17</v>
      </c>
      <c r="G686" s="2">
        <v>159.87</v>
      </c>
      <c r="H686" s="2">
        <v>243.16</v>
      </c>
      <c r="I686" s="2">
        <v>173.39</v>
      </c>
      <c r="J686" s="2">
        <v>213.12</v>
      </c>
      <c r="K686" s="2">
        <v>51.55</v>
      </c>
      <c r="L686" s="2">
        <v>255.62</v>
      </c>
      <c r="M686" s="64" t="s">
        <v>77</v>
      </c>
      <c r="N686" s="1"/>
      <c r="O686" s="12">
        <f t="shared" si="110"/>
        <v>-1.0243811584819129E-3</v>
      </c>
      <c r="P686" s="12">
        <f t="shared" si="111"/>
        <v>7.8723627584764699E-4</v>
      </c>
      <c r="Q686" s="12">
        <f t="shared" si="112"/>
        <v>-3.8829151732375777E-3</v>
      </c>
      <c r="R686" s="12">
        <f t="shared" si="113"/>
        <v>7.5293293643845516E-3</v>
      </c>
      <c r="S686" s="12">
        <f t="shared" si="114"/>
        <v>7.2406476828587474E-2</v>
      </c>
      <c r="T686" s="12">
        <f t="shared" si="115"/>
        <v>6.6746426547446003E-3</v>
      </c>
      <c r="U686" s="12">
        <f t="shared" si="116"/>
        <v>-6.1649747236036667E-4</v>
      </c>
      <c r="V686" s="12">
        <f t="shared" si="117"/>
        <v>-4.8783287419652543E-3</v>
      </c>
      <c r="W686" s="12">
        <f t="shared" si="118"/>
        <v>-1.7200830066866457E-2</v>
      </c>
      <c r="X686" s="12">
        <f t="shared" si="119"/>
        <v>3.3086804203970033E-3</v>
      </c>
      <c r="Y686" s="12">
        <f t="shared" si="120"/>
        <v>-9.3801297584616972E-4</v>
      </c>
    </row>
    <row r="687" spans="1:25" x14ac:dyDescent="0.35">
      <c r="A687" s="6">
        <v>45124</v>
      </c>
      <c r="B687" s="8">
        <v>4522.79</v>
      </c>
      <c r="C687" s="2">
        <v>193.99</v>
      </c>
      <c r="D687" s="2">
        <v>134.24</v>
      </c>
      <c r="E687" s="2">
        <v>345.73</v>
      </c>
      <c r="F687" s="2">
        <v>484.08</v>
      </c>
      <c r="G687" s="2">
        <v>159.07</v>
      </c>
      <c r="H687" s="2">
        <v>243.99</v>
      </c>
      <c r="I687" s="2">
        <v>175.39</v>
      </c>
      <c r="J687" s="2">
        <v>211.87</v>
      </c>
      <c r="K687" s="2">
        <v>51.62</v>
      </c>
      <c r="L687" s="2">
        <v>257.45999999999998</v>
      </c>
      <c r="M687" s="64">
        <v>9.19</v>
      </c>
      <c r="N687" s="1"/>
      <c r="O687" s="12">
        <f t="shared" si="110"/>
        <v>3.8553564373575711E-3</v>
      </c>
      <c r="P687" s="12">
        <f t="shared" si="111"/>
        <v>1.7305574492632037E-2</v>
      </c>
      <c r="Q687" s="12">
        <f t="shared" si="112"/>
        <v>6.2968515742130027E-3</v>
      </c>
      <c r="R687" s="12">
        <f t="shared" si="113"/>
        <v>1.4193025141930882E-3</v>
      </c>
      <c r="S687" s="12">
        <f t="shared" si="114"/>
        <v>8.1429493720972523E-3</v>
      </c>
      <c r="T687" s="12">
        <f t="shared" si="115"/>
        <v>-5.0040658034653518E-3</v>
      </c>
      <c r="U687" s="12">
        <f t="shared" si="116"/>
        <v>3.413390360256674E-3</v>
      </c>
      <c r="V687" s="12">
        <f t="shared" si="117"/>
        <v>1.1534690581925133E-2</v>
      </c>
      <c r="W687" s="12">
        <f t="shared" si="118"/>
        <v>-5.8652402402402659E-3</v>
      </c>
      <c r="X687" s="12">
        <f t="shared" si="119"/>
        <v>1.3579049466536652E-3</v>
      </c>
      <c r="Y687" s="12">
        <f t="shared" si="120"/>
        <v>7.1981848055706621E-3</v>
      </c>
    </row>
    <row r="688" spans="1:25" x14ac:dyDescent="0.35">
      <c r="A688" s="6">
        <v>45125</v>
      </c>
      <c r="B688" s="8">
        <v>4554.9799999999996</v>
      </c>
      <c r="C688" s="2">
        <v>193.73</v>
      </c>
      <c r="D688" s="2">
        <v>135.36000000000001</v>
      </c>
      <c r="E688" s="2">
        <v>359.49</v>
      </c>
      <c r="F688" s="2">
        <v>500</v>
      </c>
      <c r="G688" s="2">
        <v>159.06</v>
      </c>
      <c r="H688" s="2">
        <v>240.77</v>
      </c>
      <c r="I688" s="2">
        <v>178.04</v>
      </c>
      <c r="J688" s="2">
        <v>211.57</v>
      </c>
      <c r="K688" s="2">
        <v>51.52</v>
      </c>
      <c r="L688" s="2">
        <v>263.81</v>
      </c>
      <c r="M688" s="64" t="s">
        <v>77</v>
      </c>
      <c r="N688" s="1"/>
      <c r="O688" s="12">
        <f t="shared" si="110"/>
        <v>7.1172882225352119E-3</v>
      </c>
      <c r="P688" s="12">
        <f t="shared" si="111"/>
        <v>-1.3402752719213762E-3</v>
      </c>
      <c r="Q688" s="12">
        <f t="shared" si="112"/>
        <v>8.3432657926103548E-3</v>
      </c>
      <c r="R688" s="12">
        <f t="shared" si="113"/>
        <v>3.9799843808752566E-2</v>
      </c>
      <c r="S688" s="12">
        <f t="shared" si="114"/>
        <v>3.2887126094860442E-2</v>
      </c>
      <c r="T688" s="12">
        <f t="shared" si="115"/>
        <v>-6.2865405167533694E-5</v>
      </c>
      <c r="U688" s="12">
        <f t="shared" si="116"/>
        <v>-1.3197262182876313E-2</v>
      </c>
      <c r="V688" s="12">
        <f t="shared" si="117"/>
        <v>1.5109185244312817E-2</v>
      </c>
      <c r="W688" s="12">
        <f t="shared" si="118"/>
        <v>-1.4159626185868968E-3</v>
      </c>
      <c r="X688" s="12">
        <f t="shared" si="119"/>
        <v>-1.9372336303756788E-3</v>
      </c>
      <c r="Y688" s="12">
        <f t="shared" si="120"/>
        <v>2.4664025479686158E-2</v>
      </c>
    </row>
    <row r="689" spans="1:25" x14ac:dyDescent="0.35">
      <c r="A689" s="6">
        <v>45126</v>
      </c>
      <c r="B689" s="8">
        <v>4565.72</v>
      </c>
      <c r="C689" s="2">
        <v>195.1</v>
      </c>
      <c r="D689" s="2">
        <v>135.47999999999999</v>
      </c>
      <c r="E689" s="2">
        <v>355.08</v>
      </c>
      <c r="F689" s="2">
        <v>503.7</v>
      </c>
      <c r="G689" s="2">
        <v>158.74</v>
      </c>
      <c r="H689" s="2">
        <v>241.42</v>
      </c>
      <c r="I689" s="2">
        <v>177.12</v>
      </c>
      <c r="J689" s="2">
        <v>208.6</v>
      </c>
      <c r="K689" s="2">
        <v>51.54</v>
      </c>
      <c r="L689" s="2">
        <v>262.75</v>
      </c>
      <c r="M689" s="64" t="s">
        <v>77</v>
      </c>
      <c r="N689" s="1"/>
      <c r="O689" s="12">
        <f t="shared" si="110"/>
        <v>2.3578588709500803E-3</v>
      </c>
      <c r="P689" s="12">
        <f t="shared" si="111"/>
        <v>7.0716977236360279E-3</v>
      </c>
      <c r="Q689" s="12">
        <f t="shared" si="112"/>
        <v>8.8652482269480082E-4</v>
      </c>
      <c r="R689" s="12">
        <f t="shared" si="113"/>
        <v>-1.2267378786614436E-2</v>
      </c>
      <c r="S689" s="12">
        <f t="shared" si="114"/>
        <v>7.4000000000000732E-3</v>
      </c>
      <c r="T689" s="12">
        <f t="shared" si="115"/>
        <v>-2.0118194392052535E-3</v>
      </c>
      <c r="U689" s="12">
        <f t="shared" si="116"/>
        <v>2.6996718860321511E-3</v>
      </c>
      <c r="V689" s="12">
        <f t="shared" si="117"/>
        <v>-5.1673781172769662E-3</v>
      </c>
      <c r="W689" s="12">
        <f t="shared" si="118"/>
        <v>-1.4037907075672318E-2</v>
      </c>
      <c r="X689" s="12">
        <f t="shared" si="119"/>
        <v>3.8819875776385793E-4</v>
      </c>
      <c r="Y689" s="12">
        <f t="shared" si="120"/>
        <v>-4.0180432887305662E-3</v>
      </c>
    </row>
    <row r="690" spans="1:25" x14ac:dyDescent="0.35">
      <c r="A690" s="6">
        <v>45127</v>
      </c>
      <c r="B690" s="8">
        <v>4534.87</v>
      </c>
      <c r="C690" s="2">
        <v>193.13</v>
      </c>
      <c r="D690" s="2">
        <v>138.38</v>
      </c>
      <c r="E690" s="2">
        <v>346.87</v>
      </c>
      <c r="F690" s="2">
        <v>504.24</v>
      </c>
      <c r="G690" s="2">
        <v>168.38</v>
      </c>
      <c r="H690" s="2">
        <v>239.62</v>
      </c>
      <c r="I690" s="2">
        <v>177.11</v>
      </c>
      <c r="J690" s="2">
        <v>213.61</v>
      </c>
      <c r="K690" s="2">
        <v>52.49</v>
      </c>
      <c r="L690" s="2">
        <v>261.08999999999997</v>
      </c>
      <c r="M690" s="64" t="s">
        <v>77</v>
      </c>
      <c r="N690" s="1"/>
      <c r="O690" s="12">
        <f t="shared" si="110"/>
        <v>-6.7568751478409572E-3</v>
      </c>
      <c r="P690" s="12">
        <f t="shared" si="111"/>
        <v>-1.0097385955920024E-2</v>
      </c>
      <c r="Q690" s="12">
        <f t="shared" si="112"/>
        <v>2.1405373486861556E-2</v>
      </c>
      <c r="R690" s="12">
        <f t="shared" si="113"/>
        <v>-2.3121550073222918E-2</v>
      </c>
      <c r="S690" s="12">
        <f t="shared" si="114"/>
        <v>1.0720667063728317E-3</v>
      </c>
      <c r="T690" s="12">
        <f t="shared" si="115"/>
        <v>6.0728234849439344E-2</v>
      </c>
      <c r="U690" s="12">
        <f t="shared" si="116"/>
        <v>-7.455886007787238E-3</v>
      </c>
      <c r="V690" s="12">
        <f t="shared" si="117"/>
        <v>-5.6458897922273543E-5</v>
      </c>
      <c r="W690" s="12">
        <f t="shared" si="118"/>
        <v>2.4017257909875411E-2</v>
      </c>
      <c r="X690" s="12">
        <f t="shared" si="119"/>
        <v>1.8432285603414922E-2</v>
      </c>
      <c r="Y690" s="12">
        <f t="shared" si="120"/>
        <v>-6.3177925784967393E-3</v>
      </c>
    </row>
    <row r="691" spans="1:25" x14ac:dyDescent="0.35">
      <c r="A691" s="6">
        <v>45128</v>
      </c>
      <c r="B691" s="8">
        <v>4536.34</v>
      </c>
      <c r="C691" s="2">
        <v>191.94</v>
      </c>
      <c r="D691" s="2">
        <v>138.94</v>
      </c>
      <c r="E691" s="2">
        <v>343.77</v>
      </c>
      <c r="F691" s="2">
        <v>506.53</v>
      </c>
      <c r="G691" s="2">
        <v>170.19</v>
      </c>
      <c r="H691" s="2">
        <v>239.25</v>
      </c>
      <c r="I691" s="2">
        <v>170.22</v>
      </c>
      <c r="J691" s="2">
        <v>211.8</v>
      </c>
      <c r="K691" s="2">
        <v>52.79</v>
      </c>
      <c r="L691" s="2">
        <v>257.64999999999998</v>
      </c>
      <c r="M691" s="64" t="s">
        <v>77</v>
      </c>
      <c r="N691" s="1"/>
      <c r="O691" s="12">
        <f t="shared" si="110"/>
        <v>3.2415482692993436E-4</v>
      </c>
      <c r="P691" s="12">
        <f t="shared" si="111"/>
        <v>-6.1616527727437198E-3</v>
      </c>
      <c r="Q691" s="12">
        <f t="shared" si="112"/>
        <v>4.0468275762393091E-3</v>
      </c>
      <c r="R691" s="12">
        <f t="shared" si="113"/>
        <v>-8.9370657595064795E-3</v>
      </c>
      <c r="S691" s="12">
        <f t="shared" si="114"/>
        <v>4.5414881802314788E-3</v>
      </c>
      <c r="T691" s="12">
        <f t="shared" si="115"/>
        <v>1.0749495189452452E-2</v>
      </c>
      <c r="U691" s="12">
        <f t="shared" si="116"/>
        <v>-1.5441115098906444E-3</v>
      </c>
      <c r="V691" s="12">
        <f t="shared" si="117"/>
        <v>-3.8902377053808501E-2</v>
      </c>
      <c r="W691" s="12">
        <f t="shared" si="118"/>
        <v>-8.4733860774308667E-3</v>
      </c>
      <c r="X691" s="12">
        <f t="shared" si="119"/>
        <v>5.7153743570204085E-3</v>
      </c>
      <c r="Y691" s="12">
        <f t="shared" si="120"/>
        <v>-1.3175533340993528E-2</v>
      </c>
    </row>
    <row r="692" spans="1:25" x14ac:dyDescent="0.35">
      <c r="A692" s="6">
        <v>45131</v>
      </c>
      <c r="B692" s="8">
        <v>4554.6400000000003</v>
      </c>
      <c r="C692" s="2">
        <v>192.75</v>
      </c>
      <c r="D692" s="2">
        <v>139.54</v>
      </c>
      <c r="E692" s="2">
        <v>345.11</v>
      </c>
      <c r="F692" s="2">
        <v>508.68</v>
      </c>
      <c r="G692" s="2">
        <v>171.08</v>
      </c>
      <c r="H692" s="2">
        <v>240.74</v>
      </c>
      <c r="I692" s="2">
        <v>167.79</v>
      </c>
      <c r="J692" s="2">
        <v>215.87</v>
      </c>
      <c r="K692" s="2">
        <v>53.1</v>
      </c>
      <c r="L692" s="2">
        <v>259.37</v>
      </c>
      <c r="M692" s="64">
        <v>9.3699999999999992</v>
      </c>
      <c r="N692" s="1"/>
      <c r="O692" s="12">
        <f t="shared" si="110"/>
        <v>4.0340891555747938E-3</v>
      </c>
      <c r="P692" s="12">
        <f t="shared" si="111"/>
        <v>4.220068771491059E-3</v>
      </c>
      <c r="Q692" s="12">
        <f t="shared" si="112"/>
        <v>4.3184108248164321E-3</v>
      </c>
      <c r="R692" s="12">
        <f t="shared" si="113"/>
        <v>3.8979550280711095E-3</v>
      </c>
      <c r="S692" s="12">
        <f t="shared" si="114"/>
        <v>4.2445659684520187E-3</v>
      </c>
      <c r="T692" s="12">
        <f t="shared" si="115"/>
        <v>5.229449438862499E-3</v>
      </c>
      <c r="U692" s="12">
        <f t="shared" si="116"/>
        <v>6.2277951933125131E-3</v>
      </c>
      <c r="V692" s="12">
        <f t="shared" si="117"/>
        <v>-1.42756432851604E-2</v>
      </c>
      <c r="W692" s="12">
        <f t="shared" si="118"/>
        <v>1.9216241737488149E-2</v>
      </c>
      <c r="X692" s="12">
        <f t="shared" si="119"/>
        <v>5.8723243038454331E-3</v>
      </c>
      <c r="Y692" s="12">
        <f t="shared" si="120"/>
        <v>6.6757228798759449E-3</v>
      </c>
    </row>
    <row r="693" spans="1:25" x14ac:dyDescent="0.35">
      <c r="A693" s="6">
        <v>45132</v>
      </c>
      <c r="B693" s="8">
        <v>4567.46</v>
      </c>
      <c r="C693" s="2">
        <v>193.62</v>
      </c>
      <c r="D693" s="2">
        <v>140.33000000000001</v>
      </c>
      <c r="E693" s="2">
        <v>350.98</v>
      </c>
      <c r="F693" s="2">
        <v>510.93</v>
      </c>
      <c r="G693" s="2">
        <v>172.39</v>
      </c>
      <c r="H693" s="2">
        <v>238.69</v>
      </c>
      <c r="I693" s="2">
        <v>166.5</v>
      </c>
      <c r="J693" s="2">
        <v>214.12</v>
      </c>
      <c r="K693" s="2">
        <v>53.06</v>
      </c>
      <c r="L693" s="2">
        <v>262.06</v>
      </c>
      <c r="M693" s="64" t="s">
        <v>77</v>
      </c>
      <c r="N693" s="1"/>
      <c r="O693" s="12">
        <f t="shared" si="110"/>
        <v>2.8147120299297779E-3</v>
      </c>
      <c r="P693" s="12">
        <f t="shared" si="111"/>
        <v>4.5136186770429187E-3</v>
      </c>
      <c r="Q693" s="12">
        <f t="shared" si="112"/>
        <v>5.6614590798338416E-3</v>
      </c>
      <c r="R693" s="12">
        <f t="shared" si="113"/>
        <v>1.7009069572020419E-2</v>
      </c>
      <c r="S693" s="12">
        <f t="shared" si="114"/>
        <v>4.4232130219390431E-3</v>
      </c>
      <c r="T693" s="12">
        <f t="shared" si="115"/>
        <v>7.6572363806404198E-3</v>
      </c>
      <c r="U693" s="12">
        <f t="shared" si="116"/>
        <v>-8.5154108166487497E-3</v>
      </c>
      <c r="V693" s="12">
        <f t="shared" si="117"/>
        <v>-7.6881816556408911E-3</v>
      </c>
      <c r="W693" s="12">
        <f t="shared" si="118"/>
        <v>-8.1067309028581835E-3</v>
      </c>
      <c r="X693" s="12">
        <f t="shared" si="119"/>
        <v>-7.5329566854986929E-4</v>
      </c>
      <c r="Y693" s="12">
        <f t="shared" si="120"/>
        <v>1.037128426572087E-2</v>
      </c>
    </row>
    <row r="694" spans="1:25" x14ac:dyDescent="0.35">
      <c r="A694" s="6">
        <v>45133</v>
      </c>
      <c r="B694" s="8">
        <v>4566.75</v>
      </c>
      <c r="C694" s="2">
        <v>194.5</v>
      </c>
      <c r="D694" s="2">
        <v>141.07</v>
      </c>
      <c r="E694" s="2">
        <v>337.77</v>
      </c>
      <c r="F694" s="2">
        <v>508</v>
      </c>
      <c r="G694" s="2">
        <v>172.72</v>
      </c>
      <c r="H694" s="2">
        <v>237.1</v>
      </c>
      <c r="I694" s="2">
        <v>167.75</v>
      </c>
      <c r="J694" s="2">
        <v>232.8</v>
      </c>
      <c r="K694" s="2">
        <v>53.25</v>
      </c>
      <c r="L694" s="2">
        <v>258.32</v>
      </c>
      <c r="M694" s="64" t="s">
        <v>77</v>
      </c>
      <c r="N694" s="1"/>
      <c r="O694" s="12">
        <f t="shared" si="110"/>
        <v>-1.5544744781559316E-4</v>
      </c>
      <c r="P694" s="12">
        <f t="shared" si="111"/>
        <v>4.5449850222083477E-3</v>
      </c>
      <c r="Q694" s="12">
        <f t="shared" si="112"/>
        <v>5.2732844010545676E-3</v>
      </c>
      <c r="R694" s="12">
        <f t="shared" si="113"/>
        <v>-3.7637472220639401E-2</v>
      </c>
      <c r="S694" s="12">
        <f t="shared" si="114"/>
        <v>-5.7346407531364552E-3</v>
      </c>
      <c r="T694" s="12">
        <f t="shared" si="115"/>
        <v>1.9142641684553041E-3</v>
      </c>
      <c r="U694" s="12">
        <f t="shared" si="116"/>
        <v>-6.661359922912613E-3</v>
      </c>
      <c r="V694" s="12">
        <f t="shared" si="117"/>
        <v>7.5075075075075048E-3</v>
      </c>
      <c r="W694" s="12">
        <f t="shared" si="118"/>
        <v>8.7240799551653314E-2</v>
      </c>
      <c r="X694" s="12">
        <f t="shared" si="119"/>
        <v>3.5808518658122512E-3</v>
      </c>
      <c r="Y694" s="12">
        <f t="shared" si="120"/>
        <v>-1.4271540868503463E-2</v>
      </c>
    </row>
    <row r="695" spans="1:25" x14ac:dyDescent="0.35">
      <c r="A695" s="6">
        <v>45134</v>
      </c>
      <c r="B695" s="8">
        <v>4537.41</v>
      </c>
      <c r="C695" s="2">
        <v>193.22</v>
      </c>
      <c r="D695" s="2">
        <v>142.97</v>
      </c>
      <c r="E695" s="2">
        <v>330.72</v>
      </c>
      <c r="F695" s="2">
        <v>505.23</v>
      </c>
      <c r="G695" s="2">
        <v>173.69</v>
      </c>
      <c r="H695" s="2">
        <v>234.44</v>
      </c>
      <c r="I695" s="2">
        <v>163.6</v>
      </c>
      <c r="J695" s="2">
        <v>233.75</v>
      </c>
      <c r="K695" s="2">
        <v>53.05</v>
      </c>
      <c r="L695" s="2">
        <v>258.3</v>
      </c>
      <c r="M695" s="64" t="s">
        <v>77</v>
      </c>
      <c r="N695" s="1"/>
      <c r="O695" s="12">
        <f t="shared" si="110"/>
        <v>-6.4247002791920638E-3</v>
      </c>
      <c r="P695" s="12">
        <f t="shared" si="111"/>
        <v>-6.5809768637532517E-3</v>
      </c>
      <c r="Q695" s="12">
        <f t="shared" si="112"/>
        <v>1.3468490820160328E-2</v>
      </c>
      <c r="R695" s="12">
        <f t="shared" si="113"/>
        <v>-2.0872191135979934E-2</v>
      </c>
      <c r="S695" s="12">
        <f t="shared" si="114"/>
        <v>-5.4527559055117525E-3</v>
      </c>
      <c r="T695" s="12">
        <f t="shared" si="115"/>
        <v>5.6160259379343103E-3</v>
      </c>
      <c r="U695" s="12">
        <f t="shared" si="116"/>
        <v>-1.1218894981020688E-2</v>
      </c>
      <c r="V695" s="12">
        <f t="shared" si="117"/>
        <v>-2.4739195230998545E-2</v>
      </c>
      <c r="W695" s="12">
        <f t="shared" si="118"/>
        <v>4.08075601374569E-3</v>
      </c>
      <c r="X695" s="12">
        <f t="shared" si="119"/>
        <v>-3.755868544600971E-3</v>
      </c>
      <c r="Y695" s="12">
        <f t="shared" si="120"/>
        <v>-7.7423350882566133E-5</v>
      </c>
    </row>
    <row r="696" spans="1:25" x14ac:dyDescent="0.35">
      <c r="A696" s="6">
        <v>45135</v>
      </c>
      <c r="B696" s="8">
        <v>4582.2299999999996</v>
      </c>
      <c r="C696" s="2">
        <v>195.83</v>
      </c>
      <c r="D696" s="2">
        <v>143.44999999999999</v>
      </c>
      <c r="E696" s="2">
        <v>338.37</v>
      </c>
      <c r="F696" s="2">
        <v>502.91</v>
      </c>
      <c r="G696" s="2">
        <v>174.48</v>
      </c>
      <c r="H696" s="2">
        <v>235.75</v>
      </c>
      <c r="I696" s="2">
        <v>165.43</v>
      </c>
      <c r="J696" s="2">
        <v>238.69</v>
      </c>
      <c r="K696" s="2">
        <v>53.3</v>
      </c>
      <c r="L696" s="2">
        <v>260.43</v>
      </c>
      <c r="M696" s="64">
        <v>9.6999999999999993</v>
      </c>
      <c r="N696" s="1"/>
      <c r="O696" s="12">
        <f t="shared" si="110"/>
        <v>9.8778818753428865E-3</v>
      </c>
      <c r="P696" s="12">
        <f t="shared" si="111"/>
        <v>1.3507918434944699E-2</v>
      </c>
      <c r="Q696" s="12">
        <f t="shared" si="112"/>
        <v>3.3573476953205894E-3</v>
      </c>
      <c r="R696" s="12">
        <f t="shared" si="113"/>
        <v>2.3131349782293142E-2</v>
      </c>
      <c r="S696" s="12">
        <f t="shared" si="114"/>
        <v>-4.5919680145676267E-3</v>
      </c>
      <c r="T696" s="12">
        <f t="shared" si="115"/>
        <v>4.5483332373768004E-3</v>
      </c>
      <c r="U696" s="12">
        <f t="shared" si="116"/>
        <v>5.5877836546665005E-3</v>
      </c>
      <c r="V696" s="12">
        <f t="shared" si="117"/>
        <v>1.1185819070904657E-2</v>
      </c>
      <c r="W696" s="12">
        <f t="shared" si="118"/>
        <v>2.1133689839572201E-2</v>
      </c>
      <c r="X696" s="12">
        <f t="shared" si="119"/>
        <v>4.7125353440151674E-3</v>
      </c>
      <c r="Y696" s="12">
        <f t="shared" si="120"/>
        <v>8.2462253193960056E-3</v>
      </c>
    </row>
    <row r="697" spans="1:25" x14ac:dyDescent="0.35">
      <c r="A697" s="6">
        <v>45138</v>
      </c>
      <c r="B697" s="8">
        <v>4588.96</v>
      </c>
      <c r="C697" s="2">
        <v>196.45</v>
      </c>
      <c r="D697" s="2">
        <v>144.18</v>
      </c>
      <c r="E697" s="2">
        <v>335.92</v>
      </c>
      <c r="F697" s="2">
        <v>506.37</v>
      </c>
      <c r="G697" s="2">
        <v>167.53</v>
      </c>
      <c r="H697" s="2">
        <v>237.73</v>
      </c>
      <c r="I697" s="2">
        <v>168.88</v>
      </c>
      <c r="J697" s="2">
        <v>238.85</v>
      </c>
      <c r="K697" s="2">
        <v>53.29</v>
      </c>
      <c r="L697" s="2">
        <v>265.17</v>
      </c>
      <c r="M697" s="64" t="s">
        <v>77</v>
      </c>
      <c r="N697" s="1"/>
      <c r="O697" s="12">
        <f t="shared" si="110"/>
        <v>1.4687171966489831E-3</v>
      </c>
      <c r="P697" s="12">
        <f t="shared" si="111"/>
        <v>3.1660113363629616E-3</v>
      </c>
      <c r="Q697" s="12">
        <f t="shared" si="112"/>
        <v>5.0888811432556746E-3</v>
      </c>
      <c r="R697" s="12">
        <f t="shared" si="113"/>
        <v>-7.2405946153618617E-3</v>
      </c>
      <c r="S697" s="12">
        <f t="shared" si="114"/>
        <v>6.8799586407111146E-3</v>
      </c>
      <c r="T697" s="12">
        <f t="shared" si="115"/>
        <v>-3.9832645575424097E-2</v>
      </c>
      <c r="U697" s="12">
        <f t="shared" si="116"/>
        <v>8.3987274655354938E-3</v>
      </c>
      <c r="V697" s="12">
        <f t="shared" si="117"/>
        <v>2.0854742187027764E-2</v>
      </c>
      <c r="W697" s="12">
        <f t="shared" si="118"/>
        <v>6.7032552683388147E-4</v>
      </c>
      <c r="X697" s="12">
        <f t="shared" si="119"/>
        <v>-1.8761726078797558E-4</v>
      </c>
      <c r="Y697" s="12">
        <f t="shared" si="120"/>
        <v>1.8200668125792019E-2</v>
      </c>
    </row>
    <row r="698" spans="1:25" x14ac:dyDescent="0.35">
      <c r="A698" s="6">
        <v>45139</v>
      </c>
      <c r="B698" s="8">
        <v>4576.7299999999996</v>
      </c>
      <c r="C698" s="2">
        <v>195.6</v>
      </c>
      <c r="D698" s="2">
        <v>143.33000000000001</v>
      </c>
      <c r="E698" s="2">
        <v>336.34</v>
      </c>
      <c r="F698" s="2">
        <v>504.74</v>
      </c>
      <c r="G698" s="2">
        <v>168.89</v>
      </c>
      <c r="H698" s="2">
        <v>239.78</v>
      </c>
      <c r="I698" s="2">
        <v>169.65</v>
      </c>
      <c r="J698" s="2">
        <v>238.01</v>
      </c>
      <c r="K698" s="2">
        <v>53.04</v>
      </c>
      <c r="L698" s="2">
        <v>288.64999999999998</v>
      </c>
      <c r="M698" s="64" t="s">
        <v>77</v>
      </c>
      <c r="N698" s="1"/>
      <c r="O698" s="12">
        <f t="shared" si="110"/>
        <v>-2.6650918726683903E-3</v>
      </c>
      <c r="P698" s="12">
        <f t="shared" si="111"/>
        <v>-4.326800712649459E-3</v>
      </c>
      <c r="Q698" s="12">
        <f t="shared" si="112"/>
        <v>-5.8954085171313286E-3</v>
      </c>
      <c r="R698" s="12">
        <f t="shared" si="113"/>
        <v>1.2502976899260165E-3</v>
      </c>
      <c r="S698" s="12">
        <f t="shared" si="114"/>
        <v>-3.2189900665521298E-3</v>
      </c>
      <c r="T698" s="12">
        <f t="shared" si="115"/>
        <v>8.117949024055271E-3</v>
      </c>
      <c r="U698" s="12">
        <f t="shared" si="116"/>
        <v>8.6232280318008225E-3</v>
      </c>
      <c r="V698" s="12">
        <f t="shared" si="117"/>
        <v>4.5594504973947014E-3</v>
      </c>
      <c r="W698" s="12">
        <f t="shared" si="118"/>
        <v>-3.5168515804898659E-3</v>
      </c>
      <c r="X698" s="12">
        <f t="shared" si="119"/>
        <v>-4.6913116907487673E-3</v>
      </c>
      <c r="Y698" s="12">
        <f t="shared" si="120"/>
        <v>8.8546969868386061E-2</v>
      </c>
    </row>
    <row r="699" spans="1:25" x14ac:dyDescent="0.35">
      <c r="A699" s="6">
        <v>45140</v>
      </c>
      <c r="B699" s="8">
        <v>4513.3900000000003</v>
      </c>
      <c r="C699" s="2">
        <v>192.58</v>
      </c>
      <c r="D699" s="2">
        <v>144.16999999999999</v>
      </c>
      <c r="E699" s="2">
        <v>327.5</v>
      </c>
      <c r="F699" s="2">
        <v>504.8</v>
      </c>
      <c r="G699" s="2">
        <v>169.91</v>
      </c>
      <c r="H699" s="2">
        <v>237.56</v>
      </c>
      <c r="I699" s="2">
        <v>166.75</v>
      </c>
      <c r="J699" s="2">
        <v>231.38</v>
      </c>
      <c r="K699" s="2">
        <v>53.07</v>
      </c>
      <c r="L699" s="2">
        <v>287.57</v>
      </c>
      <c r="M699" s="64" t="s">
        <v>77</v>
      </c>
      <c r="N699" s="1"/>
      <c r="O699" s="12">
        <f t="shared" si="110"/>
        <v>-1.383957541738301E-2</v>
      </c>
      <c r="P699" s="12">
        <f t="shared" si="111"/>
        <v>-1.543967280163594E-2</v>
      </c>
      <c r="Q699" s="12">
        <f t="shared" si="112"/>
        <v>5.8606014093349756E-3</v>
      </c>
      <c r="R699" s="12">
        <f t="shared" si="113"/>
        <v>-2.6282927989534355E-2</v>
      </c>
      <c r="S699" s="12">
        <f t="shared" si="114"/>
        <v>1.1887308317160006E-4</v>
      </c>
      <c r="T699" s="12">
        <f t="shared" si="115"/>
        <v>6.039433951092521E-3</v>
      </c>
      <c r="U699" s="12">
        <f t="shared" si="116"/>
        <v>-9.2584869463675501E-3</v>
      </c>
      <c r="V699" s="12">
        <f t="shared" si="117"/>
        <v>-1.7094017094017144E-2</v>
      </c>
      <c r="W699" s="12">
        <f t="shared" si="118"/>
        <v>-2.785597243813287E-2</v>
      </c>
      <c r="X699" s="12">
        <f t="shared" si="119"/>
        <v>5.6561085972850478E-4</v>
      </c>
      <c r="Y699" s="12">
        <f t="shared" si="120"/>
        <v>-3.7415555170621229E-3</v>
      </c>
    </row>
    <row r="700" spans="1:25" x14ac:dyDescent="0.35">
      <c r="A700" s="6">
        <v>45141</v>
      </c>
      <c r="B700" s="8">
        <v>4501.8900000000003</v>
      </c>
      <c r="C700" s="2">
        <v>191.17</v>
      </c>
      <c r="D700" s="2">
        <v>144.44999999999999</v>
      </c>
      <c r="E700" s="2">
        <v>326.66000000000003</v>
      </c>
      <c r="F700" s="2">
        <v>504.86</v>
      </c>
      <c r="G700" s="2">
        <v>170.64</v>
      </c>
      <c r="H700" s="2">
        <v>238.76</v>
      </c>
      <c r="I700" s="2">
        <v>166.41</v>
      </c>
      <c r="J700" s="2">
        <v>231.36</v>
      </c>
      <c r="K700" s="2">
        <v>53.09</v>
      </c>
      <c r="L700" s="2">
        <v>281.45</v>
      </c>
      <c r="M700" s="64" t="s">
        <v>77</v>
      </c>
      <c r="N700" s="1"/>
      <c r="O700" s="12">
        <f t="shared" si="110"/>
        <v>-2.5479739176096361E-3</v>
      </c>
      <c r="P700" s="12">
        <f t="shared" si="111"/>
        <v>-7.3216325682834427E-3</v>
      </c>
      <c r="Q700" s="12">
        <f t="shared" si="112"/>
        <v>1.9421516265520911E-3</v>
      </c>
      <c r="R700" s="12">
        <f t="shared" si="113"/>
        <v>-2.5648854961831669E-3</v>
      </c>
      <c r="S700" s="12">
        <f t="shared" si="114"/>
        <v>1.1885895404128988E-4</v>
      </c>
      <c r="T700" s="12">
        <f t="shared" si="115"/>
        <v>4.2963922076393324E-3</v>
      </c>
      <c r="U700" s="12">
        <f t="shared" si="116"/>
        <v>5.0513554470448252E-3</v>
      </c>
      <c r="V700" s="12">
        <f t="shared" si="117"/>
        <v>-2.0389805097451585E-3</v>
      </c>
      <c r="W700" s="12">
        <f t="shared" si="118"/>
        <v>-8.6437894372792812E-5</v>
      </c>
      <c r="X700" s="12">
        <f t="shared" si="119"/>
        <v>3.7686074995302299E-4</v>
      </c>
      <c r="Y700" s="12">
        <f t="shared" si="120"/>
        <v>-2.1281774872205061E-2</v>
      </c>
    </row>
    <row r="701" spans="1:25" x14ac:dyDescent="0.35">
      <c r="A701" s="6">
        <v>45142</v>
      </c>
      <c r="B701" s="8">
        <v>4478.03</v>
      </c>
      <c r="C701" s="2">
        <v>181.99</v>
      </c>
      <c r="D701" s="2">
        <v>144.24</v>
      </c>
      <c r="E701" s="2">
        <v>327.78</v>
      </c>
      <c r="F701" s="2">
        <v>502.73</v>
      </c>
      <c r="G701" s="2">
        <v>169.04</v>
      </c>
      <c r="H701" s="2">
        <v>238.99</v>
      </c>
      <c r="I701" s="2">
        <v>165.41</v>
      </c>
      <c r="J701" s="2">
        <v>231.36</v>
      </c>
      <c r="K701" s="2">
        <v>52.78</v>
      </c>
      <c r="L701" s="2">
        <v>276.44</v>
      </c>
      <c r="M701" s="64">
        <v>9.68</v>
      </c>
      <c r="N701" s="1"/>
      <c r="O701" s="12">
        <f t="shared" si="110"/>
        <v>-5.2999962238083898E-3</v>
      </c>
      <c r="P701" s="12">
        <f t="shared" si="111"/>
        <v>-4.8020086833708064E-2</v>
      </c>
      <c r="Q701" s="12">
        <f t="shared" si="112"/>
        <v>-1.4537902388368495E-3</v>
      </c>
      <c r="R701" s="12">
        <f t="shared" si="113"/>
        <v>3.4286414008446453E-3</v>
      </c>
      <c r="S701" s="12">
        <f t="shared" si="114"/>
        <v>-4.218991403557415E-3</v>
      </c>
      <c r="T701" s="12">
        <f t="shared" si="115"/>
        <v>-9.3764650726675391E-3</v>
      </c>
      <c r="U701" s="12">
        <f t="shared" si="116"/>
        <v>9.6331043725927934E-4</v>
      </c>
      <c r="V701" s="12">
        <f t="shared" si="117"/>
        <v>-6.0092542515474134E-3</v>
      </c>
      <c r="W701" s="12">
        <f t="shared" si="118"/>
        <v>0</v>
      </c>
      <c r="X701" s="12">
        <f t="shared" si="119"/>
        <v>-5.8391410811828859E-3</v>
      </c>
      <c r="Y701" s="12">
        <f t="shared" si="120"/>
        <v>-1.7800675075501871E-2</v>
      </c>
    </row>
    <row r="702" spans="1:25" x14ac:dyDescent="0.35">
      <c r="A702" s="6">
        <v>45145</v>
      </c>
      <c r="B702" s="8">
        <v>4518.4399999999996</v>
      </c>
      <c r="C702" s="2">
        <v>178.85</v>
      </c>
      <c r="D702" s="2">
        <v>146.18</v>
      </c>
      <c r="E702" s="2">
        <v>330.11</v>
      </c>
      <c r="F702" s="2">
        <v>510.74</v>
      </c>
      <c r="G702" s="2">
        <v>173.1</v>
      </c>
      <c r="H702" s="2">
        <v>241.51</v>
      </c>
      <c r="I702" s="2">
        <v>166.96</v>
      </c>
      <c r="J702" s="2">
        <v>238.25</v>
      </c>
      <c r="K702" s="2">
        <v>53.5</v>
      </c>
      <c r="L702" s="2">
        <v>281.64999999999998</v>
      </c>
      <c r="M702" s="64" t="s">
        <v>77</v>
      </c>
      <c r="N702" s="1"/>
      <c r="O702" s="12">
        <f t="shared" si="110"/>
        <v>9.02405745383561E-3</v>
      </c>
      <c r="P702" s="12">
        <f t="shared" si="111"/>
        <v>-1.7253695257981261E-2</v>
      </c>
      <c r="Q702" s="12">
        <f t="shared" si="112"/>
        <v>1.3449805879090393E-2</v>
      </c>
      <c r="R702" s="12">
        <f t="shared" si="113"/>
        <v>7.1084263835501371E-3</v>
      </c>
      <c r="S702" s="12">
        <f t="shared" si="114"/>
        <v>1.5933005788395294E-2</v>
      </c>
      <c r="T702" s="12">
        <f t="shared" si="115"/>
        <v>2.40179839091339E-2</v>
      </c>
      <c r="U702" s="12">
        <f t="shared" si="116"/>
        <v>1.0544374241600041E-2</v>
      </c>
      <c r="V702" s="12">
        <f t="shared" si="117"/>
        <v>9.3706547367149451E-3</v>
      </c>
      <c r="W702" s="12">
        <f t="shared" si="118"/>
        <v>2.9780428769017986E-2</v>
      </c>
      <c r="X702" s="12">
        <f t="shared" si="119"/>
        <v>1.3641530882910091E-2</v>
      </c>
      <c r="Y702" s="12">
        <f t="shared" si="120"/>
        <v>1.8846766025177208E-2</v>
      </c>
    </row>
    <row r="703" spans="1:25" x14ac:dyDescent="0.35">
      <c r="A703" s="6">
        <v>45146</v>
      </c>
      <c r="B703" s="8">
        <v>4499.38</v>
      </c>
      <c r="C703" s="2">
        <v>179.8</v>
      </c>
      <c r="D703" s="2">
        <v>145.91</v>
      </c>
      <c r="E703" s="2">
        <v>326.05</v>
      </c>
      <c r="F703" s="2">
        <v>505.86</v>
      </c>
      <c r="G703" s="2">
        <v>173.18</v>
      </c>
      <c r="H703" s="2">
        <v>239.29</v>
      </c>
      <c r="I703" s="2">
        <v>165.87</v>
      </c>
      <c r="J703" s="2">
        <v>238.04</v>
      </c>
      <c r="K703" s="2">
        <v>53.55</v>
      </c>
      <c r="L703" s="2">
        <v>282.89</v>
      </c>
      <c r="M703" s="64" t="s">
        <v>77</v>
      </c>
      <c r="N703" s="1"/>
      <c r="O703" s="12">
        <f t="shared" si="110"/>
        <v>-4.2182700223970526E-3</v>
      </c>
      <c r="P703" s="12">
        <f t="shared" si="111"/>
        <v>5.3117137265865644E-3</v>
      </c>
      <c r="Q703" s="12">
        <f t="shared" si="112"/>
        <v>-1.8470378984813962E-3</v>
      </c>
      <c r="R703" s="12">
        <f t="shared" si="113"/>
        <v>-1.2298930659477181E-2</v>
      </c>
      <c r="S703" s="12">
        <f t="shared" si="114"/>
        <v>-9.5547636762344235E-3</v>
      </c>
      <c r="T703" s="12">
        <f t="shared" si="115"/>
        <v>4.6216060080883636E-4</v>
      </c>
      <c r="U703" s="12">
        <f t="shared" si="116"/>
        <v>-9.1921659558610314E-3</v>
      </c>
      <c r="V703" s="12">
        <f t="shared" si="117"/>
        <v>-6.5285098227120253E-3</v>
      </c>
      <c r="W703" s="12">
        <f t="shared" si="118"/>
        <v>-8.8142707240301821E-4</v>
      </c>
      <c r="X703" s="12">
        <f t="shared" si="119"/>
        <v>9.3457943925234765E-4</v>
      </c>
      <c r="Y703" s="12">
        <f t="shared" si="120"/>
        <v>4.4026273744008915E-3</v>
      </c>
    </row>
    <row r="704" spans="1:25" x14ac:dyDescent="0.35">
      <c r="A704" s="6">
        <v>45147</v>
      </c>
      <c r="B704" s="8">
        <v>4467.71</v>
      </c>
      <c r="C704" s="2">
        <v>178.19</v>
      </c>
      <c r="D704" s="2">
        <v>142.49</v>
      </c>
      <c r="E704" s="2">
        <v>322.23</v>
      </c>
      <c r="F704" s="2">
        <v>502.11</v>
      </c>
      <c r="G704" s="2">
        <v>173.07</v>
      </c>
      <c r="H704" s="2">
        <v>239.76</v>
      </c>
      <c r="I704" s="2">
        <v>163.82</v>
      </c>
      <c r="J704" s="2">
        <v>237.86</v>
      </c>
      <c r="K704" s="2">
        <v>53.64</v>
      </c>
      <c r="L704" s="2">
        <v>284.52999999999997</v>
      </c>
      <c r="M704" s="64" t="s">
        <v>77</v>
      </c>
      <c r="N704" s="1"/>
      <c r="O704" s="12">
        <f t="shared" si="110"/>
        <v>-7.0387475607750494E-3</v>
      </c>
      <c r="P704" s="12">
        <f t="shared" si="111"/>
        <v>-8.9543937708566057E-3</v>
      </c>
      <c r="Q704" s="12">
        <f t="shared" si="112"/>
        <v>-2.3439106298403067E-2</v>
      </c>
      <c r="R704" s="12">
        <f t="shared" si="113"/>
        <v>-1.1715994479374325E-2</v>
      </c>
      <c r="S704" s="12">
        <f t="shared" si="114"/>
        <v>-7.4131182540624341E-3</v>
      </c>
      <c r="T704" s="12">
        <f t="shared" si="115"/>
        <v>-6.3517727220241404E-4</v>
      </c>
      <c r="U704" s="12">
        <f t="shared" si="116"/>
        <v>1.9641439257804816E-3</v>
      </c>
      <c r="V704" s="12">
        <f t="shared" si="117"/>
        <v>-1.2359076385120904E-2</v>
      </c>
      <c r="W704" s="12">
        <f t="shared" si="118"/>
        <v>-7.561754327003456E-4</v>
      </c>
      <c r="X704" s="12">
        <f t="shared" si="119"/>
        <v>1.6806722689075571E-3</v>
      </c>
      <c r="Y704" s="12">
        <f t="shared" si="120"/>
        <v>5.7973063735019537E-3</v>
      </c>
    </row>
    <row r="705" spans="1:25" x14ac:dyDescent="0.35">
      <c r="A705" s="6">
        <v>45148</v>
      </c>
      <c r="B705" s="8">
        <v>4468.83</v>
      </c>
      <c r="C705" s="2">
        <v>177.97</v>
      </c>
      <c r="D705" s="2">
        <v>143.25</v>
      </c>
      <c r="E705" s="2">
        <v>322.93</v>
      </c>
      <c r="F705" s="2">
        <v>503.48</v>
      </c>
      <c r="G705" s="2">
        <v>172.17</v>
      </c>
      <c r="H705" s="2">
        <v>240.16</v>
      </c>
      <c r="I705" s="2">
        <v>163.54</v>
      </c>
      <c r="J705" s="2">
        <v>238.26</v>
      </c>
      <c r="K705" s="2">
        <v>53.42</v>
      </c>
      <c r="L705" s="2">
        <v>283.82</v>
      </c>
      <c r="M705" s="64" t="s">
        <v>77</v>
      </c>
      <c r="N705" s="1"/>
      <c r="O705" s="12">
        <f t="shared" si="110"/>
        <v>2.5068771249703303E-4</v>
      </c>
      <c r="P705" s="12">
        <f t="shared" si="111"/>
        <v>-1.2346371850272542E-3</v>
      </c>
      <c r="Q705" s="12">
        <f t="shared" si="112"/>
        <v>5.3337076286055218E-3</v>
      </c>
      <c r="R705" s="12">
        <f t="shared" si="113"/>
        <v>2.1723613567947719E-3</v>
      </c>
      <c r="S705" s="12">
        <f t="shared" si="114"/>
        <v>2.7284857899663173E-3</v>
      </c>
      <c r="T705" s="12">
        <f t="shared" si="115"/>
        <v>-5.2002080083203284E-3</v>
      </c>
      <c r="U705" s="12">
        <f t="shared" si="116"/>
        <v>1.6683350016684084E-3</v>
      </c>
      <c r="V705" s="12">
        <f t="shared" si="117"/>
        <v>-1.7091930167256741E-3</v>
      </c>
      <c r="W705" s="12">
        <f t="shared" si="118"/>
        <v>1.6816614815435837E-3</v>
      </c>
      <c r="X705" s="12">
        <f t="shared" si="119"/>
        <v>-4.1014168530947304E-3</v>
      </c>
      <c r="Y705" s="12">
        <f t="shared" si="120"/>
        <v>-2.4953431975537343E-3</v>
      </c>
    </row>
    <row r="706" spans="1:25" x14ac:dyDescent="0.35">
      <c r="A706" s="6">
        <v>45149</v>
      </c>
      <c r="B706" s="8">
        <v>4464.05</v>
      </c>
      <c r="C706" s="2">
        <v>177.79</v>
      </c>
      <c r="D706" s="2">
        <v>143.12</v>
      </c>
      <c r="E706" s="2">
        <v>321.01</v>
      </c>
      <c r="F706" s="2">
        <v>508.01</v>
      </c>
      <c r="G706" s="2">
        <v>173.85</v>
      </c>
      <c r="H706" s="2">
        <v>240.04</v>
      </c>
      <c r="I706" s="2">
        <v>165.27</v>
      </c>
      <c r="J706" s="2">
        <v>235.72</v>
      </c>
      <c r="K706" s="2">
        <v>53.73</v>
      </c>
      <c r="L706" s="2">
        <v>285.22000000000003</v>
      </c>
      <c r="M706" s="64">
        <v>10</v>
      </c>
      <c r="N706" s="1"/>
      <c r="O706" s="12">
        <f t="shared" si="110"/>
        <v>-1.0696312010077813E-3</v>
      </c>
      <c r="P706" s="12">
        <f t="shared" si="111"/>
        <v>-1.0114064168118553E-3</v>
      </c>
      <c r="Q706" s="12">
        <f t="shared" si="112"/>
        <v>-9.0750436300168769E-4</v>
      </c>
      <c r="R706" s="12">
        <f t="shared" si="113"/>
        <v>-5.9455609574831092E-3</v>
      </c>
      <c r="S706" s="12">
        <f t="shared" si="114"/>
        <v>8.9973782473979913E-3</v>
      </c>
      <c r="T706" s="12">
        <f t="shared" si="115"/>
        <v>9.7577975257012728E-3</v>
      </c>
      <c r="U706" s="12">
        <f t="shared" si="116"/>
        <v>-4.9966688874081289E-4</v>
      </c>
      <c r="V706" s="12">
        <f t="shared" si="117"/>
        <v>1.0578451754922558E-2</v>
      </c>
      <c r="W706" s="12">
        <f t="shared" si="118"/>
        <v>-1.0660622848988499E-2</v>
      </c>
      <c r="X706" s="12">
        <f t="shared" si="119"/>
        <v>5.8030700112317035E-3</v>
      </c>
      <c r="Y706" s="12">
        <f t="shared" si="120"/>
        <v>4.9327038263689005E-3</v>
      </c>
    </row>
    <row r="707" spans="1:25" x14ac:dyDescent="0.35">
      <c r="A707" s="6">
        <v>45152</v>
      </c>
      <c r="B707" s="8">
        <v>4489.72</v>
      </c>
      <c r="C707" s="2">
        <v>179.46</v>
      </c>
      <c r="D707" s="2">
        <v>141.91</v>
      </c>
      <c r="E707" s="2">
        <v>324.04000000000002</v>
      </c>
      <c r="F707" s="2">
        <v>510.93</v>
      </c>
      <c r="G707" s="2">
        <v>173.44</v>
      </c>
      <c r="H707" s="2">
        <v>242.9</v>
      </c>
      <c r="I707" s="2">
        <v>166.08</v>
      </c>
      <c r="J707" s="2">
        <v>236.71</v>
      </c>
      <c r="K707" s="2">
        <v>53.33</v>
      </c>
      <c r="L707" s="2">
        <v>284.54000000000002</v>
      </c>
      <c r="M707" s="64" t="s">
        <v>77</v>
      </c>
      <c r="N707" s="1"/>
      <c r="O707" s="12">
        <f t="shared" si="110"/>
        <v>5.7503836202552616E-3</v>
      </c>
      <c r="P707" s="12">
        <f t="shared" si="111"/>
        <v>9.3931042240846807E-3</v>
      </c>
      <c r="Q707" s="12">
        <f t="shared" si="112"/>
        <v>-8.454443823365021E-3</v>
      </c>
      <c r="R707" s="12">
        <f t="shared" si="113"/>
        <v>9.4389582879039757E-3</v>
      </c>
      <c r="S707" s="12">
        <f t="shared" si="114"/>
        <v>5.7479183480639851E-3</v>
      </c>
      <c r="T707" s="12">
        <f t="shared" si="115"/>
        <v>-2.3583549036525486E-3</v>
      </c>
      <c r="U707" s="12">
        <f t="shared" si="116"/>
        <v>1.1914680886518925E-2</v>
      </c>
      <c r="V707" s="12">
        <f t="shared" si="117"/>
        <v>4.901070974768551E-3</v>
      </c>
      <c r="W707" s="12">
        <f t="shared" si="118"/>
        <v>4.1998981842865657E-3</v>
      </c>
      <c r="X707" s="12">
        <f t="shared" si="119"/>
        <v>-7.4446305602083873E-3</v>
      </c>
      <c r="Y707" s="12">
        <f t="shared" si="120"/>
        <v>-2.3841245354463414E-3</v>
      </c>
    </row>
    <row r="708" spans="1:25" x14ac:dyDescent="0.35">
      <c r="A708" s="6">
        <v>45153</v>
      </c>
      <c r="B708" s="8">
        <v>4437.8599999999997</v>
      </c>
      <c r="C708" s="2">
        <v>177.45</v>
      </c>
      <c r="D708" s="2">
        <v>141.87</v>
      </c>
      <c r="E708" s="2">
        <v>321.86</v>
      </c>
      <c r="F708" s="2">
        <v>506.69</v>
      </c>
      <c r="G708" s="2">
        <v>172.94</v>
      </c>
      <c r="H708" s="2">
        <v>239.83</v>
      </c>
      <c r="I708" s="2">
        <v>161.91</v>
      </c>
      <c r="J708" s="2">
        <v>232.26</v>
      </c>
      <c r="K708" s="2">
        <v>53.06</v>
      </c>
      <c r="L708" s="2">
        <v>277.37</v>
      </c>
      <c r="M708" s="64" t="s">
        <v>77</v>
      </c>
      <c r="N708" s="1"/>
      <c r="O708" s="12">
        <f t="shared" si="110"/>
        <v>-1.1550831677699436E-2</v>
      </c>
      <c r="P708" s="12">
        <f t="shared" si="111"/>
        <v>-1.1200267469073988E-2</v>
      </c>
      <c r="Q708" s="12">
        <f t="shared" si="112"/>
        <v>-2.8186879007818799E-4</v>
      </c>
      <c r="R708" s="12">
        <f t="shared" si="113"/>
        <v>-6.7275644982101035E-3</v>
      </c>
      <c r="S708" s="12">
        <f t="shared" si="114"/>
        <v>-8.2985927622178934E-3</v>
      </c>
      <c r="T708" s="12">
        <f t="shared" si="115"/>
        <v>-2.8828413284133214E-3</v>
      </c>
      <c r="U708" s="12">
        <f t="shared" si="116"/>
        <v>-1.2638946068340817E-2</v>
      </c>
      <c r="V708" s="12">
        <f t="shared" si="117"/>
        <v>-2.5108381502890298E-2</v>
      </c>
      <c r="W708" s="12">
        <f t="shared" si="118"/>
        <v>-1.8799374762367482E-2</v>
      </c>
      <c r="X708" s="12">
        <f t="shared" si="119"/>
        <v>-5.0628164260265729E-3</v>
      </c>
      <c r="Y708" s="12">
        <f t="shared" si="120"/>
        <v>-2.5198566106698572E-2</v>
      </c>
    </row>
    <row r="709" spans="1:25" x14ac:dyDescent="0.35">
      <c r="A709" s="6">
        <v>45154</v>
      </c>
      <c r="B709" s="8">
        <v>4404.33</v>
      </c>
      <c r="C709" s="2">
        <v>176.57</v>
      </c>
      <c r="D709" s="2">
        <v>140.63999999999999</v>
      </c>
      <c r="E709" s="2">
        <v>320.39999999999998</v>
      </c>
      <c r="F709" s="2">
        <v>503.56</v>
      </c>
      <c r="G709" s="2">
        <v>172.39</v>
      </c>
      <c r="H709" s="2">
        <v>239.29</v>
      </c>
      <c r="I709" s="2">
        <v>160.76</v>
      </c>
      <c r="J709" s="2">
        <v>229.95</v>
      </c>
      <c r="K709" s="2">
        <v>53.09</v>
      </c>
      <c r="L709" s="2">
        <v>274.51</v>
      </c>
      <c r="M709" s="64" t="s">
        <v>77</v>
      </c>
      <c r="N709" s="1"/>
      <c r="O709" s="12">
        <f t="shared" ref="O709:O772" si="121">(B709/B708)-1</f>
        <v>-7.5554433893813E-3</v>
      </c>
      <c r="P709" s="12">
        <f t="shared" ref="P709:P772" si="122">(C709/C708)-1</f>
        <v>-4.9591434206818219E-3</v>
      </c>
      <c r="Q709" s="12">
        <f t="shared" ref="Q709:Q772" si="123">(D709/D708)-1</f>
        <v>-8.6699090716855221E-3</v>
      </c>
      <c r="R709" s="12">
        <f t="shared" ref="R709:R772" si="124">(E709/E708)-1</f>
        <v>-4.5361337227367571E-3</v>
      </c>
      <c r="S709" s="12">
        <f t="shared" ref="S709:S772" si="125">(F709/F708)-1</f>
        <v>-6.1773470958573773E-3</v>
      </c>
      <c r="T709" s="12">
        <f t="shared" ref="T709:T772" si="126">(G709/G708)-1</f>
        <v>-3.180293743494933E-3</v>
      </c>
      <c r="U709" s="12">
        <f t="shared" ref="U709:U772" si="127">(H709/H708)-1</f>
        <v>-2.2515948797064977E-3</v>
      </c>
      <c r="V709" s="12">
        <f t="shared" ref="V709:V772" si="128">(I709/I708)-1</f>
        <v>-7.1027113828671107E-3</v>
      </c>
      <c r="W709" s="12">
        <f t="shared" ref="W709:W772" si="129">(J709/J708)-1</f>
        <v>-9.9457504520795714E-3</v>
      </c>
      <c r="X709" s="12">
        <f t="shared" ref="X709:X772" si="130">(K709/K708)-1</f>
        <v>5.653976630231039E-4</v>
      </c>
      <c r="Y709" s="12">
        <f t="shared" ref="Y709:Y772" si="131">(L709/L708)-1</f>
        <v>-1.0311136748747174E-2</v>
      </c>
    </row>
    <row r="710" spans="1:25" x14ac:dyDescent="0.35">
      <c r="A710" s="6">
        <v>45155</v>
      </c>
      <c r="B710" s="8">
        <v>4370.3599999999997</v>
      </c>
      <c r="C710" s="2">
        <v>174</v>
      </c>
      <c r="D710" s="2">
        <v>140.66</v>
      </c>
      <c r="E710" s="2">
        <v>316.88</v>
      </c>
      <c r="F710" s="2">
        <v>493.96</v>
      </c>
      <c r="G710" s="2">
        <v>174.01</v>
      </c>
      <c r="H710" s="2">
        <v>237.37</v>
      </c>
      <c r="I710" s="2">
        <v>160.58000000000001</v>
      </c>
      <c r="J710" s="2">
        <v>224.54</v>
      </c>
      <c r="K710" s="2">
        <v>51.9</v>
      </c>
      <c r="L710" s="2">
        <v>275.17</v>
      </c>
      <c r="M710" s="64">
        <v>9.8000000000000007</v>
      </c>
      <c r="N710" s="1"/>
      <c r="O710" s="12">
        <f t="shared" si="121"/>
        <v>-7.7128643857296009E-3</v>
      </c>
      <c r="P710" s="12">
        <f t="shared" si="122"/>
        <v>-1.4555133941213105E-2</v>
      </c>
      <c r="Q710" s="12">
        <f t="shared" si="123"/>
        <v>1.422070534700115E-4</v>
      </c>
      <c r="R710" s="12">
        <f t="shared" si="124"/>
        <v>-1.0986267166042341E-2</v>
      </c>
      <c r="S710" s="12">
        <f t="shared" si="125"/>
        <v>-1.9064262451346403E-2</v>
      </c>
      <c r="T710" s="12">
        <f t="shared" si="126"/>
        <v>9.3972968269622204E-3</v>
      </c>
      <c r="U710" s="12">
        <f t="shared" si="127"/>
        <v>-8.023736888294497E-3</v>
      </c>
      <c r="V710" s="12">
        <f t="shared" si="128"/>
        <v>-1.1196815128140525E-3</v>
      </c>
      <c r="W710" s="12">
        <f t="shared" si="129"/>
        <v>-2.3526853663839997E-2</v>
      </c>
      <c r="X710" s="12">
        <f t="shared" si="130"/>
        <v>-2.2414767376153777E-2</v>
      </c>
      <c r="Y710" s="12">
        <f t="shared" si="131"/>
        <v>2.4042839969400376E-3</v>
      </c>
    </row>
    <row r="711" spans="1:25" x14ac:dyDescent="0.35">
      <c r="A711" s="6">
        <v>45156</v>
      </c>
      <c r="B711" s="8">
        <v>4369.71</v>
      </c>
      <c r="C711" s="2">
        <v>174.49</v>
      </c>
      <c r="D711" s="2">
        <v>141.41</v>
      </c>
      <c r="E711" s="2">
        <v>316.48</v>
      </c>
      <c r="F711" s="2">
        <v>498.44</v>
      </c>
      <c r="G711" s="2">
        <v>172.49</v>
      </c>
      <c r="H711" s="2">
        <v>238.17</v>
      </c>
      <c r="I711" s="2">
        <v>160.22999999999999</v>
      </c>
      <c r="J711" s="2">
        <v>226.65</v>
      </c>
      <c r="K711" s="2">
        <v>52.64</v>
      </c>
      <c r="L711" s="2">
        <v>273.8</v>
      </c>
      <c r="M711" s="64" t="s">
        <v>77</v>
      </c>
      <c r="N711" s="1"/>
      <c r="O711" s="12">
        <f t="shared" si="121"/>
        <v>-1.4872916647590273E-4</v>
      </c>
      <c r="P711" s="12">
        <f t="shared" si="122"/>
        <v>2.8160919540229923E-3</v>
      </c>
      <c r="Q711" s="12">
        <f t="shared" si="123"/>
        <v>5.3320062562207671E-3</v>
      </c>
      <c r="R711" s="12">
        <f t="shared" si="124"/>
        <v>-1.2623074981065185E-3</v>
      </c>
      <c r="S711" s="12">
        <f t="shared" si="125"/>
        <v>9.06956028828243E-3</v>
      </c>
      <c r="T711" s="12">
        <f t="shared" si="126"/>
        <v>-8.7351301649329915E-3</v>
      </c>
      <c r="U711" s="12">
        <f t="shared" si="127"/>
        <v>3.3702658297172228E-3</v>
      </c>
      <c r="V711" s="12">
        <f t="shared" si="128"/>
        <v>-2.1795989537926053E-3</v>
      </c>
      <c r="W711" s="12">
        <f t="shared" si="129"/>
        <v>9.3969894005523358E-3</v>
      </c>
      <c r="X711" s="12">
        <f t="shared" si="130"/>
        <v>1.4258188824662898E-2</v>
      </c>
      <c r="Y711" s="12">
        <f t="shared" si="131"/>
        <v>-4.9787404150162251E-3</v>
      </c>
    </row>
    <row r="712" spans="1:25" x14ac:dyDescent="0.35">
      <c r="A712" s="6">
        <v>45159</v>
      </c>
      <c r="B712" s="8">
        <v>4399.7700000000004</v>
      </c>
      <c r="C712" s="2">
        <v>175.84</v>
      </c>
      <c r="D712" s="2">
        <v>142.28</v>
      </c>
      <c r="E712" s="2">
        <v>321.88</v>
      </c>
      <c r="F712" s="2">
        <v>497.68</v>
      </c>
      <c r="G712" s="2">
        <v>167.35</v>
      </c>
      <c r="H712" s="2">
        <v>239.46</v>
      </c>
      <c r="I712" s="2">
        <v>160.88</v>
      </c>
      <c r="J712" s="2">
        <v>227.22</v>
      </c>
      <c r="K712" s="2">
        <v>52.5</v>
      </c>
      <c r="L712" s="2">
        <v>272.75</v>
      </c>
      <c r="M712" s="64" t="s">
        <v>77</v>
      </c>
      <c r="N712" s="1"/>
      <c r="O712" s="12">
        <f t="shared" si="121"/>
        <v>6.8791750482297687E-3</v>
      </c>
      <c r="P712" s="12">
        <f t="shared" si="122"/>
        <v>7.7368330563356569E-3</v>
      </c>
      <c r="Q712" s="12">
        <f t="shared" si="123"/>
        <v>6.1523230323174971E-3</v>
      </c>
      <c r="R712" s="12">
        <f t="shared" si="124"/>
        <v>1.7062689585439772E-2</v>
      </c>
      <c r="S712" s="12">
        <f t="shared" si="125"/>
        <v>-1.5247572425969302E-3</v>
      </c>
      <c r="T712" s="12">
        <f t="shared" si="126"/>
        <v>-2.9798828917618536E-2</v>
      </c>
      <c r="U712" s="12">
        <f t="shared" si="127"/>
        <v>5.4162992820254718E-3</v>
      </c>
      <c r="V712" s="12">
        <f t="shared" si="128"/>
        <v>4.0566685389753498E-3</v>
      </c>
      <c r="W712" s="12">
        <f t="shared" si="129"/>
        <v>2.5148908007941451E-3</v>
      </c>
      <c r="X712" s="12">
        <f t="shared" si="130"/>
        <v>-2.6595744680850686E-3</v>
      </c>
      <c r="Y712" s="12">
        <f t="shared" si="131"/>
        <v>-3.8349159970781921E-3</v>
      </c>
    </row>
    <row r="713" spans="1:25" x14ac:dyDescent="0.35">
      <c r="A713" s="6">
        <v>45160</v>
      </c>
      <c r="B713" s="8">
        <v>4387.55</v>
      </c>
      <c r="C713" s="2">
        <v>177.23</v>
      </c>
      <c r="D713" s="2">
        <v>141.49</v>
      </c>
      <c r="E713" s="2">
        <v>322.45999999999998</v>
      </c>
      <c r="F713" s="2">
        <v>492.34</v>
      </c>
      <c r="G713" s="2">
        <v>166.02</v>
      </c>
      <c r="H713" s="2">
        <v>240.57</v>
      </c>
      <c r="I713" s="2">
        <v>159.08000000000001</v>
      </c>
      <c r="J713" s="2">
        <v>230.07</v>
      </c>
      <c r="K713" s="2">
        <v>52.34</v>
      </c>
      <c r="L713" s="2">
        <v>270.2</v>
      </c>
      <c r="M713" s="64" t="s">
        <v>77</v>
      </c>
      <c r="N713" s="1"/>
      <c r="O713" s="12">
        <f t="shared" si="121"/>
        <v>-2.7774179104816943E-3</v>
      </c>
      <c r="P713" s="12">
        <f t="shared" si="122"/>
        <v>7.9049135577797802E-3</v>
      </c>
      <c r="Q713" s="12">
        <f t="shared" si="123"/>
        <v>-5.5524318245712134E-3</v>
      </c>
      <c r="R713" s="12">
        <f t="shared" si="124"/>
        <v>1.8019137566793741E-3</v>
      </c>
      <c r="S713" s="12">
        <f t="shared" si="125"/>
        <v>-1.0729786208005243E-2</v>
      </c>
      <c r="T713" s="12">
        <f t="shared" si="126"/>
        <v>-7.9474155960560511E-3</v>
      </c>
      <c r="U713" s="12">
        <f t="shared" si="127"/>
        <v>4.6354297168629266E-3</v>
      </c>
      <c r="V713" s="12">
        <f t="shared" si="128"/>
        <v>-1.1188463451019315E-2</v>
      </c>
      <c r="W713" s="12">
        <f t="shared" si="129"/>
        <v>1.2542909955109538E-2</v>
      </c>
      <c r="X713" s="12">
        <f t="shared" si="130"/>
        <v>-3.0476190476189657E-3</v>
      </c>
      <c r="Y713" s="12">
        <f t="shared" si="131"/>
        <v>-9.3492208982585145E-3</v>
      </c>
    </row>
    <row r="714" spans="1:25" x14ac:dyDescent="0.35">
      <c r="A714" s="6">
        <v>45161</v>
      </c>
      <c r="B714" s="8">
        <v>4436.01</v>
      </c>
      <c r="C714" s="2">
        <v>181.12</v>
      </c>
      <c r="D714" s="2">
        <v>143.41</v>
      </c>
      <c r="E714" s="2">
        <v>327</v>
      </c>
      <c r="F714" s="2">
        <v>489.44</v>
      </c>
      <c r="G714" s="2">
        <v>164.53</v>
      </c>
      <c r="H714" s="2">
        <v>242.3</v>
      </c>
      <c r="I714" s="2">
        <v>159.44</v>
      </c>
      <c r="J714" s="2">
        <v>228.58</v>
      </c>
      <c r="K714" s="2">
        <v>52.7</v>
      </c>
      <c r="L714" s="2">
        <v>273.02999999999997</v>
      </c>
      <c r="M714" s="64" t="s">
        <v>77</v>
      </c>
      <c r="N714" s="1"/>
      <c r="O714" s="12">
        <f t="shared" si="121"/>
        <v>1.1044888377340412E-2</v>
      </c>
      <c r="P714" s="12">
        <f t="shared" si="122"/>
        <v>2.1948879986458447E-2</v>
      </c>
      <c r="Q714" s="12">
        <f t="shared" si="123"/>
        <v>1.3569863594600218E-2</v>
      </c>
      <c r="R714" s="12">
        <f t="shared" si="124"/>
        <v>1.4079265645351446E-2</v>
      </c>
      <c r="S714" s="12">
        <f t="shared" si="125"/>
        <v>-5.8902384531014373E-3</v>
      </c>
      <c r="T714" s="12">
        <f t="shared" si="126"/>
        <v>-8.9748223105650116E-3</v>
      </c>
      <c r="U714" s="12">
        <f t="shared" si="127"/>
        <v>7.1912541048344547E-3</v>
      </c>
      <c r="V714" s="12">
        <f t="shared" si="128"/>
        <v>2.2630123208446928E-3</v>
      </c>
      <c r="W714" s="12">
        <f t="shared" si="129"/>
        <v>-6.4762898248358347E-3</v>
      </c>
      <c r="X714" s="12">
        <f t="shared" si="130"/>
        <v>6.8781047000381346E-3</v>
      </c>
      <c r="Y714" s="12">
        <f t="shared" si="131"/>
        <v>1.0473723168023641E-2</v>
      </c>
    </row>
    <row r="715" spans="1:25" x14ac:dyDescent="0.35">
      <c r="A715" s="6">
        <v>45162</v>
      </c>
      <c r="B715" s="8">
        <v>4376.3100000000004</v>
      </c>
      <c r="C715" s="2">
        <v>176.38</v>
      </c>
      <c r="D715" s="2">
        <v>143.55000000000001</v>
      </c>
      <c r="E715" s="2">
        <v>319.97000000000003</v>
      </c>
      <c r="F715" s="2">
        <v>488.1</v>
      </c>
      <c r="G715" s="2">
        <v>165.09</v>
      </c>
      <c r="H715" s="2">
        <v>239.47</v>
      </c>
      <c r="I715" s="2">
        <v>157.79</v>
      </c>
      <c r="J715" s="2">
        <v>217.31</v>
      </c>
      <c r="K715" s="2">
        <v>52.3</v>
      </c>
      <c r="L715" s="2">
        <v>269.3</v>
      </c>
      <c r="M715" s="64">
        <v>10.199999999999999</v>
      </c>
      <c r="N715" s="1"/>
      <c r="O715" s="12">
        <f t="shared" si="121"/>
        <v>-1.3458039995401183E-2</v>
      </c>
      <c r="P715" s="12">
        <f t="shared" si="122"/>
        <v>-2.6170494699646718E-2</v>
      </c>
      <c r="Q715" s="12">
        <f t="shared" si="123"/>
        <v>9.7622202077962683E-4</v>
      </c>
      <c r="R715" s="12">
        <f t="shared" si="124"/>
        <v>-2.1498470948012161E-2</v>
      </c>
      <c r="S715" s="12">
        <f t="shared" si="125"/>
        <v>-2.7378228179143482E-3</v>
      </c>
      <c r="T715" s="12">
        <f t="shared" si="126"/>
        <v>3.4036345955144043E-3</v>
      </c>
      <c r="U715" s="12">
        <f t="shared" si="127"/>
        <v>-1.1679735864630669E-2</v>
      </c>
      <c r="V715" s="12">
        <f t="shared" si="128"/>
        <v>-1.0348720521826449E-2</v>
      </c>
      <c r="W715" s="12">
        <f t="shared" si="129"/>
        <v>-4.9304401084959371E-2</v>
      </c>
      <c r="X715" s="12">
        <f t="shared" si="130"/>
        <v>-7.5901328273245694E-3</v>
      </c>
      <c r="Y715" s="12">
        <f t="shared" si="131"/>
        <v>-1.3661502399003655E-2</v>
      </c>
    </row>
    <row r="716" spans="1:25" x14ac:dyDescent="0.35">
      <c r="A716" s="6">
        <v>45163</v>
      </c>
      <c r="B716" s="8">
        <v>4405.71</v>
      </c>
      <c r="C716" s="2">
        <v>178.61</v>
      </c>
      <c r="D716" s="2">
        <v>145.35</v>
      </c>
      <c r="E716" s="2">
        <v>322.98</v>
      </c>
      <c r="F716" s="2">
        <v>489.12</v>
      </c>
      <c r="G716" s="2">
        <v>166.25</v>
      </c>
      <c r="H716" s="2">
        <v>242.57</v>
      </c>
      <c r="I716" s="2">
        <v>158.32</v>
      </c>
      <c r="J716" s="2">
        <v>223.41</v>
      </c>
      <c r="K716" s="2">
        <v>52.61</v>
      </c>
      <c r="L716" s="2">
        <v>272.56</v>
      </c>
      <c r="M716" s="64" t="s">
        <v>77</v>
      </c>
      <c r="N716" s="1"/>
      <c r="O716" s="12">
        <f t="shared" si="121"/>
        <v>6.7179884423178571E-3</v>
      </c>
      <c r="P716" s="12">
        <f t="shared" si="122"/>
        <v>1.2643156820501211E-2</v>
      </c>
      <c r="Q716" s="12">
        <f t="shared" si="123"/>
        <v>1.25391849529779E-2</v>
      </c>
      <c r="R716" s="12">
        <f t="shared" si="124"/>
        <v>9.4071319186173064E-3</v>
      </c>
      <c r="S716" s="12">
        <f t="shared" si="125"/>
        <v>2.0897357098954572E-3</v>
      </c>
      <c r="T716" s="12">
        <f t="shared" si="126"/>
        <v>7.0264704100793107E-3</v>
      </c>
      <c r="U716" s="12">
        <f t="shared" si="127"/>
        <v>1.2945254102810333E-2</v>
      </c>
      <c r="V716" s="12">
        <f t="shared" si="128"/>
        <v>3.35889473350659E-3</v>
      </c>
      <c r="W716" s="12">
        <f t="shared" si="129"/>
        <v>2.8070498366389085E-2</v>
      </c>
      <c r="X716" s="12">
        <f t="shared" si="130"/>
        <v>5.9273422562142741E-3</v>
      </c>
      <c r="Y716" s="12">
        <f t="shared" si="131"/>
        <v>1.2105458596360918E-2</v>
      </c>
    </row>
    <row r="717" spans="1:25" x14ac:dyDescent="0.35">
      <c r="A717" s="6">
        <v>45166</v>
      </c>
      <c r="B717" s="8">
        <v>4433.3100000000004</v>
      </c>
      <c r="C717" s="2">
        <v>180.19</v>
      </c>
      <c r="D717" s="2">
        <v>146.02000000000001</v>
      </c>
      <c r="E717" s="2">
        <v>323.7</v>
      </c>
      <c r="F717" s="2">
        <v>491.28</v>
      </c>
      <c r="G717" s="2">
        <v>164.29</v>
      </c>
      <c r="H717" s="2">
        <v>243.83</v>
      </c>
      <c r="I717" s="2">
        <v>159.19</v>
      </c>
      <c r="J717" s="2">
        <v>227.06</v>
      </c>
      <c r="K717" s="2">
        <v>52.91</v>
      </c>
      <c r="L717" s="2">
        <v>274.79000000000002</v>
      </c>
      <c r="M717" s="64" t="s">
        <v>77</v>
      </c>
      <c r="N717" s="1"/>
      <c r="O717" s="12">
        <f t="shared" si="121"/>
        <v>6.2645975336552695E-3</v>
      </c>
      <c r="P717" s="12">
        <f t="shared" si="122"/>
        <v>8.8460892447230766E-3</v>
      </c>
      <c r="Q717" s="12">
        <f t="shared" si="123"/>
        <v>4.6095631234950307E-3</v>
      </c>
      <c r="R717" s="12">
        <f t="shared" si="124"/>
        <v>2.2292402006314216E-3</v>
      </c>
      <c r="S717" s="12">
        <f t="shared" si="125"/>
        <v>4.4160942100097689E-3</v>
      </c>
      <c r="T717" s="12">
        <f t="shared" si="126"/>
        <v>-1.1789473684210572E-2</v>
      </c>
      <c r="U717" s="12">
        <f t="shared" si="127"/>
        <v>5.1943768809004087E-3</v>
      </c>
      <c r="V717" s="12">
        <f t="shared" si="128"/>
        <v>5.4951995957555066E-3</v>
      </c>
      <c r="W717" s="12">
        <f t="shared" si="129"/>
        <v>1.6337675126449236E-2</v>
      </c>
      <c r="X717" s="12">
        <f t="shared" si="130"/>
        <v>5.7023379585630085E-3</v>
      </c>
      <c r="Y717" s="12">
        <f t="shared" si="131"/>
        <v>8.181684766656927E-3</v>
      </c>
    </row>
    <row r="718" spans="1:25" x14ac:dyDescent="0.35">
      <c r="A718" s="6">
        <v>45167</v>
      </c>
      <c r="B718" s="8">
        <v>4497.63</v>
      </c>
      <c r="C718" s="2">
        <v>184.12</v>
      </c>
      <c r="D718" s="2">
        <v>146.44999999999999</v>
      </c>
      <c r="E718" s="2">
        <v>328.41</v>
      </c>
      <c r="F718" s="2">
        <v>492.83</v>
      </c>
      <c r="G718" s="2">
        <v>164.31</v>
      </c>
      <c r="H718" s="2">
        <v>245.34</v>
      </c>
      <c r="I718" s="2">
        <v>160.24</v>
      </c>
      <c r="J718" s="2">
        <v>227.25</v>
      </c>
      <c r="K718" s="2">
        <v>53.35</v>
      </c>
      <c r="L718" s="2">
        <v>280.02999999999997</v>
      </c>
      <c r="M718" s="64" t="s">
        <v>77</v>
      </c>
      <c r="N718" s="1"/>
      <c r="O718" s="12">
        <f t="shared" si="121"/>
        <v>1.4508347036412905E-2</v>
      </c>
      <c r="P718" s="12">
        <f t="shared" si="122"/>
        <v>2.1810311338032129E-2</v>
      </c>
      <c r="Q718" s="12">
        <f t="shared" si="123"/>
        <v>2.9448020819065057E-3</v>
      </c>
      <c r="R718" s="12">
        <f t="shared" si="124"/>
        <v>1.4550509731232841E-2</v>
      </c>
      <c r="S718" s="12">
        <f t="shared" si="125"/>
        <v>3.1550236117896535E-3</v>
      </c>
      <c r="T718" s="12">
        <f t="shared" si="126"/>
        <v>1.2173595471431931E-4</v>
      </c>
      <c r="U718" s="12">
        <f t="shared" si="127"/>
        <v>6.1928392732641946E-3</v>
      </c>
      <c r="V718" s="12">
        <f t="shared" si="128"/>
        <v>6.5958917017401308E-3</v>
      </c>
      <c r="W718" s="12">
        <f t="shared" si="129"/>
        <v>8.3678322910252234E-4</v>
      </c>
      <c r="X718" s="12">
        <f t="shared" si="130"/>
        <v>8.3160083160083165E-3</v>
      </c>
      <c r="Y718" s="12">
        <f t="shared" si="131"/>
        <v>1.906910731831557E-2</v>
      </c>
    </row>
    <row r="719" spans="1:25" x14ac:dyDescent="0.35">
      <c r="A719" s="6">
        <v>45168</v>
      </c>
      <c r="B719" s="8">
        <v>4514.87</v>
      </c>
      <c r="C719" s="2">
        <v>187.65</v>
      </c>
      <c r="D719" s="2">
        <v>146.86000000000001</v>
      </c>
      <c r="E719" s="2">
        <v>328.79</v>
      </c>
      <c r="F719" s="2">
        <v>491.53</v>
      </c>
      <c r="G719" s="2">
        <v>163.72999999999999</v>
      </c>
      <c r="H719" s="2">
        <v>246.23</v>
      </c>
      <c r="I719" s="2">
        <v>160.16999999999999</v>
      </c>
      <c r="J719" s="2">
        <v>228.85</v>
      </c>
      <c r="K719" s="2">
        <v>53.73</v>
      </c>
      <c r="L719" s="2">
        <v>282.33</v>
      </c>
      <c r="M719" s="64" t="s">
        <v>77</v>
      </c>
      <c r="N719" s="1"/>
      <c r="O719" s="12">
        <f t="shared" si="121"/>
        <v>3.8331298928546698E-3</v>
      </c>
      <c r="P719" s="12">
        <f t="shared" si="122"/>
        <v>1.9172278948511812E-2</v>
      </c>
      <c r="Q719" s="12">
        <f t="shared" si="123"/>
        <v>2.7995903038582348E-3</v>
      </c>
      <c r="R719" s="12">
        <f t="shared" si="124"/>
        <v>1.1570902225876978E-3</v>
      </c>
      <c r="S719" s="12">
        <f t="shared" si="125"/>
        <v>-2.6378264310208399E-3</v>
      </c>
      <c r="T719" s="12">
        <f t="shared" si="126"/>
        <v>-3.5299129693872056E-3</v>
      </c>
      <c r="U719" s="12">
        <f t="shared" si="127"/>
        <v>3.6276188147059685E-3</v>
      </c>
      <c r="V719" s="12">
        <f t="shared" si="128"/>
        <v>-4.3684473290073189E-4</v>
      </c>
      <c r="W719" s="12">
        <f t="shared" si="129"/>
        <v>7.0407040704070223E-3</v>
      </c>
      <c r="X719" s="12">
        <f t="shared" si="130"/>
        <v>7.122774133083265E-3</v>
      </c>
      <c r="Y719" s="12">
        <f t="shared" si="131"/>
        <v>8.2134057065315069E-3</v>
      </c>
    </row>
    <row r="720" spans="1:25" x14ac:dyDescent="0.35">
      <c r="A720" s="6">
        <v>45169</v>
      </c>
      <c r="B720" s="8">
        <v>4507.66</v>
      </c>
      <c r="C720" s="2">
        <v>187.87</v>
      </c>
      <c r="D720" s="2">
        <v>146.83000000000001</v>
      </c>
      <c r="E720" s="2">
        <v>327.76</v>
      </c>
      <c r="F720" s="2">
        <v>476.58</v>
      </c>
      <c r="G720" s="2">
        <v>161.68</v>
      </c>
      <c r="H720" s="2">
        <v>245.68</v>
      </c>
      <c r="I720" s="2">
        <v>157.99</v>
      </c>
      <c r="J720" s="2">
        <v>224.03</v>
      </c>
      <c r="K720" s="2">
        <v>54.2</v>
      </c>
      <c r="L720" s="2">
        <v>281.13</v>
      </c>
      <c r="M720" s="64">
        <v>10.1</v>
      </c>
      <c r="N720" s="1"/>
      <c r="O720" s="12">
        <f t="shared" si="121"/>
        <v>-1.5969452055097921E-3</v>
      </c>
      <c r="P720" s="12">
        <f t="shared" si="122"/>
        <v>1.1723954169997608E-3</v>
      </c>
      <c r="Q720" s="12">
        <f t="shared" si="123"/>
        <v>-2.0427618139728931E-4</v>
      </c>
      <c r="R720" s="12">
        <f t="shared" si="124"/>
        <v>-3.1326986830501058E-3</v>
      </c>
      <c r="S720" s="12">
        <f t="shared" si="125"/>
        <v>-3.041523406506208E-2</v>
      </c>
      <c r="T720" s="12">
        <f t="shared" si="126"/>
        <v>-1.2520613204666131E-2</v>
      </c>
      <c r="U720" s="12">
        <f t="shared" si="127"/>
        <v>-2.2336839540266773E-3</v>
      </c>
      <c r="V720" s="12">
        <f t="shared" si="128"/>
        <v>-1.3610538802522165E-2</v>
      </c>
      <c r="W720" s="12">
        <f t="shared" si="129"/>
        <v>-2.1061830893598366E-2</v>
      </c>
      <c r="X720" s="12">
        <f t="shared" si="130"/>
        <v>8.7474409082450855E-3</v>
      </c>
      <c r="Y720" s="12">
        <f t="shared" si="131"/>
        <v>-4.2503453405589031E-3</v>
      </c>
    </row>
    <row r="721" spans="1:25" x14ac:dyDescent="0.35">
      <c r="A721" s="6">
        <v>45170</v>
      </c>
      <c r="B721" s="8">
        <v>4515.7700000000004</v>
      </c>
      <c r="C721" s="2">
        <v>189.46</v>
      </c>
      <c r="D721" s="2">
        <v>147.94</v>
      </c>
      <c r="E721" s="2">
        <v>328.66</v>
      </c>
      <c r="F721" s="2">
        <v>476.24</v>
      </c>
      <c r="G721" s="2">
        <v>160.47999999999999</v>
      </c>
      <c r="H721" s="2">
        <v>248.11</v>
      </c>
      <c r="I721" s="2">
        <v>159.62</v>
      </c>
      <c r="J721" s="2">
        <v>223.4</v>
      </c>
      <c r="K721" s="2">
        <v>53.86</v>
      </c>
      <c r="L721" s="2">
        <v>286.25</v>
      </c>
      <c r="M721" s="64" t="s">
        <v>77</v>
      </c>
      <c r="N721" s="1"/>
      <c r="O721" s="12">
        <f t="shared" si="121"/>
        <v>1.7991596526802933E-3</v>
      </c>
      <c r="P721" s="12">
        <f t="shared" si="122"/>
        <v>8.4632990897961502E-3</v>
      </c>
      <c r="Q721" s="12">
        <f t="shared" si="123"/>
        <v>7.5597629912143027E-3</v>
      </c>
      <c r="R721" s="12">
        <f t="shared" si="124"/>
        <v>2.7459116426655772E-3</v>
      </c>
      <c r="S721" s="12">
        <f t="shared" si="125"/>
        <v>-7.1341642536404404E-4</v>
      </c>
      <c r="T721" s="12">
        <f t="shared" si="126"/>
        <v>-7.4220682830282714E-3</v>
      </c>
      <c r="U721" s="12">
        <f t="shared" si="127"/>
        <v>9.8909150113970501E-3</v>
      </c>
      <c r="V721" s="12">
        <f t="shared" si="128"/>
        <v>1.0317108677764475E-2</v>
      </c>
      <c r="W721" s="12">
        <f t="shared" si="129"/>
        <v>-2.8121233763335196E-3</v>
      </c>
      <c r="X721" s="12">
        <f t="shared" si="130"/>
        <v>-6.2730627306273323E-3</v>
      </c>
      <c r="Y721" s="12">
        <f t="shared" si="131"/>
        <v>1.8212214989506759E-2</v>
      </c>
    </row>
    <row r="722" spans="1:25" x14ac:dyDescent="0.35">
      <c r="A722" s="6">
        <v>45174</v>
      </c>
      <c r="B722" s="8">
        <v>4496.83</v>
      </c>
      <c r="C722" s="2">
        <v>189.7</v>
      </c>
      <c r="D722" s="2">
        <v>148.13</v>
      </c>
      <c r="E722" s="2">
        <v>333.55</v>
      </c>
      <c r="F722" s="2">
        <v>480.81</v>
      </c>
      <c r="G722" s="2">
        <v>160.68</v>
      </c>
      <c r="H722" s="2">
        <v>245.34</v>
      </c>
      <c r="I722" s="2">
        <v>160</v>
      </c>
      <c r="J722" s="2">
        <v>222.57</v>
      </c>
      <c r="K722" s="2">
        <v>53.42</v>
      </c>
      <c r="L722" s="2">
        <v>281.63</v>
      </c>
      <c r="M722" s="64" t="s">
        <v>77</v>
      </c>
      <c r="N722" s="1"/>
      <c r="O722" s="12">
        <f t="shared" si="121"/>
        <v>-4.1941905810084501E-3</v>
      </c>
      <c r="P722" s="12">
        <f t="shared" si="122"/>
        <v>1.2667581547554096E-3</v>
      </c>
      <c r="Q722" s="12">
        <f t="shared" si="123"/>
        <v>1.2843044477490739E-3</v>
      </c>
      <c r="R722" s="12">
        <f t="shared" si="124"/>
        <v>1.4878597943163152E-2</v>
      </c>
      <c r="S722" s="12">
        <f t="shared" si="125"/>
        <v>9.5960020157903614E-3</v>
      </c>
      <c r="T722" s="12">
        <f t="shared" si="126"/>
        <v>1.2462612163510745E-3</v>
      </c>
      <c r="U722" s="12">
        <f t="shared" si="127"/>
        <v>-1.1164402885816771E-2</v>
      </c>
      <c r="V722" s="12">
        <f t="shared" si="128"/>
        <v>2.3806540533768406E-3</v>
      </c>
      <c r="W722" s="12">
        <f t="shared" si="129"/>
        <v>-3.7153088630260678E-3</v>
      </c>
      <c r="X722" s="12">
        <f t="shared" si="130"/>
        <v>-8.1693278871146635E-3</v>
      </c>
      <c r="Y722" s="12">
        <f t="shared" si="131"/>
        <v>-1.6139737991266445E-2</v>
      </c>
    </row>
    <row r="723" spans="1:25" x14ac:dyDescent="0.35">
      <c r="A723" s="6">
        <v>45175</v>
      </c>
      <c r="B723" s="8">
        <v>4465.4799999999996</v>
      </c>
      <c r="C723" s="2">
        <v>182.91</v>
      </c>
      <c r="D723" s="2">
        <v>148.06</v>
      </c>
      <c r="E723" s="2">
        <v>332.88</v>
      </c>
      <c r="F723" s="2">
        <v>476.94</v>
      </c>
      <c r="G723" s="2">
        <v>158.01</v>
      </c>
      <c r="H723" s="2">
        <v>246.16</v>
      </c>
      <c r="I723" s="2">
        <v>158</v>
      </c>
      <c r="J723" s="2">
        <v>217.95</v>
      </c>
      <c r="K723" s="2">
        <v>53.82</v>
      </c>
      <c r="L723" s="2">
        <v>282.89999999999998</v>
      </c>
      <c r="M723" s="64" t="s">
        <v>77</v>
      </c>
      <c r="N723" s="1"/>
      <c r="O723" s="12">
        <f t="shared" si="121"/>
        <v>-6.9715777558858605E-3</v>
      </c>
      <c r="P723" s="12">
        <f t="shared" si="122"/>
        <v>-3.5793357933579295E-2</v>
      </c>
      <c r="Q723" s="12">
        <f t="shared" si="123"/>
        <v>-4.725578883413295E-4</v>
      </c>
      <c r="R723" s="12">
        <f t="shared" si="124"/>
        <v>-2.0086943486734565E-3</v>
      </c>
      <c r="S723" s="12">
        <f t="shared" si="125"/>
        <v>-8.0489174518001416E-3</v>
      </c>
      <c r="T723" s="12">
        <f t="shared" si="126"/>
        <v>-1.6616878267363799E-2</v>
      </c>
      <c r="U723" s="12">
        <f t="shared" si="127"/>
        <v>3.3423004809651768E-3</v>
      </c>
      <c r="V723" s="12">
        <f t="shared" si="128"/>
        <v>-1.2499999999999956E-2</v>
      </c>
      <c r="W723" s="12">
        <f t="shared" si="129"/>
        <v>-2.0757514489823436E-2</v>
      </c>
      <c r="X723" s="12">
        <f t="shared" si="130"/>
        <v>7.4878322725571156E-3</v>
      </c>
      <c r="Y723" s="12">
        <f t="shared" si="131"/>
        <v>4.5094627703012868E-3</v>
      </c>
    </row>
    <row r="724" spans="1:25" x14ac:dyDescent="0.35">
      <c r="A724" s="6">
        <v>45176</v>
      </c>
      <c r="B724" s="8">
        <v>4451.1400000000003</v>
      </c>
      <c r="C724" s="2">
        <v>177.56</v>
      </c>
      <c r="D724" s="2">
        <v>147.52000000000001</v>
      </c>
      <c r="E724" s="2">
        <v>329.91</v>
      </c>
      <c r="F724" s="2">
        <v>484.81</v>
      </c>
      <c r="G724" s="2">
        <v>160.03</v>
      </c>
      <c r="H724" s="2">
        <v>247.14</v>
      </c>
      <c r="I724" s="2">
        <v>156.78</v>
      </c>
      <c r="J724" s="2">
        <v>216.05</v>
      </c>
      <c r="K724" s="2">
        <v>54.49</v>
      </c>
      <c r="L724" s="2">
        <v>281.43</v>
      </c>
      <c r="M724" s="64" t="s">
        <v>77</v>
      </c>
      <c r="N724" s="1"/>
      <c r="O724" s="12">
        <f t="shared" si="121"/>
        <v>-3.2113009127796577E-3</v>
      </c>
      <c r="P724" s="12">
        <f t="shared" si="122"/>
        <v>-2.9249357607566528E-2</v>
      </c>
      <c r="Q724" s="12">
        <f t="shared" si="123"/>
        <v>-3.6471700661893092E-3</v>
      </c>
      <c r="R724" s="12">
        <f t="shared" si="124"/>
        <v>-8.9221341023791867E-3</v>
      </c>
      <c r="S724" s="12">
        <f t="shared" si="125"/>
        <v>1.650102738289938E-2</v>
      </c>
      <c r="T724" s="12">
        <f t="shared" si="126"/>
        <v>1.2784001012594137E-2</v>
      </c>
      <c r="U724" s="12">
        <f t="shared" si="127"/>
        <v>3.9811504712381485E-3</v>
      </c>
      <c r="V724" s="12">
        <f t="shared" si="128"/>
        <v>-7.7215189873417467E-3</v>
      </c>
      <c r="W724" s="12">
        <f t="shared" si="129"/>
        <v>-8.7175957788482306E-3</v>
      </c>
      <c r="X724" s="12">
        <f t="shared" si="130"/>
        <v>1.2448903753251583E-2</v>
      </c>
      <c r="Y724" s="12">
        <f t="shared" si="131"/>
        <v>-5.1961823966064635E-3</v>
      </c>
    </row>
    <row r="725" spans="1:25" x14ac:dyDescent="0.35">
      <c r="A725" s="6">
        <v>45177</v>
      </c>
      <c r="B725" s="8">
        <v>4457.49</v>
      </c>
      <c r="C725" s="2">
        <v>178.18</v>
      </c>
      <c r="D725" s="2">
        <v>147.68</v>
      </c>
      <c r="E725" s="2">
        <v>334.27</v>
      </c>
      <c r="F725" s="2">
        <v>480.77</v>
      </c>
      <c r="G725" s="2">
        <v>160.56</v>
      </c>
      <c r="H725" s="2">
        <v>247.29</v>
      </c>
      <c r="I725" s="2">
        <v>157.43</v>
      </c>
      <c r="J725" s="2">
        <v>211.27</v>
      </c>
      <c r="K725" s="2">
        <v>54.59</v>
      </c>
      <c r="L725" s="2">
        <v>282.27999999999997</v>
      </c>
      <c r="M725" s="64">
        <v>10.49</v>
      </c>
      <c r="N725" s="1"/>
      <c r="O725" s="12">
        <f t="shared" si="121"/>
        <v>1.4266008258556617E-3</v>
      </c>
      <c r="P725" s="12">
        <f t="shared" si="122"/>
        <v>3.4917774273486302E-3</v>
      </c>
      <c r="Q725" s="12">
        <f t="shared" si="123"/>
        <v>1.0845986984815426E-3</v>
      </c>
      <c r="R725" s="12">
        <f t="shared" si="124"/>
        <v>1.3215725500894004E-2</v>
      </c>
      <c r="S725" s="12">
        <f t="shared" si="125"/>
        <v>-8.3331614446897628E-3</v>
      </c>
      <c r="T725" s="12">
        <f t="shared" si="126"/>
        <v>3.3118790226831507E-3</v>
      </c>
      <c r="U725" s="12">
        <f t="shared" si="127"/>
        <v>6.0694343287215347E-4</v>
      </c>
      <c r="V725" s="12">
        <f t="shared" si="128"/>
        <v>4.1459369817578029E-3</v>
      </c>
      <c r="W725" s="12">
        <f t="shared" si="129"/>
        <v>-2.2124508215690786E-2</v>
      </c>
      <c r="X725" s="12">
        <f t="shared" si="130"/>
        <v>1.8351991191043471E-3</v>
      </c>
      <c r="Y725" s="12">
        <f t="shared" si="131"/>
        <v>3.0202892371102852E-3</v>
      </c>
    </row>
    <row r="726" spans="1:25" x14ac:dyDescent="0.35">
      <c r="A726" s="6">
        <v>45180</v>
      </c>
      <c r="B726" s="8">
        <v>4487.46</v>
      </c>
      <c r="C726" s="2">
        <v>179.36</v>
      </c>
      <c r="D726" s="2">
        <v>148.38</v>
      </c>
      <c r="E726" s="2">
        <v>337.94</v>
      </c>
      <c r="F726" s="2">
        <v>479.38</v>
      </c>
      <c r="G726" s="2">
        <v>162.66</v>
      </c>
      <c r="H726" s="2">
        <v>247.22</v>
      </c>
      <c r="I726" s="2">
        <v>157.83000000000001</v>
      </c>
      <c r="J726" s="2">
        <v>211.01</v>
      </c>
      <c r="K726" s="2">
        <v>54.78</v>
      </c>
      <c r="L726" s="2">
        <v>282.05</v>
      </c>
      <c r="M726" s="64" t="s">
        <v>77</v>
      </c>
      <c r="N726" s="1"/>
      <c r="O726" s="12">
        <f t="shared" si="121"/>
        <v>6.7235148031741243E-3</v>
      </c>
      <c r="P726" s="12">
        <f t="shared" si="122"/>
        <v>6.6225165562914245E-3</v>
      </c>
      <c r="Q726" s="12">
        <f t="shared" si="123"/>
        <v>4.7399783315276167E-3</v>
      </c>
      <c r="R726" s="12">
        <f t="shared" si="124"/>
        <v>1.0979148592455301E-2</v>
      </c>
      <c r="S726" s="12">
        <f t="shared" si="125"/>
        <v>-2.8911953740873297E-3</v>
      </c>
      <c r="T726" s="12">
        <f t="shared" si="126"/>
        <v>1.3079222720478345E-2</v>
      </c>
      <c r="U726" s="12">
        <f t="shared" si="127"/>
        <v>-2.8306846212944325E-4</v>
      </c>
      <c r="V726" s="12">
        <f t="shared" si="128"/>
        <v>2.5408117893668258E-3</v>
      </c>
      <c r="W726" s="12">
        <f t="shared" si="129"/>
        <v>-1.230652719269254E-3</v>
      </c>
      <c r="X726" s="12">
        <f t="shared" si="130"/>
        <v>3.4804909324051003E-3</v>
      </c>
      <c r="Y726" s="12">
        <f t="shared" si="131"/>
        <v>-8.1479382173710313E-4</v>
      </c>
    </row>
    <row r="727" spans="1:25" x14ac:dyDescent="0.35">
      <c r="A727" s="6">
        <v>45181</v>
      </c>
      <c r="B727" s="8">
        <v>4461.8999999999996</v>
      </c>
      <c r="C727" s="2">
        <v>176.3</v>
      </c>
      <c r="D727" s="2">
        <v>146.30000000000001</v>
      </c>
      <c r="E727" s="2">
        <v>331.77</v>
      </c>
      <c r="F727" s="2">
        <v>479.9</v>
      </c>
      <c r="G727" s="2">
        <v>163.58000000000001</v>
      </c>
      <c r="H727" s="2">
        <v>247.3</v>
      </c>
      <c r="I727" s="2">
        <v>158.5</v>
      </c>
      <c r="J727" s="2">
        <v>210.65</v>
      </c>
      <c r="K727" s="2">
        <v>54.84</v>
      </c>
      <c r="L727" s="2">
        <v>281.81</v>
      </c>
      <c r="M727" s="64" t="s">
        <v>77</v>
      </c>
      <c r="N727" s="1"/>
      <c r="O727" s="12">
        <f t="shared" si="121"/>
        <v>-5.6958724980279429E-3</v>
      </c>
      <c r="P727" s="12">
        <f t="shared" si="122"/>
        <v>-1.7060660124888494E-2</v>
      </c>
      <c r="Q727" s="12">
        <f t="shared" si="123"/>
        <v>-1.4018061733387155E-2</v>
      </c>
      <c r="R727" s="12">
        <f t="shared" si="124"/>
        <v>-1.8257678877907413E-2</v>
      </c>
      <c r="S727" s="12">
        <f t="shared" si="125"/>
        <v>1.0847344486628607E-3</v>
      </c>
      <c r="T727" s="12">
        <f t="shared" si="126"/>
        <v>5.6559695069471339E-3</v>
      </c>
      <c r="U727" s="12">
        <f t="shared" si="127"/>
        <v>3.2359841436790937E-4</v>
      </c>
      <c r="V727" s="12">
        <f t="shared" si="128"/>
        <v>4.2450738135968447E-3</v>
      </c>
      <c r="W727" s="12">
        <f t="shared" si="129"/>
        <v>-1.7060802805552999E-3</v>
      </c>
      <c r="X727" s="12">
        <f t="shared" si="130"/>
        <v>1.0952902519167917E-3</v>
      </c>
      <c r="Y727" s="12">
        <f t="shared" si="131"/>
        <v>-8.5091295869532679E-4</v>
      </c>
    </row>
    <row r="728" spans="1:25" x14ac:dyDescent="0.35">
      <c r="A728" s="6">
        <v>45182</v>
      </c>
      <c r="B728" s="8">
        <v>4467.4399999999996</v>
      </c>
      <c r="C728" s="2">
        <v>174.21</v>
      </c>
      <c r="D728" s="2">
        <v>146.55000000000001</v>
      </c>
      <c r="E728" s="2">
        <v>336.06</v>
      </c>
      <c r="F728" s="2">
        <v>479.84</v>
      </c>
      <c r="G728" s="2">
        <v>163.99</v>
      </c>
      <c r="H728" s="2">
        <v>247.83</v>
      </c>
      <c r="I728" s="2">
        <v>159.13999999999999</v>
      </c>
      <c r="J728" s="2">
        <v>208.4</v>
      </c>
      <c r="K728" s="2">
        <v>54.85</v>
      </c>
      <c r="L728" s="2">
        <v>275.92</v>
      </c>
      <c r="M728" s="64" t="s">
        <v>77</v>
      </c>
      <c r="N728" s="1"/>
      <c r="O728" s="12">
        <f t="shared" si="121"/>
        <v>1.2416235236110129E-3</v>
      </c>
      <c r="P728" s="12">
        <f t="shared" si="122"/>
        <v>-1.1854792966534355E-2</v>
      </c>
      <c r="Q728" s="12">
        <f t="shared" si="123"/>
        <v>1.7088174982911042E-3</v>
      </c>
      <c r="R728" s="12">
        <f t="shared" si="124"/>
        <v>1.2930644723754492E-2</v>
      </c>
      <c r="S728" s="12">
        <f t="shared" si="125"/>
        <v>-1.2502604709319076E-4</v>
      </c>
      <c r="T728" s="12">
        <f t="shared" si="126"/>
        <v>2.5064188776133811E-3</v>
      </c>
      <c r="U728" s="12">
        <f t="shared" si="127"/>
        <v>2.1431459765466343E-3</v>
      </c>
      <c r="V728" s="12">
        <f t="shared" si="128"/>
        <v>4.0378548895898536E-3</v>
      </c>
      <c r="W728" s="12">
        <f t="shared" si="129"/>
        <v>-1.0681224780441534E-2</v>
      </c>
      <c r="X728" s="12">
        <f t="shared" si="130"/>
        <v>1.8234865062005667E-4</v>
      </c>
      <c r="Y728" s="12">
        <f t="shared" si="131"/>
        <v>-2.090060679181005E-2</v>
      </c>
    </row>
    <row r="729" spans="1:25" x14ac:dyDescent="0.35">
      <c r="A729" s="6">
        <v>45183</v>
      </c>
      <c r="B729" s="8">
        <v>4505.1000000000004</v>
      </c>
      <c r="C729" s="2">
        <v>175.74</v>
      </c>
      <c r="D729" s="2">
        <v>147.35</v>
      </c>
      <c r="E729" s="2">
        <v>338.7</v>
      </c>
      <c r="F729" s="2">
        <v>483.6</v>
      </c>
      <c r="G729" s="2">
        <v>163.74</v>
      </c>
      <c r="H729" s="2">
        <v>241.5</v>
      </c>
      <c r="I729" s="2">
        <v>161.78</v>
      </c>
      <c r="J729" s="2">
        <v>209.05</v>
      </c>
      <c r="K729" s="2">
        <v>55.08</v>
      </c>
      <c r="L729" s="2">
        <v>282.56</v>
      </c>
      <c r="M729" s="64" t="s">
        <v>77</v>
      </c>
      <c r="N729" s="1"/>
      <c r="O729" s="12">
        <f t="shared" si="121"/>
        <v>8.4298837813157057E-3</v>
      </c>
      <c r="P729" s="12">
        <f t="shared" si="122"/>
        <v>8.7825038746340844E-3</v>
      </c>
      <c r="Q729" s="12">
        <f t="shared" si="123"/>
        <v>5.4588877516204004E-3</v>
      </c>
      <c r="R729" s="12">
        <f t="shared" si="124"/>
        <v>7.855740046420312E-3</v>
      </c>
      <c r="S729" s="12">
        <f t="shared" si="125"/>
        <v>7.8359453151051195E-3</v>
      </c>
      <c r="T729" s="12">
        <f t="shared" si="126"/>
        <v>-1.5244832001951591E-3</v>
      </c>
      <c r="U729" s="12">
        <f t="shared" si="127"/>
        <v>-2.5541701973126774E-2</v>
      </c>
      <c r="V729" s="12">
        <f t="shared" si="128"/>
        <v>1.6589166771396435E-2</v>
      </c>
      <c r="W729" s="12">
        <f t="shared" si="129"/>
        <v>3.1190019193858554E-3</v>
      </c>
      <c r="X729" s="12">
        <f t="shared" si="130"/>
        <v>4.1932543299907366E-3</v>
      </c>
      <c r="Y729" s="12">
        <f t="shared" si="131"/>
        <v>2.4064946361264106E-2</v>
      </c>
    </row>
    <row r="730" spans="1:25" x14ac:dyDescent="0.35">
      <c r="A730" s="6">
        <v>45184</v>
      </c>
      <c r="B730" s="8">
        <v>4450.32</v>
      </c>
      <c r="C730" s="2">
        <v>175.01</v>
      </c>
      <c r="D730" s="2">
        <v>145.99</v>
      </c>
      <c r="E730" s="2">
        <v>330.22</v>
      </c>
      <c r="F730" s="2">
        <v>486.7</v>
      </c>
      <c r="G730" s="2">
        <v>161.44999999999999</v>
      </c>
      <c r="H730" s="2">
        <v>241.07</v>
      </c>
      <c r="I730" s="2">
        <v>163.75</v>
      </c>
      <c r="J730" s="2">
        <v>208.11</v>
      </c>
      <c r="K730" s="2">
        <v>54.88</v>
      </c>
      <c r="L730" s="2">
        <v>279.14999999999998</v>
      </c>
      <c r="M730" s="64">
        <v>10.46</v>
      </c>
      <c r="N730" s="1"/>
      <c r="O730" s="12">
        <f t="shared" si="121"/>
        <v>-1.2159552507158722E-2</v>
      </c>
      <c r="P730" s="12">
        <f t="shared" si="122"/>
        <v>-4.1538636622283631E-3</v>
      </c>
      <c r="Q730" s="12">
        <f t="shared" si="123"/>
        <v>-9.2297251442143846E-3</v>
      </c>
      <c r="R730" s="12">
        <f t="shared" si="124"/>
        <v>-2.5036905816356536E-2</v>
      </c>
      <c r="S730" s="12">
        <f t="shared" si="125"/>
        <v>6.4102564102563875E-3</v>
      </c>
      <c r="T730" s="12">
        <f t="shared" si="126"/>
        <v>-1.3985586906070768E-2</v>
      </c>
      <c r="U730" s="12">
        <f t="shared" si="127"/>
        <v>-1.7805383022774235E-3</v>
      </c>
      <c r="V730" s="12">
        <f t="shared" si="128"/>
        <v>1.2177030535294842E-2</v>
      </c>
      <c r="W730" s="12">
        <f t="shared" si="129"/>
        <v>-4.4965319301601969E-3</v>
      </c>
      <c r="X730" s="12">
        <f t="shared" si="130"/>
        <v>-3.6310820624545492E-3</v>
      </c>
      <c r="Y730" s="12">
        <f t="shared" si="131"/>
        <v>-1.2068233295583375E-2</v>
      </c>
    </row>
    <row r="731" spans="1:25" x14ac:dyDescent="0.35">
      <c r="A731" s="6">
        <v>45187</v>
      </c>
      <c r="B731" s="8">
        <v>4453.53</v>
      </c>
      <c r="C731" s="2">
        <v>177.97</v>
      </c>
      <c r="D731" s="2">
        <v>145.09</v>
      </c>
      <c r="E731" s="2">
        <v>329.06</v>
      </c>
      <c r="F731" s="2">
        <v>486.06</v>
      </c>
      <c r="G731" s="2">
        <v>162.47</v>
      </c>
      <c r="H731" s="2">
        <v>244.66</v>
      </c>
      <c r="I731" s="2">
        <v>159.63</v>
      </c>
      <c r="J731" s="2">
        <v>205.12</v>
      </c>
      <c r="K731" s="2">
        <v>54.47</v>
      </c>
      <c r="L731" s="2">
        <v>280.94</v>
      </c>
      <c r="M731" s="64" t="s">
        <v>77</v>
      </c>
      <c r="N731" s="1"/>
      <c r="O731" s="12">
        <f t="shared" si="121"/>
        <v>7.2129644609830734E-4</v>
      </c>
      <c r="P731" s="12">
        <f t="shared" si="122"/>
        <v>1.6913319238900604E-2</v>
      </c>
      <c r="Q731" s="12">
        <f t="shared" si="123"/>
        <v>-6.1648058086171131E-3</v>
      </c>
      <c r="R731" s="12">
        <f t="shared" si="124"/>
        <v>-3.5128096420569133E-3</v>
      </c>
      <c r="S731" s="12">
        <f t="shared" si="125"/>
        <v>-1.3149784261351494E-3</v>
      </c>
      <c r="T731" s="12">
        <f t="shared" si="126"/>
        <v>6.3177454320224591E-3</v>
      </c>
      <c r="U731" s="12">
        <f t="shared" si="127"/>
        <v>1.4891940100385748E-2</v>
      </c>
      <c r="V731" s="12">
        <f t="shared" si="128"/>
        <v>-2.5160305343511435E-2</v>
      </c>
      <c r="W731" s="12">
        <f t="shared" si="129"/>
        <v>-1.4367401854788353E-2</v>
      </c>
      <c r="X731" s="12">
        <f t="shared" si="130"/>
        <v>-7.4708454810495928E-3</v>
      </c>
      <c r="Y731" s="12">
        <f t="shared" si="131"/>
        <v>6.412323123768715E-3</v>
      </c>
    </row>
    <row r="732" spans="1:25" x14ac:dyDescent="0.35">
      <c r="A732" s="6">
        <v>45188</v>
      </c>
      <c r="B732" s="8">
        <v>4443.95</v>
      </c>
      <c r="C732" s="2">
        <v>179.07</v>
      </c>
      <c r="D732" s="2">
        <v>146.52000000000001</v>
      </c>
      <c r="E732" s="2">
        <v>328.65</v>
      </c>
      <c r="F732" s="2">
        <v>480.66</v>
      </c>
      <c r="G732" s="2">
        <v>162.19999999999999</v>
      </c>
      <c r="H732" s="2">
        <v>243.56</v>
      </c>
      <c r="I732" s="2">
        <v>159.35</v>
      </c>
      <c r="J732" s="2">
        <v>204.48</v>
      </c>
      <c r="K732" s="2">
        <v>54.46</v>
      </c>
      <c r="L732" s="2">
        <v>279.67</v>
      </c>
      <c r="M732" s="64" t="s">
        <v>77</v>
      </c>
      <c r="N732" s="1"/>
      <c r="O732" s="12">
        <f t="shared" si="121"/>
        <v>-2.1511026084926055E-3</v>
      </c>
      <c r="P732" s="12">
        <f t="shared" si="122"/>
        <v>6.1808169916277578E-3</v>
      </c>
      <c r="Q732" s="12">
        <f t="shared" si="123"/>
        <v>9.8559514783926883E-3</v>
      </c>
      <c r="R732" s="12">
        <f t="shared" si="124"/>
        <v>-1.2459733787152372E-3</v>
      </c>
      <c r="S732" s="12">
        <f t="shared" si="125"/>
        <v>-1.11097395383285E-2</v>
      </c>
      <c r="T732" s="12">
        <f t="shared" si="126"/>
        <v>-1.6618452637410241E-3</v>
      </c>
      <c r="U732" s="12">
        <f t="shared" si="127"/>
        <v>-4.496035314313751E-3</v>
      </c>
      <c r="V732" s="12">
        <f t="shared" si="128"/>
        <v>-1.754056255089953E-3</v>
      </c>
      <c r="W732" s="12">
        <f t="shared" si="129"/>
        <v>-3.1201248049922414E-3</v>
      </c>
      <c r="X732" s="12">
        <f t="shared" si="130"/>
        <v>-1.8358729575906896E-4</v>
      </c>
      <c r="Y732" s="12">
        <f t="shared" si="131"/>
        <v>-4.5205381932084121E-3</v>
      </c>
    </row>
    <row r="733" spans="1:25" x14ac:dyDescent="0.35">
      <c r="A733" s="6">
        <v>45189</v>
      </c>
      <c r="B733" s="8">
        <v>4402.2</v>
      </c>
      <c r="C733" s="2">
        <v>175.49</v>
      </c>
      <c r="D733" s="2">
        <v>149.83000000000001</v>
      </c>
      <c r="E733" s="2">
        <v>320.77</v>
      </c>
      <c r="F733" s="2">
        <v>492.13</v>
      </c>
      <c r="G733" s="2">
        <v>162.91</v>
      </c>
      <c r="H733" s="2">
        <v>241.86</v>
      </c>
      <c r="I733" s="2">
        <v>157.22999999999999</v>
      </c>
      <c r="J733" s="2">
        <v>202.37</v>
      </c>
      <c r="K733" s="2">
        <v>54.64</v>
      </c>
      <c r="L733" s="2">
        <v>278.61</v>
      </c>
      <c r="M733" s="64" t="s">
        <v>77</v>
      </c>
      <c r="N733" s="1"/>
      <c r="O733" s="12">
        <f t="shared" si="121"/>
        <v>-9.3947951709627553E-3</v>
      </c>
      <c r="P733" s="12">
        <f t="shared" si="122"/>
        <v>-1.9992181828335176E-2</v>
      </c>
      <c r="Q733" s="12">
        <f t="shared" si="123"/>
        <v>2.2590772590772579E-2</v>
      </c>
      <c r="R733" s="12">
        <f t="shared" si="124"/>
        <v>-2.3976875095085948E-2</v>
      </c>
      <c r="S733" s="12">
        <f t="shared" si="125"/>
        <v>2.3863021678525387E-2</v>
      </c>
      <c r="T733" s="12">
        <f t="shared" si="126"/>
        <v>4.3773119605425848E-3</v>
      </c>
      <c r="U733" s="12">
        <f t="shared" si="127"/>
        <v>-6.9797996386926631E-3</v>
      </c>
      <c r="V733" s="12">
        <f t="shared" si="128"/>
        <v>-1.3304047693755927E-2</v>
      </c>
      <c r="W733" s="12">
        <f t="shared" si="129"/>
        <v>-1.0318857589984298E-2</v>
      </c>
      <c r="X733" s="12">
        <f t="shared" si="130"/>
        <v>3.3051781123760726E-3</v>
      </c>
      <c r="Y733" s="12">
        <f t="shared" si="131"/>
        <v>-3.7901812850860139E-3</v>
      </c>
    </row>
    <row r="734" spans="1:25" x14ac:dyDescent="0.35">
      <c r="A734" s="6">
        <v>45190</v>
      </c>
      <c r="B734" s="8">
        <v>4330</v>
      </c>
      <c r="C734" s="2">
        <v>173.93</v>
      </c>
      <c r="D734" s="2">
        <v>147.38</v>
      </c>
      <c r="E734" s="2">
        <v>319.52999999999997</v>
      </c>
      <c r="F734" s="2">
        <v>501.14</v>
      </c>
      <c r="G734" s="2">
        <v>161.66</v>
      </c>
      <c r="H734" s="2">
        <v>236.61</v>
      </c>
      <c r="I734" s="2">
        <v>154.71</v>
      </c>
      <c r="J734" s="2">
        <v>199.95</v>
      </c>
      <c r="K734" s="2">
        <v>53.97</v>
      </c>
      <c r="L734" s="2">
        <v>272.02999999999997</v>
      </c>
      <c r="M734" s="64" t="s">
        <v>77</v>
      </c>
      <c r="N734" s="1"/>
      <c r="O734" s="12">
        <f t="shared" si="121"/>
        <v>-1.6400890463858953E-2</v>
      </c>
      <c r="P734" s="12">
        <f t="shared" si="122"/>
        <v>-8.8893954071457282E-3</v>
      </c>
      <c r="Q734" s="12">
        <f t="shared" si="123"/>
        <v>-1.635186544750733E-2</v>
      </c>
      <c r="R734" s="12">
        <f t="shared" si="124"/>
        <v>-3.8656981637934518E-3</v>
      </c>
      <c r="S734" s="12">
        <f t="shared" si="125"/>
        <v>1.8308170605327856E-2</v>
      </c>
      <c r="T734" s="12">
        <f t="shared" si="126"/>
        <v>-7.6729482536369575E-3</v>
      </c>
      <c r="U734" s="12">
        <f t="shared" si="127"/>
        <v>-2.1706772513024108E-2</v>
      </c>
      <c r="V734" s="12">
        <f t="shared" si="128"/>
        <v>-1.6027475672581448E-2</v>
      </c>
      <c r="W734" s="12">
        <f t="shared" si="129"/>
        <v>-1.1958294213569309E-2</v>
      </c>
      <c r="X734" s="12">
        <f t="shared" si="130"/>
        <v>-1.226207906295762E-2</v>
      </c>
      <c r="Y734" s="12">
        <f t="shared" si="131"/>
        <v>-2.3617242740748834E-2</v>
      </c>
    </row>
    <row r="735" spans="1:25" x14ac:dyDescent="0.35">
      <c r="A735" s="6">
        <v>45191</v>
      </c>
      <c r="B735" s="8">
        <v>4320.0600000000004</v>
      </c>
      <c r="C735" s="2">
        <v>174.79</v>
      </c>
      <c r="D735" s="2">
        <v>146.91</v>
      </c>
      <c r="E735" s="2">
        <v>317.01</v>
      </c>
      <c r="F735" s="2">
        <v>506.1</v>
      </c>
      <c r="G735" s="2">
        <v>160.5</v>
      </c>
      <c r="H735" s="2">
        <v>235.08</v>
      </c>
      <c r="I735" s="2">
        <v>153.08000000000001</v>
      </c>
      <c r="J735" s="2">
        <v>197.71</v>
      </c>
      <c r="K735" s="2">
        <v>54.12</v>
      </c>
      <c r="L735" s="2">
        <v>273.06</v>
      </c>
      <c r="M735" s="64">
        <v>10.7</v>
      </c>
      <c r="N735" s="1"/>
      <c r="O735" s="12">
        <f t="shared" si="121"/>
        <v>-2.2956120092377796E-3</v>
      </c>
      <c r="P735" s="12">
        <f t="shared" si="122"/>
        <v>4.9445179095037872E-3</v>
      </c>
      <c r="Q735" s="12">
        <f t="shared" si="123"/>
        <v>-3.1890351472384504E-3</v>
      </c>
      <c r="R735" s="12">
        <f t="shared" si="124"/>
        <v>-7.8865834193971862E-3</v>
      </c>
      <c r="S735" s="12">
        <f t="shared" si="125"/>
        <v>9.8974338508202031E-3</v>
      </c>
      <c r="T735" s="12">
        <f t="shared" si="126"/>
        <v>-7.1755536310775803E-3</v>
      </c>
      <c r="U735" s="12">
        <f t="shared" si="127"/>
        <v>-6.4663370102701068E-3</v>
      </c>
      <c r="V735" s="12">
        <f t="shared" si="128"/>
        <v>-1.0535841251373523E-2</v>
      </c>
      <c r="W735" s="12">
        <f t="shared" si="129"/>
        <v>-1.1202800700174986E-2</v>
      </c>
      <c r="X735" s="12">
        <f t="shared" si="130"/>
        <v>2.7793218454696955E-3</v>
      </c>
      <c r="Y735" s="12">
        <f t="shared" si="131"/>
        <v>3.7863470940706634E-3</v>
      </c>
    </row>
    <row r="736" spans="1:25" x14ac:dyDescent="0.35">
      <c r="A736" s="6">
        <v>45194</v>
      </c>
      <c r="B736" s="8">
        <v>4337.4399999999996</v>
      </c>
      <c r="C736" s="2">
        <v>176.08</v>
      </c>
      <c r="D736" s="2">
        <v>146.47999999999999</v>
      </c>
      <c r="E736" s="2">
        <v>317.54000000000002</v>
      </c>
      <c r="F736" s="2">
        <v>510.28</v>
      </c>
      <c r="G736" s="2">
        <v>160.26</v>
      </c>
      <c r="H736" s="2">
        <v>233.36</v>
      </c>
      <c r="I736" s="2">
        <v>153.22999999999999</v>
      </c>
      <c r="J736" s="2">
        <v>198.78</v>
      </c>
      <c r="K736" s="2">
        <v>54.36</v>
      </c>
      <c r="L736" s="2">
        <v>274.27</v>
      </c>
      <c r="M736" s="64" t="s">
        <v>77</v>
      </c>
      <c r="N736" s="1"/>
      <c r="O736" s="12">
        <f t="shared" si="121"/>
        <v>4.0230922718664797E-3</v>
      </c>
      <c r="P736" s="12">
        <f t="shared" si="122"/>
        <v>7.3802849133246529E-3</v>
      </c>
      <c r="Q736" s="12">
        <f t="shared" si="123"/>
        <v>-2.9269620856307021E-3</v>
      </c>
      <c r="R736" s="12">
        <f t="shared" si="124"/>
        <v>1.6718715497934244E-3</v>
      </c>
      <c r="S736" s="12">
        <f t="shared" si="125"/>
        <v>8.2592373048804291E-3</v>
      </c>
      <c r="T736" s="12">
        <f t="shared" si="126"/>
        <v>-1.4953271028037562E-3</v>
      </c>
      <c r="U736" s="12">
        <f t="shared" si="127"/>
        <v>-7.3166581589245716E-3</v>
      </c>
      <c r="V736" s="12">
        <f t="shared" si="128"/>
        <v>9.7987980141089892E-4</v>
      </c>
      <c r="W736" s="12">
        <f t="shared" si="129"/>
        <v>5.4119670224064276E-3</v>
      </c>
      <c r="X736" s="12">
        <f t="shared" si="130"/>
        <v>4.4345898004434225E-3</v>
      </c>
      <c r="Y736" s="12">
        <f t="shared" si="131"/>
        <v>4.431260528821479E-3</v>
      </c>
    </row>
    <row r="737" spans="1:25" x14ac:dyDescent="0.35">
      <c r="A737" s="6">
        <v>45195</v>
      </c>
      <c r="B737" s="8">
        <v>4273.53</v>
      </c>
      <c r="C737" s="2">
        <v>171.96</v>
      </c>
      <c r="D737" s="2">
        <v>143.24</v>
      </c>
      <c r="E737" s="2">
        <v>312.14</v>
      </c>
      <c r="F737" s="2">
        <v>505.45</v>
      </c>
      <c r="G737" s="2">
        <v>159.02000000000001</v>
      </c>
      <c r="H737" s="2">
        <v>229.65</v>
      </c>
      <c r="I737" s="2">
        <v>151.12</v>
      </c>
      <c r="J737" s="2">
        <v>195.64</v>
      </c>
      <c r="K737" s="2">
        <v>54.17</v>
      </c>
      <c r="L737" s="2">
        <v>269.52</v>
      </c>
      <c r="M737" s="64" t="s">
        <v>77</v>
      </c>
      <c r="N737" s="1"/>
      <c r="O737" s="12">
        <f t="shared" si="121"/>
        <v>-1.473449776826885E-2</v>
      </c>
      <c r="P737" s="12">
        <f t="shared" si="122"/>
        <v>-2.3398455247614747E-2</v>
      </c>
      <c r="Q737" s="12">
        <f t="shared" si="123"/>
        <v>-2.2119060622610487E-2</v>
      </c>
      <c r="R737" s="12">
        <f t="shared" si="124"/>
        <v>-1.700573156137819E-2</v>
      </c>
      <c r="S737" s="12">
        <f t="shared" si="125"/>
        <v>-9.4653915497373564E-3</v>
      </c>
      <c r="T737" s="12">
        <f t="shared" si="126"/>
        <v>-7.7374266816422343E-3</v>
      </c>
      <c r="U737" s="12">
        <f t="shared" si="127"/>
        <v>-1.5898183064792626E-2</v>
      </c>
      <c r="V737" s="12">
        <f t="shared" si="128"/>
        <v>-1.3770149448541269E-2</v>
      </c>
      <c r="W737" s="12">
        <f t="shared" si="129"/>
        <v>-1.5796357782473125E-2</v>
      </c>
      <c r="X737" s="12">
        <f t="shared" si="130"/>
        <v>-3.4952170713760111E-3</v>
      </c>
      <c r="Y737" s="12">
        <f t="shared" si="131"/>
        <v>-1.7318700550552402E-2</v>
      </c>
    </row>
    <row r="738" spans="1:25" x14ac:dyDescent="0.35">
      <c r="A738" s="6">
        <v>45196</v>
      </c>
      <c r="B738" s="8">
        <v>4274.51</v>
      </c>
      <c r="C738" s="2">
        <v>170.43</v>
      </c>
      <c r="D738" s="2">
        <v>143.16999999999999</v>
      </c>
      <c r="E738" s="2">
        <v>312.79000000000002</v>
      </c>
      <c r="F738" s="2">
        <v>503.73</v>
      </c>
      <c r="G738" s="2">
        <v>157.11000000000001</v>
      </c>
      <c r="H738" s="2">
        <v>229.5</v>
      </c>
      <c r="I738" s="2">
        <v>149.9</v>
      </c>
      <c r="J738" s="2">
        <v>195.46</v>
      </c>
      <c r="K738" s="2">
        <v>53.91</v>
      </c>
      <c r="L738" s="2">
        <v>272.70999999999998</v>
      </c>
      <c r="M738" s="64" t="s">
        <v>77</v>
      </c>
      <c r="N738" s="1"/>
      <c r="O738" s="12">
        <f t="shared" si="121"/>
        <v>2.2931861950192811E-4</v>
      </c>
      <c r="P738" s="12">
        <f t="shared" si="122"/>
        <v>-8.8974180041869744E-3</v>
      </c>
      <c r="Q738" s="12">
        <f t="shared" si="123"/>
        <v>-4.8869030996945284E-4</v>
      </c>
      <c r="R738" s="12">
        <f t="shared" si="124"/>
        <v>2.0823989235601026E-3</v>
      </c>
      <c r="S738" s="12">
        <f t="shared" si="125"/>
        <v>-3.4029082995350457E-3</v>
      </c>
      <c r="T738" s="12">
        <f t="shared" si="126"/>
        <v>-1.2011067790214991E-2</v>
      </c>
      <c r="U738" s="12">
        <f t="shared" si="127"/>
        <v>-6.5316786414115757E-4</v>
      </c>
      <c r="V738" s="12">
        <f t="shared" si="128"/>
        <v>-8.0730545262043263E-3</v>
      </c>
      <c r="W738" s="12">
        <f t="shared" si="129"/>
        <v>-9.2005724800647837E-4</v>
      </c>
      <c r="X738" s="12">
        <f t="shared" si="130"/>
        <v>-4.7997046335610527E-3</v>
      </c>
      <c r="Y738" s="12">
        <f t="shared" si="131"/>
        <v>1.1835856337192086E-2</v>
      </c>
    </row>
    <row r="739" spans="1:25" x14ac:dyDescent="0.35">
      <c r="A739" s="6">
        <v>45197</v>
      </c>
      <c r="B739" s="8">
        <v>4299.7</v>
      </c>
      <c r="C739" s="2">
        <v>170.69</v>
      </c>
      <c r="D739" s="2">
        <v>141.58000000000001</v>
      </c>
      <c r="E739" s="2">
        <v>313.64</v>
      </c>
      <c r="F739" s="2">
        <v>510.1</v>
      </c>
      <c r="G739" s="2">
        <v>156.88</v>
      </c>
      <c r="H739" s="2">
        <v>231.66</v>
      </c>
      <c r="I739" s="2">
        <v>150.22999999999999</v>
      </c>
      <c r="J739" s="2">
        <v>190.43</v>
      </c>
      <c r="K739" s="2">
        <v>54.18</v>
      </c>
      <c r="L739" s="2">
        <v>276.24</v>
      </c>
      <c r="M739" s="64" t="s">
        <v>77</v>
      </c>
      <c r="N739" s="1"/>
      <c r="O739" s="12">
        <f t="shared" si="121"/>
        <v>5.8930731241708667E-3</v>
      </c>
      <c r="P739" s="12">
        <f t="shared" si="122"/>
        <v>1.5255530129671957E-3</v>
      </c>
      <c r="Q739" s="12">
        <f t="shared" si="123"/>
        <v>-1.1105678563944732E-2</v>
      </c>
      <c r="R739" s="12">
        <f t="shared" si="124"/>
        <v>2.7174781802485892E-3</v>
      </c>
      <c r="S739" s="12">
        <f t="shared" si="125"/>
        <v>1.2645663351398495E-2</v>
      </c>
      <c r="T739" s="12">
        <f t="shared" si="126"/>
        <v>-1.4639424606964768E-3</v>
      </c>
      <c r="U739" s="12">
        <f t="shared" si="127"/>
        <v>9.4117647058822307E-3</v>
      </c>
      <c r="V739" s="12">
        <f t="shared" si="128"/>
        <v>2.2014676450965442E-3</v>
      </c>
      <c r="W739" s="12">
        <f t="shared" si="129"/>
        <v>-2.573416555817043E-2</v>
      </c>
      <c r="X739" s="12">
        <f t="shared" si="130"/>
        <v>5.008347245408995E-3</v>
      </c>
      <c r="Y739" s="12">
        <f t="shared" si="131"/>
        <v>1.2944153129698321E-2</v>
      </c>
    </row>
    <row r="740" spans="1:25" x14ac:dyDescent="0.35">
      <c r="A740" s="6">
        <v>45198</v>
      </c>
      <c r="B740" s="8">
        <v>4288.05</v>
      </c>
      <c r="C740" s="2">
        <v>171.21</v>
      </c>
      <c r="D740" s="2">
        <v>140.30000000000001</v>
      </c>
      <c r="E740" s="2">
        <v>315.75</v>
      </c>
      <c r="F740" s="2">
        <v>504.19</v>
      </c>
      <c r="G740" s="2">
        <v>155.75</v>
      </c>
      <c r="H740" s="2">
        <v>230.01</v>
      </c>
      <c r="I740" s="2">
        <v>149.19</v>
      </c>
      <c r="J740" s="2">
        <v>191.68</v>
      </c>
      <c r="K740" s="2">
        <v>53.31</v>
      </c>
      <c r="L740" s="2">
        <v>273</v>
      </c>
      <c r="M740" s="64">
        <v>10.8</v>
      </c>
      <c r="N740" s="1"/>
      <c r="O740" s="12">
        <f t="shared" si="121"/>
        <v>-2.7094913598622039E-3</v>
      </c>
      <c r="P740" s="12">
        <f t="shared" si="122"/>
        <v>3.0464584920031346E-3</v>
      </c>
      <c r="Q740" s="12">
        <f t="shared" si="123"/>
        <v>-9.0408249752790271E-3</v>
      </c>
      <c r="R740" s="12">
        <f t="shared" si="124"/>
        <v>6.7274582323684218E-3</v>
      </c>
      <c r="S740" s="12">
        <f t="shared" si="125"/>
        <v>-1.1585963536561494E-2</v>
      </c>
      <c r="T740" s="12">
        <f t="shared" si="126"/>
        <v>-7.20295767465573E-3</v>
      </c>
      <c r="U740" s="12">
        <f t="shared" si="127"/>
        <v>-7.1225071225071712E-3</v>
      </c>
      <c r="V740" s="12">
        <f t="shared" si="128"/>
        <v>-6.9227184983025047E-3</v>
      </c>
      <c r="W740" s="12">
        <f t="shared" si="129"/>
        <v>6.5640917922595854E-3</v>
      </c>
      <c r="X740" s="12">
        <f t="shared" si="130"/>
        <v>-1.6057585825027587E-2</v>
      </c>
      <c r="Y740" s="12">
        <f t="shared" si="131"/>
        <v>-1.1728931364031303E-2</v>
      </c>
    </row>
    <row r="741" spans="1:25" x14ac:dyDescent="0.35">
      <c r="A741" s="6">
        <v>45201</v>
      </c>
      <c r="B741" s="8">
        <v>4288.3900000000003</v>
      </c>
      <c r="C741" s="2">
        <v>173.75</v>
      </c>
      <c r="D741" s="2">
        <v>140.80000000000001</v>
      </c>
      <c r="E741" s="2">
        <v>321.8</v>
      </c>
      <c r="F741" s="2">
        <v>514.57000000000005</v>
      </c>
      <c r="G741" s="2">
        <v>155.15</v>
      </c>
      <c r="H741" s="2">
        <v>231.27</v>
      </c>
      <c r="I741" s="2">
        <v>149.47999999999999</v>
      </c>
      <c r="J741" s="2">
        <v>187.83</v>
      </c>
      <c r="K741" s="2">
        <v>53.37</v>
      </c>
      <c r="L741" s="2">
        <v>271.72000000000003</v>
      </c>
      <c r="M741" s="64" t="s">
        <v>77</v>
      </c>
      <c r="N741" s="1"/>
      <c r="O741" s="12">
        <f t="shared" si="121"/>
        <v>7.9290120217789806E-5</v>
      </c>
      <c r="P741" s="12">
        <f t="shared" si="122"/>
        <v>1.4835582033759565E-2</v>
      </c>
      <c r="Q741" s="12">
        <f t="shared" si="123"/>
        <v>3.5637918745545782E-3</v>
      </c>
      <c r="R741" s="12">
        <f t="shared" si="124"/>
        <v>1.9160728424386431E-2</v>
      </c>
      <c r="S741" s="12">
        <f t="shared" si="125"/>
        <v>2.0587476943215943E-2</v>
      </c>
      <c r="T741" s="12">
        <f t="shared" si="126"/>
        <v>-3.8523274478330372E-3</v>
      </c>
      <c r="U741" s="12">
        <f t="shared" si="127"/>
        <v>5.4780226946655741E-3</v>
      </c>
      <c r="V741" s="12">
        <f t="shared" si="128"/>
        <v>1.9438300154164256E-3</v>
      </c>
      <c r="W741" s="12">
        <f t="shared" si="129"/>
        <v>-2.0085559265442421E-2</v>
      </c>
      <c r="X741" s="12">
        <f t="shared" si="130"/>
        <v>1.1254924029262536E-3</v>
      </c>
      <c r="Y741" s="12">
        <f t="shared" si="131"/>
        <v>-4.6886446886446054E-3</v>
      </c>
    </row>
    <row r="742" spans="1:25" x14ac:dyDescent="0.35">
      <c r="A742" s="6">
        <v>45202</v>
      </c>
      <c r="B742" s="8">
        <v>4229.45</v>
      </c>
      <c r="C742" s="2">
        <v>172.4</v>
      </c>
      <c r="D742" s="2">
        <v>140.38999999999999</v>
      </c>
      <c r="E742" s="2">
        <v>313.39</v>
      </c>
      <c r="F742" s="2">
        <v>509.47</v>
      </c>
      <c r="G742" s="2">
        <v>155.34</v>
      </c>
      <c r="H742" s="2">
        <v>228.81</v>
      </c>
      <c r="I742" s="2">
        <v>145.05000000000001</v>
      </c>
      <c r="J742" s="2">
        <v>188.92</v>
      </c>
      <c r="K742" s="2">
        <v>53.03</v>
      </c>
      <c r="L742" s="2">
        <v>268.97000000000003</v>
      </c>
      <c r="M742" s="64" t="s">
        <v>77</v>
      </c>
      <c r="N742" s="1"/>
      <c r="O742" s="12">
        <f t="shared" si="121"/>
        <v>-1.374408577578079E-2</v>
      </c>
      <c r="P742" s="12">
        <f t="shared" si="122"/>
        <v>-7.7697841726618311E-3</v>
      </c>
      <c r="Q742" s="12">
        <f t="shared" si="123"/>
        <v>-2.9119318181819454E-3</v>
      </c>
      <c r="R742" s="12">
        <f t="shared" si="124"/>
        <v>-2.613424487259175E-2</v>
      </c>
      <c r="S742" s="12">
        <f t="shared" si="125"/>
        <v>-9.9111879821988103E-3</v>
      </c>
      <c r="T742" s="12">
        <f t="shared" si="126"/>
        <v>1.2246213341926548E-3</v>
      </c>
      <c r="U742" s="12">
        <f t="shared" si="127"/>
        <v>-1.0636917888182662E-2</v>
      </c>
      <c r="V742" s="12">
        <f t="shared" si="128"/>
        <v>-2.9636071715279488E-2</v>
      </c>
      <c r="W742" s="12">
        <f t="shared" si="129"/>
        <v>5.8031198424106645E-3</v>
      </c>
      <c r="X742" s="12">
        <f t="shared" si="130"/>
        <v>-6.3706201986133415E-3</v>
      </c>
      <c r="Y742" s="12">
        <f t="shared" si="131"/>
        <v>-1.0120712498159823E-2</v>
      </c>
    </row>
    <row r="743" spans="1:25" x14ac:dyDescent="0.35">
      <c r="A743" s="6">
        <v>45203</v>
      </c>
      <c r="B743" s="8">
        <v>4263.75</v>
      </c>
      <c r="C743" s="2">
        <v>173.66</v>
      </c>
      <c r="D743" s="2">
        <v>141.07</v>
      </c>
      <c r="E743" s="2">
        <v>318.95</v>
      </c>
      <c r="F743" s="2">
        <v>510.62</v>
      </c>
      <c r="G743" s="2">
        <v>155.52000000000001</v>
      </c>
      <c r="H743" s="2">
        <v>231.22</v>
      </c>
      <c r="I743" s="2">
        <v>146.63</v>
      </c>
      <c r="J743" s="2">
        <v>186.73</v>
      </c>
      <c r="K743" s="2">
        <v>53.67</v>
      </c>
      <c r="L743" s="2">
        <v>265.02999999999997</v>
      </c>
      <c r="M743" s="64" t="s">
        <v>77</v>
      </c>
      <c r="N743" s="1"/>
      <c r="O743" s="12">
        <f t="shared" si="121"/>
        <v>8.1098015108347354E-3</v>
      </c>
      <c r="P743" s="12">
        <f t="shared" si="122"/>
        <v>7.3085846867748661E-3</v>
      </c>
      <c r="Q743" s="12">
        <f t="shared" si="123"/>
        <v>4.8436498326092092E-3</v>
      </c>
      <c r="R743" s="12">
        <f t="shared" si="124"/>
        <v>1.7741472286926907E-2</v>
      </c>
      <c r="S743" s="12">
        <f t="shared" si="125"/>
        <v>2.2572477280311531E-3</v>
      </c>
      <c r="T743" s="12">
        <f t="shared" si="126"/>
        <v>1.1587485515642815E-3</v>
      </c>
      <c r="U743" s="12">
        <f t="shared" si="127"/>
        <v>1.0532756435470469E-2</v>
      </c>
      <c r="V743" s="12">
        <f t="shared" si="128"/>
        <v>1.0892795587728266E-2</v>
      </c>
      <c r="W743" s="12">
        <f t="shared" si="129"/>
        <v>-1.1592208342155352E-2</v>
      </c>
      <c r="X743" s="12">
        <f t="shared" si="130"/>
        <v>1.2068640392230767E-2</v>
      </c>
      <c r="Y743" s="12">
        <f t="shared" si="131"/>
        <v>-1.4648473807488016E-2</v>
      </c>
    </row>
    <row r="744" spans="1:25" x14ac:dyDescent="0.35">
      <c r="A744" s="6">
        <v>45204</v>
      </c>
      <c r="B744" s="8">
        <v>4258.1899999999996</v>
      </c>
      <c r="C744" s="2">
        <v>174.91</v>
      </c>
      <c r="D744" s="2">
        <v>141.52000000000001</v>
      </c>
      <c r="E744" s="2">
        <v>319.36</v>
      </c>
      <c r="F744" s="2">
        <v>516.23</v>
      </c>
      <c r="G744" s="2">
        <v>157.13999999999999</v>
      </c>
      <c r="H744" s="2">
        <v>233.48</v>
      </c>
      <c r="I744" s="2">
        <v>147.09</v>
      </c>
      <c r="J744" s="2">
        <v>186.29</v>
      </c>
      <c r="K744" s="2">
        <v>53.03</v>
      </c>
      <c r="L744" s="2">
        <v>260.8</v>
      </c>
      <c r="M744" s="64" t="s">
        <v>77</v>
      </c>
      <c r="N744" s="1"/>
      <c r="O744" s="12">
        <f t="shared" si="121"/>
        <v>-1.3040164174730196E-3</v>
      </c>
      <c r="P744" s="12">
        <f t="shared" si="122"/>
        <v>7.1979730507889528E-3</v>
      </c>
      <c r="Q744" s="12">
        <f t="shared" si="123"/>
        <v>3.1899057205644343E-3</v>
      </c>
      <c r="R744" s="12">
        <f t="shared" si="124"/>
        <v>1.2854679416838266E-3</v>
      </c>
      <c r="S744" s="12">
        <f t="shared" si="125"/>
        <v>1.0986643688065456E-2</v>
      </c>
      <c r="T744" s="12">
        <f t="shared" si="126"/>
        <v>1.0416666666666519E-2</v>
      </c>
      <c r="U744" s="12">
        <f t="shared" si="127"/>
        <v>9.7742409826138132E-3</v>
      </c>
      <c r="V744" s="12">
        <f t="shared" si="128"/>
        <v>3.1371479233446298E-3</v>
      </c>
      <c r="W744" s="12">
        <f t="shared" si="129"/>
        <v>-2.3563433834948855E-3</v>
      </c>
      <c r="X744" s="12">
        <f t="shared" si="130"/>
        <v>-1.1924725172349548E-2</v>
      </c>
      <c r="Y744" s="12">
        <f t="shared" si="131"/>
        <v>-1.59604573067198E-2</v>
      </c>
    </row>
    <row r="745" spans="1:25" x14ac:dyDescent="0.35">
      <c r="A745" s="6">
        <v>45205</v>
      </c>
      <c r="B745" s="8">
        <v>4308.5</v>
      </c>
      <c r="C745" s="2">
        <v>177.49</v>
      </c>
      <c r="D745" s="2">
        <v>142.03</v>
      </c>
      <c r="E745" s="2">
        <v>327.26</v>
      </c>
      <c r="F745" s="2">
        <v>524.80999999999995</v>
      </c>
      <c r="G745" s="2">
        <v>157.63999999999999</v>
      </c>
      <c r="H745" s="2">
        <v>235.04</v>
      </c>
      <c r="I745" s="2">
        <v>149.32</v>
      </c>
      <c r="J745" s="2">
        <v>187.38</v>
      </c>
      <c r="K745" s="2">
        <v>52.14</v>
      </c>
      <c r="L745" s="2">
        <v>266.04000000000002</v>
      </c>
      <c r="M745" s="64">
        <v>10.78</v>
      </c>
      <c r="N745" s="1"/>
      <c r="O745" s="12">
        <f t="shared" si="121"/>
        <v>1.1814879091820885E-2</v>
      </c>
      <c r="P745" s="12">
        <f t="shared" si="122"/>
        <v>1.4750443085015164E-2</v>
      </c>
      <c r="Q745" s="12">
        <f t="shared" si="123"/>
        <v>3.6037309214245195E-3</v>
      </c>
      <c r="R745" s="12">
        <f t="shared" si="124"/>
        <v>2.4736973947895757E-2</v>
      </c>
      <c r="S745" s="12">
        <f t="shared" si="125"/>
        <v>1.662049861495829E-2</v>
      </c>
      <c r="T745" s="12">
        <f t="shared" si="126"/>
        <v>3.1818760341097985E-3</v>
      </c>
      <c r="U745" s="12">
        <f t="shared" si="127"/>
        <v>6.6815144766148027E-3</v>
      </c>
      <c r="V745" s="12">
        <f t="shared" si="128"/>
        <v>1.516078591338621E-2</v>
      </c>
      <c r="W745" s="12">
        <f t="shared" si="129"/>
        <v>5.8510923828438699E-3</v>
      </c>
      <c r="X745" s="12">
        <f t="shared" si="130"/>
        <v>-1.678295304544597E-2</v>
      </c>
      <c r="Y745" s="12">
        <f t="shared" si="131"/>
        <v>2.009202453987724E-2</v>
      </c>
    </row>
    <row r="746" spans="1:25" x14ac:dyDescent="0.35">
      <c r="A746" s="6">
        <v>45208</v>
      </c>
      <c r="B746" s="8">
        <v>4335.66</v>
      </c>
      <c r="C746" s="2">
        <v>178.99</v>
      </c>
      <c r="D746" s="2">
        <v>142.19999999999999</v>
      </c>
      <c r="E746" s="2">
        <v>329.82</v>
      </c>
      <c r="F746" s="2">
        <v>526.51</v>
      </c>
      <c r="G746" s="2">
        <v>158.54</v>
      </c>
      <c r="H746" s="2">
        <v>234.44</v>
      </c>
      <c r="I746" s="2">
        <v>148.82</v>
      </c>
      <c r="J746" s="2">
        <v>188.49</v>
      </c>
      <c r="K746" s="2">
        <v>51.95</v>
      </c>
      <c r="L746" s="2">
        <v>271.3</v>
      </c>
      <c r="M746" s="64" t="s">
        <v>77</v>
      </c>
      <c r="N746" s="1"/>
      <c r="O746" s="12">
        <f t="shared" si="121"/>
        <v>6.3038180341186134E-3</v>
      </c>
      <c r="P746" s="12">
        <f t="shared" si="122"/>
        <v>8.4511803481885917E-3</v>
      </c>
      <c r="Q746" s="12">
        <f t="shared" si="123"/>
        <v>1.1969302260084191E-3</v>
      </c>
      <c r="R746" s="12">
        <f t="shared" si="124"/>
        <v>7.822526431583432E-3</v>
      </c>
      <c r="S746" s="12">
        <f t="shared" si="125"/>
        <v>3.2392675444448127E-3</v>
      </c>
      <c r="T746" s="12">
        <f t="shared" si="126"/>
        <v>5.7092108601877189E-3</v>
      </c>
      <c r="U746" s="12">
        <f t="shared" si="127"/>
        <v>-2.5527569775357639E-3</v>
      </c>
      <c r="V746" s="12">
        <f t="shared" si="128"/>
        <v>-3.34851326011254E-3</v>
      </c>
      <c r="W746" s="12">
        <f t="shared" si="129"/>
        <v>5.9237912263849779E-3</v>
      </c>
      <c r="X746" s="12">
        <f t="shared" si="130"/>
        <v>-3.6440352896048855E-3</v>
      </c>
      <c r="Y746" s="12">
        <f t="shared" si="131"/>
        <v>1.9771462937903994E-2</v>
      </c>
    </row>
    <row r="747" spans="1:25" x14ac:dyDescent="0.35">
      <c r="A747" s="6">
        <v>45209</v>
      </c>
      <c r="B747" s="8">
        <v>4358.24</v>
      </c>
      <c r="C747" s="2">
        <v>178.39</v>
      </c>
      <c r="D747" s="2">
        <v>142.11000000000001</v>
      </c>
      <c r="E747" s="2">
        <v>328.39</v>
      </c>
      <c r="F747" s="2">
        <v>524.24</v>
      </c>
      <c r="G747" s="2">
        <v>158.36000000000001</v>
      </c>
      <c r="H747" s="2">
        <v>236.6</v>
      </c>
      <c r="I747" s="2">
        <v>150.93</v>
      </c>
      <c r="J747" s="2">
        <v>193.53</v>
      </c>
      <c r="K747" s="2">
        <v>52.53</v>
      </c>
      <c r="L747" s="2">
        <v>273.20999999999998</v>
      </c>
      <c r="M747" s="64" t="s">
        <v>77</v>
      </c>
      <c r="N747" s="1"/>
      <c r="O747" s="12">
        <f t="shared" si="121"/>
        <v>5.2079729499083793E-3</v>
      </c>
      <c r="P747" s="12">
        <f t="shared" si="122"/>
        <v>-3.352142577797812E-3</v>
      </c>
      <c r="Q747" s="12">
        <f t="shared" si="123"/>
        <v>-6.3291139240484462E-4</v>
      </c>
      <c r="R747" s="12">
        <f t="shared" si="124"/>
        <v>-4.3356982596568505E-3</v>
      </c>
      <c r="S747" s="12">
        <f t="shared" si="125"/>
        <v>-4.3114090900457924E-3</v>
      </c>
      <c r="T747" s="12">
        <f t="shared" si="126"/>
        <v>-1.1353601614733089E-3</v>
      </c>
      <c r="U747" s="12">
        <f t="shared" si="127"/>
        <v>9.2134448046408135E-3</v>
      </c>
      <c r="V747" s="12">
        <f t="shared" si="128"/>
        <v>1.4178201854589512E-2</v>
      </c>
      <c r="W747" s="12">
        <f t="shared" si="129"/>
        <v>2.6738819035492467E-2</v>
      </c>
      <c r="X747" s="12">
        <f t="shared" si="130"/>
        <v>1.1164581328200196E-2</v>
      </c>
      <c r="Y747" s="12">
        <f t="shared" si="131"/>
        <v>7.0401769259120783E-3</v>
      </c>
    </row>
    <row r="748" spans="1:25" x14ac:dyDescent="0.35">
      <c r="A748" s="6">
        <v>45210</v>
      </c>
      <c r="B748" s="8">
        <v>4376.95</v>
      </c>
      <c r="C748" s="2">
        <v>179.8</v>
      </c>
      <c r="D748" s="2">
        <v>143.22999999999999</v>
      </c>
      <c r="E748" s="2">
        <v>332.42</v>
      </c>
      <c r="F748" s="2">
        <v>524.13</v>
      </c>
      <c r="G748" s="2">
        <v>156.18</v>
      </c>
      <c r="H748" s="2">
        <v>235.68</v>
      </c>
      <c r="I748" s="2">
        <v>151.51</v>
      </c>
      <c r="J748" s="2">
        <v>196.07</v>
      </c>
      <c r="K748" s="2">
        <v>52.74</v>
      </c>
      <c r="L748" s="2">
        <v>272.83</v>
      </c>
      <c r="M748" s="64" t="s">
        <v>77</v>
      </c>
      <c r="N748" s="1"/>
      <c r="O748" s="12">
        <f t="shared" si="121"/>
        <v>4.2930173648079162E-3</v>
      </c>
      <c r="P748" s="12">
        <f t="shared" si="122"/>
        <v>7.9040304949831164E-3</v>
      </c>
      <c r="Q748" s="12">
        <f t="shared" si="123"/>
        <v>7.8812187741887918E-3</v>
      </c>
      <c r="R748" s="12">
        <f t="shared" si="124"/>
        <v>1.2271993666067793E-2</v>
      </c>
      <c r="S748" s="12">
        <f t="shared" si="125"/>
        <v>-2.0982755989629176E-4</v>
      </c>
      <c r="T748" s="12">
        <f t="shared" si="126"/>
        <v>-1.3766102551149295E-2</v>
      </c>
      <c r="U748" s="12">
        <f t="shared" si="127"/>
        <v>-3.8884192730346268E-3</v>
      </c>
      <c r="V748" s="12">
        <f t="shared" si="128"/>
        <v>3.8428410521431644E-3</v>
      </c>
      <c r="W748" s="12">
        <f t="shared" si="129"/>
        <v>1.3124580168449196E-2</v>
      </c>
      <c r="X748" s="12">
        <f t="shared" si="130"/>
        <v>3.9977155910908557E-3</v>
      </c>
      <c r="Y748" s="12">
        <f t="shared" si="131"/>
        <v>-1.3908714907946429E-3</v>
      </c>
    </row>
    <row r="749" spans="1:25" x14ac:dyDescent="0.35">
      <c r="A749" s="6">
        <v>45211</v>
      </c>
      <c r="B749" s="8">
        <v>4349.6099999999997</v>
      </c>
      <c r="C749" s="2">
        <v>180.71</v>
      </c>
      <c r="D749" s="2">
        <v>141.24</v>
      </c>
      <c r="E749" s="2">
        <v>331.16</v>
      </c>
      <c r="F749" s="2">
        <v>525.54</v>
      </c>
      <c r="G749" s="2">
        <v>156.33000000000001</v>
      </c>
      <c r="H749" s="2">
        <v>236.78</v>
      </c>
      <c r="I749" s="2">
        <v>151.28</v>
      </c>
      <c r="J749" s="2">
        <v>191.3</v>
      </c>
      <c r="K749" s="2">
        <v>52.98</v>
      </c>
      <c r="L749" s="2">
        <v>269.61</v>
      </c>
      <c r="M749" s="64">
        <v>10.82</v>
      </c>
      <c r="N749" s="1"/>
      <c r="O749" s="12">
        <f t="shared" si="121"/>
        <v>-6.2463587658072584E-3</v>
      </c>
      <c r="P749" s="12">
        <f t="shared" si="122"/>
        <v>5.0611790878754004E-3</v>
      </c>
      <c r="Q749" s="12">
        <f t="shared" si="123"/>
        <v>-1.3893737345528012E-2</v>
      </c>
      <c r="R749" s="12">
        <f t="shared" si="124"/>
        <v>-3.7903856566993133E-3</v>
      </c>
      <c r="S749" s="12">
        <f t="shared" si="125"/>
        <v>2.690172285501724E-3</v>
      </c>
      <c r="T749" s="12">
        <f t="shared" si="126"/>
        <v>9.6043027276215831E-4</v>
      </c>
      <c r="U749" s="12">
        <f t="shared" si="127"/>
        <v>4.6673455532926234E-3</v>
      </c>
      <c r="V749" s="12">
        <f t="shared" si="128"/>
        <v>-1.518051613754845E-3</v>
      </c>
      <c r="W749" s="12">
        <f t="shared" si="129"/>
        <v>-2.4328046105982493E-2</v>
      </c>
      <c r="X749" s="12">
        <f t="shared" si="130"/>
        <v>4.550625711035261E-3</v>
      </c>
      <c r="Y749" s="12">
        <f t="shared" si="131"/>
        <v>-1.1802221163361715E-2</v>
      </c>
    </row>
    <row r="750" spans="1:25" x14ac:dyDescent="0.35">
      <c r="A750" s="6">
        <v>45212</v>
      </c>
      <c r="B750" s="8">
        <v>4327.78</v>
      </c>
      <c r="C750" s="2">
        <v>178.85</v>
      </c>
      <c r="D750" s="2">
        <v>138.46</v>
      </c>
      <c r="E750" s="2">
        <v>327.73</v>
      </c>
      <c r="F750" s="2">
        <v>539.4</v>
      </c>
      <c r="G750" s="2">
        <v>156.85</v>
      </c>
      <c r="H750" s="2">
        <v>237.67</v>
      </c>
      <c r="I750" s="2">
        <v>151.1</v>
      </c>
      <c r="J750" s="2">
        <v>184.91</v>
      </c>
      <c r="K750" s="2">
        <v>53.28</v>
      </c>
      <c r="L750" s="2">
        <v>267.94</v>
      </c>
      <c r="M750" s="64" t="s">
        <v>77</v>
      </c>
      <c r="N750" s="1"/>
      <c r="O750" s="12">
        <f t="shared" si="121"/>
        <v>-5.0188407696322157E-3</v>
      </c>
      <c r="P750" s="12">
        <f t="shared" si="122"/>
        <v>-1.0292734215040733E-2</v>
      </c>
      <c r="Q750" s="12">
        <f t="shared" si="123"/>
        <v>-1.9682809402435608E-2</v>
      </c>
      <c r="R750" s="12">
        <f t="shared" si="124"/>
        <v>-1.0357531102790252E-2</v>
      </c>
      <c r="S750" s="12">
        <f t="shared" si="125"/>
        <v>2.6372873615709613E-2</v>
      </c>
      <c r="T750" s="12">
        <f t="shared" si="126"/>
        <v>3.3262969359686423E-3</v>
      </c>
      <c r="U750" s="12">
        <f t="shared" si="127"/>
        <v>3.7587634090716637E-3</v>
      </c>
      <c r="V750" s="12">
        <f t="shared" si="128"/>
        <v>-1.1898466419884013E-3</v>
      </c>
      <c r="W750" s="12">
        <f t="shared" si="129"/>
        <v>-3.3403031887088375E-2</v>
      </c>
      <c r="X750" s="12">
        <f t="shared" si="130"/>
        <v>5.6625141562853809E-3</v>
      </c>
      <c r="Y750" s="12">
        <f t="shared" si="131"/>
        <v>-6.1941322651237751E-3</v>
      </c>
    </row>
    <row r="751" spans="1:25" x14ac:dyDescent="0.35">
      <c r="A751" s="6">
        <v>45215</v>
      </c>
      <c r="B751" s="8">
        <v>4373.63</v>
      </c>
      <c r="C751" s="2">
        <v>178.72</v>
      </c>
      <c r="D751" s="2">
        <v>139.21</v>
      </c>
      <c r="E751" s="2">
        <v>332.64</v>
      </c>
      <c r="F751" s="2">
        <v>538.03</v>
      </c>
      <c r="G751" s="2">
        <v>157.53</v>
      </c>
      <c r="H751" s="2">
        <v>240.07</v>
      </c>
      <c r="I751" s="2">
        <v>152.79</v>
      </c>
      <c r="J751" s="2">
        <v>184.93</v>
      </c>
      <c r="K751" s="2">
        <v>53.74</v>
      </c>
      <c r="L751" s="2">
        <v>270.79000000000002</v>
      </c>
      <c r="M751" s="64" t="s">
        <v>77</v>
      </c>
      <c r="N751" s="1"/>
      <c r="O751" s="12">
        <f t="shared" si="121"/>
        <v>1.0594346293018697E-2</v>
      </c>
      <c r="P751" s="12">
        <f t="shared" si="122"/>
        <v>-7.2686608890126791E-4</v>
      </c>
      <c r="Q751" s="12">
        <f t="shared" si="123"/>
        <v>5.4167268525204815E-3</v>
      </c>
      <c r="R751" s="12">
        <f t="shared" si="124"/>
        <v>1.4981844811277512E-2</v>
      </c>
      <c r="S751" s="12">
        <f t="shared" si="125"/>
        <v>-2.5398591027067097E-3</v>
      </c>
      <c r="T751" s="12">
        <f t="shared" si="126"/>
        <v>4.3353522473701389E-3</v>
      </c>
      <c r="U751" s="12">
        <f t="shared" si="127"/>
        <v>1.0098035090671864E-2</v>
      </c>
      <c r="V751" s="12">
        <f t="shared" si="128"/>
        <v>1.1184645929847692E-2</v>
      </c>
      <c r="W751" s="12">
        <f t="shared" si="129"/>
        <v>1.081607268400564E-4</v>
      </c>
      <c r="X751" s="12">
        <f t="shared" si="130"/>
        <v>8.633633633633675E-3</v>
      </c>
      <c r="Y751" s="12">
        <f t="shared" si="131"/>
        <v>1.0636709711129511E-2</v>
      </c>
    </row>
    <row r="752" spans="1:25" x14ac:dyDescent="0.35">
      <c r="A752" s="6">
        <v>45216</v>
      </c>
      <c r="B752" s="8">
        <v>4373.2</v>
      </c>
      <c r="C752" s="2">
        <v>177.15</v>
      </c>
      <c r="D752" s="2">
        <v>140.32</v>
      </c>
      <c r="E752" s="2">
        <v>332.06</v>
      </c>
      <c r="F752" s="2">
        <v>536.65</v>
      </c>
      <c r="G752" s="2">
        <v>156.09</v>
      </c>
      <c r="H752" s="2">
        <v>241.2</v>
      </c>
      <c r="I752" s="2">
        <v>154.38999999999999</v>
      </c>
      <c r="J752" s="2">
        <v>185.6</v>
      </c>
      <c r="K752" s="2">
        <v>53.81</v>
      </c>
      <c r="L752" s="2">
        <v>272.64999999999998</v>
      </c>
      <c r="M752" s="64" t="s">
        <v>77</v>
      </c>
      <c r="N752" s="1"/>
      <c r="O752" s="12">
        <f t="shared" si="121"/>
        <v>-9.831650139591197E-5</v>
      </c>
      <c r="P752" s="12">
        <f t="shared" si="122"/>
        <v>-8.7846911369739988E-3</v>
      </c>
      <c r="Q752" s="12">
        <f t="shared" si="123"/>
        <v>7.9735651174484001E-3</v>
      </c>
      <c r="R752" s="12">
        <f t="shared" si="124"/>
        <v>-1.7436267436267139E-3</v>
      </c>
      <c r="S752" s="12">
        <f t="shared" si="125"/>
        <v>-2.5649127372079361E-3</v>
      </c>
      <c r="T752" s="12">
        <f t="shared" si="126"/>
        <v>-9.141115977909009E-3</v>
      </c>
      <c r="U752" s="12">
        <f t="shared" si="127"/>
        <v>4.7069604698628531E-3</v>
      </c>
      <c r="V752" s="12">
        <f t="shared" si="128"/>
        <v>1.0471889521565414E-2</v>
      </c>
      <c r="W752" s="12">
        <f t="shared" si="129"/>
        <v>3.6229924836423955E-3</v>
      </c>
      <c r="X752" s="12">
        <f t="shared" si="130"/>
        <v>1.3025679196130291E-3</v>
      </c>
      <c r="Y752" s="12">
        <f t="shared" si="131"/>
        <v>6.8687913143024026E-3</v>
      </c>
    </row>
    <row r="753" spans="1:25" x14ac:dyDescent="0.35">
      <c r="A753" s="6">
        <v>45217</v>
      </c>
      <c r="B753" s="8">
        <v>4314.6000000000004</v>
      </c>
      <c r="C753" s="2">
        <v>175.84</v>
      </c>
      <c r="D753" s="2">
        <v>139.97</v>
      </c>
      <c r="E753" s="2">
        <v>330.11</v>
      </c>
      <c r="F753" s="2">
        <v>536.05999999999995</v>
      </c>
      <c r="G753" s="2">
        <v>152.72999999999999</v>
      </c>
      <c r="H753" s="2">
        <v>237.47</v>
      </c>
      <c r="I753" s="2">
        <v>151.53</v>
      </c>
      <c r="J753" s="2">
        <v>185.69</v>
      </c>
      <c r="K753" s="2">
        <v>53.85</v>
      </c>
      <c r="L753" s="2">
        <v>259.22000000000003</v>
      </c>
      <c r="M753" s="64" t="s">
        <v>77</v>
      </c>
      <c r="N753" s="1"/>
      <c r="O753" s="12">
        <f t="shared" si="121"/>
        <v>-1.3399798774352711E-2</v>
      </c>
      <c r="P753" s="12">
        <f t="shared" si="122"/>
        <v>-7.3948631103584184E-3</v>
      </c>
      <c r="Q753" s="12">
        <f t="shared" si="123"/>
        <v>-2.494298745724044E-3</v>
      </c>
      <c r="R753" s="12">
        <f t="shared" si="124"/>
        <v>-5.872432692886842E-3</v>
      </c>
      <c r="S753" s="12">
        <f t="shared" si="125"/>
        <v>-1.0994130252492962E-3</v>
      </c>
      <c r="T753" s="12">
        <f t="shared" si="126"/>
        <v>-2.1526042667691758E-2</v>
      </c>
      <c r="U753" s="12">
        <f t="shared" si="127"/>
        <v>-1.5464344941956809E-2</v>
      </c>
      <c r="V753" s="12">
        <f t="shared" si="128"/>
        <v>-1.8524515836517819E-2</v>
      </c>
      <c r="W753" s="12">
        <f t="shared" si="129"/>
        <v>4.8491379310355853E-4</v>
      </c>
      <c r="X753" s="12">
        <f t="shared" si="130"/>
        <v>7.4335625348442846E-4</v>
      </c>
      <c r="Y753" s="12">
        <f t="shared" si="131"/>
        <v>-4.9257289565376672E-2</v>
      </c>
    </row>
    <row r="754" spans="1:25" x14ac:dyDescent="0.35">
      <c r="A754" s="6">
        <v>45218</v>
      </c>
      <c r="B754" s="8">
        <v>4278</v>
      </c>
      <c r="C754" s="2">
        <v>175.46</v>
      </c>
      <c r="D754" s="2">
        <v>138.01</v>
      </c>
      <c r="E754" s="2">
        <v>331.32</v>
      </c>
      <c r="F754" s="2">
        <v>531.63</v>
      </c>
      <c r="G754" s="2">
        <v>152.32</v>
      </c>
      <c r="H754" s="2">
        <v>233.81</v>
      </c>
      <c r="I754" s="2">
        <v>149.62</v>
      </c>
      <c r="J754" s="2">
        <v>182.79</v>
      </c>
      <c r="K754" s="2">
        <v>53.59</v>
      </c>
      <c r="L754" s="2">
        <v>252.89</v>
      </c>
      <c r="M754" s="64">
        <v>11.05</v>
      </c>
      <c r="N754" s="1"/>
      <c r="O754" s="12">
        <f t="shared" si="121"/>
        <v>-8.4828257544152796E-3</v>
      </c>
      <c r="P754" s="12">
        <f t="shared" si="122"/>
        <v>-2.161055505004561E-3</v>
      </c>
      <c r="Q754" s="12">
        <f t="shared" si="123"/>
        <v>-1.4003000642994978E-2</v>
      </c>
      <c r="R754" s="12">
        <f t="shared" si="124"/>
        <v>3.6654448517159377E-3</v>
      </c>
      <c r="S754" s="12">
        <f t="shared" si="125"/>
        <v>-8.2640002984739613E-3</v>
      </c>
      <c r="T754" s="12">
        <f t="shared" si="126"/>
        <v>-2.6844758724546836E-3</v>
      </c>
      <c r="U754" s="12">
        <f t="shared" si="127"/>
        <v>-1.541247315450367E-2</v>
      </c>
      <c r="V754" s="12">
        <f t="shared" si="128"/>
        <v>-1.2604764733056162E-2</v>
      </c>
      <c r="W754" s="12">
        <f t="shared" si="129"/>
        <v>-1.5617426894286246E-2</v>
      </c>
      <c r="X754" s="12">
        <f t="shared" si="130"/>
        <v>-4.8282265552460624E-3</v>
      </c>
      <c r="Y754" s="12">
        <f t="shared" si="131"/>
        <v>-2.4419412082401171E-2</v>
      </c>
    </row>
    <row r="755" spans="1:25" x14ac:dyDescent="0.35">
      <c r="A755" s="6">
        <v>45219</v>
      </c>
      <c r="B755" s="8">
        <v>4224.16</v>
      </c>
      <c r="C755" s="2">
        <v>172.88</v>
      </c>
      <c r="D755" s="2">
        <v>137.16</v>
      </c>
      <c r="E755" s="2">
        <v>326.67</v>
      </c>
      <c r="F755" s="2">
        <v>527.03</v>
      </c>
      <c r="G755" s="2">
        <v>153</v>
      </c>
      <c r="H755" s="2">
        <v>233.38</v>
      </c>
      <c r="I755" s="2">
        <v>141.57</v>
      </c>
      <c r="J755" s="2">
        <v>180.04</v>
      </c>
      <c r="K755" s="2">
        <v>52.92</v>
      </c>
      <c r="L755" s="2">
        <v>249.2</v>
      </c>
      <c r="M755" s="64" t="s">
        <v>77</v>
      </c>
      <c r="N755" s="1"/>
      <c r="O755" s="12">
        <f t="shared" si="121"/>
        <v>-1.2585320243104325E-2</v>
      </c>
      <c r="P755" s="12">
        <f t="shared" si="122"/>
        <v>-1.4704206086857519E-2</v>
      </c>
      <c r="Q755" s="12">
        <f t="shared" si="123"/>
        <v>-6.15897398739218E-3</v>
      </c>
      <c r="R755" s="12">
        <f t="shared" si="124"/>
        <v>-1.4034770010865505E-2</v>
      </c>
      <c r="S755" s="12">
        <f t="shared" si="125"/>
        <v>-8.6526343509584214E-3</v>
      </c>
      <c r="T755" s="12">
        <f t="shared" si="126"/>
        <v>4.4642857142858094E-3</v>
      </c>
      <c r="U755" s="12">
        <f t="shared" si="127"/>
        <v>-1.8391001240323224E-3</v>
      </c>
      <c r="V755" s="12">
        <f t="shared" si="128"/>
        <v>-5.3802967517711631E-2</v>
      </c>
      <c r="W755" s="12">
        <f t="shared" si="129"/>
        <v>-1.5044586684173078E-2</v>
      </c>
      <c r="X755" s="12">
        <f t="shared" si="130"/>
        <v>-1.2502332524724769E-2</v>
      </c>
      <c r="Y755" s="12">
        <f t="shared" si="131"/>
        <v>-1.4591324291193808E-2</v>
      </c>
    </row>
    <row r="756" spans="1:25" x14ac:dyDescent="0.35">
      <c r="A756" s="6">
        <v>45222</v>
      </c>
      <c r="B756" s="8">
        <v>4217.04</v>
      </c>
      <c r="C756" s="2">
        <v>173</v>
      </c>
      <c r="D756" s="2">
        <v>136.38</v>
      </c>
      <c r="E756" s="2">
        <v>329.32</v>
      </c>
      <c r="F756" s="2">
        <v>521.57000000000005</v>
      </c>
      <c r="G756" s="2">
        <v>151.38999999999999</v>
      </c>
      <c r="H756" s="2">
        <v>231.53</v>
      </c>
      <c r="I756" s="2">
        <v>144.59</v>
      </c>
      <c r="J756" s="2">
        <v>181.03</v>
      </c>
      <c r="K756" s="2">
        <v>53.67</v>
      </c>
      <c r="L756" s="2">
        <v>247.32</v>
      </c>
      <c r="M756" s="64" t="s">
        <v>77</v>
      </c>
      <c r="N756" s="1"/>
      <c r="O756" s="12">
        <f t="shared" si="121"/>
        <v>-1.685542214310054E-3</v>
      </c>
      <c r="P756" s="12">
        <f t="shared" si="122"/>
        <v>6.9412309116145821E-4</v>
      </c>
      <c r="Q756" s="12">
        <f t="shared" si="123"/>
        <v>-5.6867891513561197E-3</v>
      </c>
      <c r="R756" s="12">
        <f t="shared" si="124"/>
        <v>8.1121621207946859E-3</v>
      </c>
      <c r="S756" s="12">
        <f t="shared" si="125"/>
        <v>-1.0359941559303865E-2</v>
      </c>
      <c r="T756" s="12">
        <f t="shared" si="126"/>
        <v>-1.0522875816993515E-2</v>
      </c>
      <c r="U756" s="12">
        <f t="shared" si="127"/>
        <v>-7.9269860313651019E-3</v>
      </c>
      <c r="V756" s="12">
        <f t="shared" si="128"/>
        <v>2.1332203150385087E-2</v>
      </c>
      <c r="W756" s="12">
        <f t="shared" si="129"/>
        <v>5.498778049322528E-3</v>
      </c>
      <c r="X756" s="12">
        <f t="shared" si="130"/>
        <v>1.4172335600907138E-2</v>
      </c>
      <c r="Y756" s="12">
        <f t="shared" si="131"/>
        <v>-7.5441412520064199E-3</v>
      </c>
    </row>
    <row r="757" spans="1:25" x14ac:dyDescent="0.35">
      <c r="A757" s="6">
        <v>45223</v>
      </c>
      <c r="B757" s="8">
        <v>4247.68</v>
      </c>
      <c r="C757" s="2">
        <v>173.44</v>
      </c>
      <c r="D757" s="2">
        <v>137.79</v>
      </c>
      <c r="E757" s="2">
        <v>330.53</v>
      </c>
      <c r="F757" s="2">
        <v>525</v>
      </c>
      <c r="G757" s="2">
        <v>151.22999999999999</v>
      </c>
      <c r="H757" s="2">
        <v>234.65</v>
      </c>
      <c r="I757" s="2">
        <v>144.41999999999999</v>
      </c>
      <c r="J757" s="2">
        <v>182.36</v>
      </c>
      <c r="K757" s="2">
        <v>54.42</v>
      </c>
      <c r="L757" s="2">
        <v>249.55</v>
      </c>
      <c r="M757" s="64" t="s">
        <v>77</v>
      </c>
      <c r="N757" s="1"/>
      <c r="O757" s="12">
        <f t="shared" si="121"/>
        <v>7.2657598694820802E-3</v>
      </c>
      <c r="P757" s="12">
        <f t="shared" si="122"/>
        <v>2.5433526011560126E-3</v>
      </c>
      <c r="Q757" s="12">
        <f t="shared" si="123"/>
        <v>1.0338759348878179E-2</v>
      </c>
      <c r="R757" s="12">
        <f t="shared" si="124"/>
        <v>3.6742378233936002E-3</v>
      </c>
      <c r="S757" s="12">
        <f t="shared" si="125"/>
        <v>6.5762984834250027E-3</v>
      </c>
      <c r="T757" s="12">
        <f t="shared" si="126"/>
        <v>-1.0568729770790153E-3</v>
      </c>
      <c r="U757" s="12">
        <f t="shared" si="127"/>
        <v>1.3475575519371175E-2</v>
      </c>
      <c r="V757" s="12">
        <f t="shared" si="128"/>
        <v>-1.1757382944880268E-3</v>
      </c>
      <c r="W757" s="12">
        <f t="shared" si="129"/>
        <v>7.3468485886318824E-3</v>
      </c>
      <c r="X757" s="12">
        <f t="shared" si="130"/>
        <v>1.3974287311347089E-2</v>
      </c>
      <c r="Y757" s="12">
        <f t="shared" si="131"/>
        <v>9.0166585799773546E-3</v>
      </c>
    </row>
    <row r="758" spans="1:25" x14ac:dyDescent="0.35">
      <c r="A758" s="6">
        <v>45224</v>
      </c>
      <c r="B758" s="8">
        <v>4186.7700000000004</v>
      </c>
      <c r="C758" s="2">
        <v>171.1</v>
      </c>
      <c r="D758" s="2">
        <v>137.08000000000001</v>
      </c>
      <c r="E758" s="2">
        <v>340.67</v>
      </c>
      <c r="F758" s="2">
        <v>530.21</v>
      </c>
      <c r="G758" s="2">
        <v>151.57</v>
      </c>
      <c r="H758" s="2">
        <v>236.85</v>
      </c>
      <c r="I758" s="2">
        <v>143.52000000000001</v>
      </c>
      <c r="J758" s="2">
        <v>177.73</v>
      </c>
      <c r="K758" s="2">
        <v>54.25</v>
      </c>
      <c r="L758" s="2">
        <v>244.94</v>
      </c>
      <c r="M758" s="64" t="s">
        <v>77</v>
      </c>
      <c r="N758" s="1"/>
      <c r="O758" s="12">
        <f t="shared" si="121"/>
        <v>-1.4339592436341642E-2</v>
      </c>
      <c r="P758" s="12">
        <f t="shared" si="122"/>
        <v>-1.3491697416974202E-2</v>
      </c>
      <c r="Q758" s="12">
        <f t="shared" si="123"/>
        <v>-5.1527687060017868E-3</v>
      </c>
      <c r="R758" s="12">
        <f t="shared" si="124"/>
        <v>3.0678001996793158E-2</v>
      </c>
      <c r="S758" s="12">
        <f t="shared" si="125"/>
        <v>9.923809523809668E-3</v>
      </c>
      <c r="T758" s="12">
        <f t="shared" si="126"/>
        <v>2.2482311710638747E-3</v>
      </c>
      <c r="U758" s="12">
        <f t="shared" si="127"/>
        <v>9.3756658853612063E-3</v>
      </c>
      <c r="V758" s="12">
        <f t="shared" si="128"/>
        <v>-6.2318238471124054E-3</v>
      </c>
      <c r="W758" s="12">
        <f t="shared" si="129"/>
        <v>-2.5389339767493024E-2</v>
      </c>
      <c r="X758" s="12">
        <f t="shared" si="130"/>
        <v>-3.1238515251745813E-3</v>
      </c>
      <c r="Y758" s="12">
        <f t="shared" si="131"/>
        <v>-1.8473251853336037E-2</v>
      </c>
    </row>
    <row r="759" spans="1:25" x14ac:dyDescent="0.35">
      <c r="A759" s="6">
        <v>45225</v>
      </c>
      <c r="B759" s="8">
        <v>4137.2299999999996</v>
      </c>
      <c r="C759" s="2">
        <v>166.89</v>
      </c>
      <c r="D759" s="2">
        <v>143.76</v>
      </c>
      <c r="E759" s="2">
        <v>327.89</v>
      </c>
      <c r="F759" s="2">
        <v>528.36</v>
      </c>
      <c r="G759" s="2">
        <v>149</v>
      </c>
      <c r="H759" s="2">
        <v>231.28</v>
      </c>
      <c r="I759" s="2">
        <v>143.34</v>
      </c>
      <c r="J759" s="2">
        <v>179.09</v>
      </c>
      <c r="K759" s="2">
        <v>53.92</v>
      </c>
      <c r="L759" s="2">
        <v>242.43</v>
      </c>
      <c r="M759" s="64">
        <v>11.04</v>
      </c>
      <c r="N759" s="1"/>
      <c r="O759" s="12">
        <f t="shared" si="121"/>
        <v>-1.183251050332379E-2</v>
      </c>
      <c r="P759" s="12">
        <f t="shared" si="122"/>
        <v>-2.4605493863237959E-2</v>
      </c>
      <c r="Q759" s="12">
        <f t="shared" si="123"/>
        <v>4.8730668222935369E-2</v>
      </c>
      <c r="R759" s="12">
        <f t="shared" si="124"/>
        <v>-3.7514310036105392E-2</v>
      </c>
      <c r="S759" s="12">
        <f t="shared" si="125"/>
        <v>-3.4891835310537633E-3</v>
      </c>
      <c r="T759" s="12">
        <f t="shared" si="126"/>
        <v>-1.6955861977963949E-2</v>
      </c>
      <c r="U759" s="12">
        <f t="shared" si="127"/>
        <v>-2.3516993877981784E-2</v>
      </c>
      <c r="V759" s="12">
        <f t="shared" si="128"/>
        <v>-1.2541806020067714E-3</v>
      </c>
      <c r="W759" s="12">
        <f t="shared" si="129"/>
        <v>7.6520564901818577E-3</v>
      </c>
      <c r="X759" s="12">
        <f t="shared" si="130"/>
        <v>-6.0829493087557474E-3</v>
      </c>
      <c r="Y759" s="12">
        <f t="shared" si="131"/>
        <v>-1.0247407528374275E-2</v>
      </c>
    </row>
    <row r="760" spans="1:25" x14ac:dyDescent="0.35">
      <c r="A760" s="6">
        <v>45226</v>
      </c>
      <c r="B760" s="8">
        <v>4117.37</v>
      </c>
      <c r="C760" s="2">
        <v>168.22</v>
      </c>
      <c r="D760" s="2">
        <v>142.52000000000001</v>
      </c>
      <c r="E760" s="2">
        <v>329.81</v>
      </c>
      <c r="F760" s="2">
        <v>524.66</v>
      </c>
      <c r="G760" s="2">
        <v>145.6</v>
      </c>
      <c r="H760" s="2">
        <v>229.27</v>
      </c>
      <c r="I760" s="2">
        <v>141.31</v>
      </c>
      <c r="J760" s="2">
        <v>179.69</v>
      </c>
      <c r="K760" s="2">
        <v>53.72</v>
      </c>
      <c r="L760" s="2">
        <v>238.56</v>
      </c>
      <c r="M760" s="64" t="s">
        <v>77</v>
      </c>
      <c r="N760" s="1"/>
      <c r="O760" s="12">
        <f t="shared" si="121"/>
        <v>-4.8003132530701764E-3</v>
      </c>
      <c r="P760" s="12">
        <f t="shared" si="122"/>
        <v>7.9693211097131567E-3</v>
      </c>
      <c r="Q760" s="12">
        <f t="shared" si="123"/>
        <v>-8.6254869226487507E-3</v>
      </c>
      <c r="R760" s="12">
        <f t="shared" si="124"/>
        <v>5.8556223123609197E-3</v>
      </c>
      <c r="S760" s="12">
        <f t="shared" si="125"/>
        <v>-7.0028011204482654E-3</v>
      </c>
      <c r="T760" s="12">
        <f t="shared" si="126"/>
        <v>-2.2818791946308759E-2</v>
      </c>
      <c r="U760" s="12">
        <f t="shared" si="127"/>
        <v>-8.690764441369736E-3</v>
      </c>
      <c r="V760" s="12">
        <f t="shared" si="128"/>
        <v>-1.4162131993860738E-2</v>
      </c>
      <c r="W760" s="12">
        <f t="shared" si="129"/>
        <v>3.3502708135573211E-3</v>
      </c>
      <c r="X760" s="12">
        <f t="shared" si="130"/>
        <v>-3.7091988130564246E-3</v>
      </c>
      <c r="Y760" s="12">
        <f t="shared" si="131"/>
        <v>-1.5963370869941818E-2</v>
      </c>
    </row>
    <row r="761" spans="1:25" x14ac:dyDescent="0.35">
      <c r="A761" s="6">
        <v>45229</v>
      </c>
      <c r="B761" s="8">
        <v>4166.82</v>
      </c>
      <c r="C761" s="2">
        <v>170.29</v>
      </c>
      <c r="D761" s="2">
        <v>142.63</v>
      </c>
      <c r="E761" s="2">
        <v>337.31</v>
      </c>
      <c r="F761" s="2">
        <v>529.99</v>
      </c>
      <c r="G761" s="2">
        <v>147.03</v>
      </c>
      <c r="H761" s="2">
        <v>233.08</v>
      </c>
      <c r="I761" s="2">
        <v>143.27000000000001</v>
      </c>
      <c r="J761" s="2">
        <v>182.35</v>
      </c>
      <c r="K761" s="2">
        <v>54.34</v>
      </c>
      <c r="L761" s="2">
        <v>242.16</v>
      </c>
      <c r="M761" s="64" t="s">
        <v>77</v>
      </c>
      <c r="N761" s="1"/>
      <c r="O761" s="12">
        <f t="shared" si="121"/>
        <v>1.2010093822027113E-2</v>
      </c>
      <c r="P761" s="12">
        <f t="shared" si="122"/>
        <v>1.2305314469147399E-2</v>
      </c>
      <c r="Q761" s="12">
        <f t="shared" si="123"/>
        <v>7.7182149873689099E-4</v>
      </c>
      <c r="R761" s="12">
        <f t="shared" si="124"/>
        <v>2.2740365665079976E-2</v>
      </c>
      <c r="S761" s="12">
        <f t="shared" si="125"/>
        <v>1.0158960088438196E-2</v>
      </c>
      <c r="T761" s="12">
        <f t="shared" si="126"/>
        <v>9.8214285714286476E-3</v>
      </c>
      <c r="U761" s="12">
        <f t="shared" si="127"/>
        <v>1.6617961355607003E-2</v>
      </c>
      <c r="V761" s="12">
        <f t="shared" si="128"/>
        <v>1.3870214422192495E-2</v>
      </c>
      <c r="W761" s="12">
        <f t="shared" si="129"/>
        <v>1.4803272302298387E-2</v>
      </c>
      <c r="X761" s="12">
        <f t="shared" si="130"/>
        <v>1.1541325390916013E-2</v>
      </c>
      <c r="Y761" s="12">
        <f t="shared" si="131"/>
        <v>1.5090543259557387E-2</v>
      </c>
    </row>
    <row r="762" spans="1:25" x14ac:dyDescent="0.35">
      <c r="A762" s="6">
        <v>45230</v>
      </c>
      <c r="B762" s="8">
        <v>4193.8</v>
      </c>
      <c r="C762" s="2">
        <v>170.77</v>
      </c>
      <c r="D762" s="2">
        <v>144.63999999999999</v>
      </c>
      <c r="E762" s="2">
        <v>338.11</v>
      </c>
      <c r="F762" s="2">
        <v>535.55999999999995</v>
      </c>
      <c r="G762" s="2">
        <v>148.34</v>
      </c>
      <c r="H762" s="2">
        <v>235.1</v>
      </c>
      <c r="I762" s="2">
        <v>146.03</v>
      </c>
      <c r="J762" s="2">
        <v>186.82</v>
      </c>
      <c r="K762" s="2">
        <v>54.47</v>
      </c>
      <c r="L762" s="2">
        <v>226.05</v>
      </c>
      <c r="M762" s="64" t="s">
        <v>77</v>
      </c>
      <c r="N762" s="1"/>
      <c r="O762" s="12">
        <f t="shared" si="121"/>
        <v>6.4749617214088229E-3</v>
      </c>
      <c r="P762" s="12">
        <f t="shared" si="122"/>
        <v>2.8187210053438605E-3</v>
      </c>
      <c r="Q762" s="12">
        <f t="shared" si="123"/>
        <v>1.4092406927013856E-2</v>
      </c>
      <c r="R762" s="12">
        <f t="shared" si="124"/>
        <v>2.3717055527556763E-3</v>
      </c>
      <c r="S762" s="12">
        <f t="shared" si="125"/>
        <v>1.0509632257212242E-2</v>
      </c>
      <c r="T762" s="12">
        <f t="shared" si="126"/>
        <v>8.9097463102767449E-3</v>
      </c>
      <c r="U762" s="12">
        <f t="shared" si="127"/>
        <v>8.6665522567357378E-3</v>
      </c>
      <c r="V762" s="12">
        <f t="shared" si="128"/>
        <v>1.9264326097578E-2</v>
      </c>
      <c r="W762" s="12">
        <f t="shared" si="129"/>
        <v>2.451329860159035E-2</v>
      </c>
      <c r="X762" s="12">
        <f t="shared" si="130"/>
        <v>2.3923444976075015E-3</v>
      </c>
      <c r="Y762" s="12">
        <f t="shared" si="131"/>
        <v>-6.652626362735381E-2</v>
      </c>
    </row>
    <row r="763" spans="1:25" x14ac:dyDescent="0.35">
      <c r="A763" s="6">
        <v>45231</v>
      </c>
      <c r="B763" s="8">
        <v>4237.8599999999997</v>
      </c>
      <c r="C763" s="2">
        <v>173.97</v>
      </c>
      <c r="D763" s="2">
        <v>145.4</v>
      </c>
      <c r="E763" s="2">
        <v>346.07</v>
      </c>
      <c r="F763" s="2">
        <v>531.6</v>
      </c>
      <c r="G763" s="2">
        <v>148.69</v>
      </c>
      <c r="H763" s="2">
        <v>238.58</v>
      </c>
      <c r="I763" s="2">
        <v>146.44999999999999</v>
      </c>
      <c r="J763" s="2">
        <v>189.38</v>
      </c>
      <c r="K763" s="2">
        <v>54.96</v>
      </c>
      <c r="L763" s="2">
        <v>231.83</v>
      </c>
      <c r="M763" s="64" t="s">
        <v>77</v>
      </c>
      <c r="N763" s="1"/>
      <c r="O763" s="12">
        <f t="shared" si="121"/>
        <v>1.0505985025513809E-2</v>
      </c>
      <c r="P763" s="12">
        <f t="shared" si="122"/>
        <v>1.8738654330385796E-2</v>
      </c>
      <c r="Q763" s="12">
        <f t="shared" si="123"/>
        <v>5.2544247787611464E-3</v>
      </c>
      <c r="R763" s="12">
        <f t="shared" si="124"/>
        <v>2.354263405400614E-2</v>
      </c>
      <c r="S763" s="12">
        <f t="shared" si="125"/>
        <v>-7.3941295092985193E-3</v>
      </c>
      <c r="T763" s="12">
        <f t="shared" si="126"/>
        <v>2.3594445193473312E-3</v>
      </c>
      <c r="U763" s="12">
        <f t="shared" si="127"/>
        <v>1.4802211824755496E-2</v>
      </c>
      <c r="V763" s="12">
        <f t="shared" si="128"/>
        <v>2.8761213449290945E-3</v>
      </c>
      <c r="W763" s="12">
        <f t="shared" si="129"/>
        <v>1.3703029654212662E-2</v>
      </c>
      <c r="X763" s="12">
        <f t="shared" si="130"/>
        <v>8.9957774921975986E-3</v>
      </c>
      <c r="Y763" s="12">
        <f t="shared" si="131"/>
        <v>2.5569564255695676E-2</v>
      </c>
    </row>
    <row r="764" spans="1:25" x14ac:dyDescent="0.35">
      <c r="A764" s="6">
        <v>45232</v>
      </c>
      <c r="B764" s="8">
        <v>4317.78</v>
      </c>
      <c r="C764" s="2">
        <v>177.57</v>
      </c>
      <c r="D764" s="2">
        <v>147.01</v>
      </c>
      <c r="E764" s="2">
        <v>348.32</v>
      </c>
      <c r="F764" s="2">
        <v>536.13</v>
      </c>
      <c r="G764" s="2">
        <v>150.24</v>
      </c>
      <c r="H764" s="2">
        <v>243.25</v>
      </c>
      <c r="I764" s="2">
        <v>150.85</v>
      </c>
      <c r="J764" s="2">
        <v>192.01</v>
      </c>
      <c r="K764" s="2">
        <v>55.17</v>
      </c>
      <c r="L764" s="2">
        <v>239.12</v>
      </c>
      <c r="M764" s="64">
        <v>11.05</v>
      </c>
      <c r="N764" s="1"/>
      <c r="O764" s="12">
        <f t="shared" si="121"/>
        <v>1.8858574846738696E-2</v>
      </c>
      <c r="P764" s="12">
        <f t="shared" si="122"/>
        <v>2.0693222969477398E-2</v>
      </c>
      <c r="Q764" s="12">
        <f t="shared" si="123"/>
        <v>1.1072902338376878E-2</v>
      </c>
      <c r="R764" s="12">
        <f t="shared" si="124"/>
        <v>6.501574825902301E-3</v>
      </c>
      <c r="S764" s="12">
        <f t="shared" si="125"/>
        <v>8.5214446952595058E-3</v>
      </c>
      <c r="T764" s="12">
        <f t="shared" si="126"/>
        <v>1.0424372856278286E-2</v>
      </c>
      <c r="U764" s="12">
        <f t="shared" si="127"/>
        <v>1.9574147036633294E-2</v>
      </c>
      <c r="V764" s="12">
        <f t="shared" si="128"/>
        <v>3.004438374871965E-2</v>
      </c>
      <c r="W764" s="12">
        <f t="shared" si="129"/>
        <v>1.3887422114267522E-2</v>
      </c>
      <c r="X764" s="12">
        <f t="shared" si="130"/>
        <v>3.8209606986898681E-3</v>
      </c>
      <c r="Y764" s="12">
        <f t="shared" si="131"/>
        <v>3.1445455721865079E-2</v>
      </c>
    </row>
    <row r="765" spans="1:25" x14ac:dyDescent="0.35">
      <c r="A765" s="6">
        <v>45233</v>
      </c>
      <c r="B765" s="8">
        <v>4358.34</v>
      </c>
      <c r="C765" s="2">
        <v>176.65</v>
      </c>
      <c r="D765" s="2">
        <v>147.9</v>
      </c>
      <c r="E765" s="2">
        <v>352.8</v>
      </c>
      <c r="F765" s="2">
        <v>530.9</v>
      </c>
      <c r="G765" s="2">
        <v>151.34</v>
      </c>
      <c r="H765" s="2">
        <v>243.6</v>
      </c>
      <c r="I765" s="2">
        <v>152.76</v>
      </c>
      <c r="J765" s="2">
        <v>195.05</v>
      </c>
      <c r="K765" s="2">
        <v>54.89</v>
      </c>
      <c r="L765" s="2">
        <v>240.75</v>
      </c>
      <c r="M765" s="64" t="s">
        <v>77</v>
      </c>
      <c r="N765" s="1"/>
      <c r="O765" s="12">
        <f t="shared" si="121"/>
        <v>9.3937162152772924E-3</v>
      </c>
      <c r="P765" s="12">
        <f t="shared" si="122"/>
        <v>-5.1810553584501484E-3</v>
      </c>
      <c r="Q765" s="12">
        <f t="shared" si="123"/>
        <v>6.0540099312973439E-3</v>
      </c>
      <c r="R765" s="12">
        <f t="shared" si="124"/>
        <v>1.2861736334405238E-2</v>
      </c>
      <c r="S765" s="12">
        <f t="shared" si="125"/>
        <v>-9.7550967116184495E-3</v>
      </c>
      <c r="T765" s="12">
        <f t="shared" si="126"/>
        <v>7.3216187433440272E-3</v>
      </c>
      <c r="U765" s="12">
        <f t="shared" si="127"/>
        <v>1.4388489208632116E-3</v>
      </c>
      <c r="V765" s="12">
        <f t="shared" si="128"/>
        <v>1.2661584355319722E-2</v>
      </c>
      <c r="W765" s="12">
        <f t="shared" si="129"/>
        <v>1.5832508723504057E-2</v>
      </c>
      <c r="X765" s="12">
        <f t="shared" si="130"/>
        <v>-5.0752220409643334E-3</v>
      </c>
      <c r="Y765" s="12">
        <f t="shared" si="131"/>
        <v>6.8166610906656988E-3</v>
      </c>
    </row>
    <row r="766" spans="1:25" x14ac:dyDescent="0.35">
      <c r="A766" s="6">
        <v>45236</v>
      </c>
      <c r="B766" s="8">
        <v>4365.9799999999996</v>
      </c>
      <c r="C766" s="2">
        <v>179.23</v>
      </c>
      <c r="D766" s="2">
        <v>148.97</v>
      </c>
      <c r="E766" s="2">
        <v>356.53</v>
      </c>
      <c r="F766" s="2">
        <v>533.46</v>
      </c>
      <c r="G766" s="2">
        <v>151.69999999999999</v>
      </c>
      <c r="H766" s="2">
        <v>243.49</v>
      </c>
      <c r="I766" s="2">
        <v>152.99</v>
      </c>
      <c r="J766" s="2">
        <v>192.95</v>
      </c>
      <c r="K766" s="2">
        <v>54.96</v>
      </c>
      <c r="L766" s="2">
        <v>238.28</v>
      </c>
      <c r="M766" s="64" t="s">
        <v>77</v>
      </c>
      <c r="N766" s="1"/>
      <c r="O766" s="12">
        <f t="shared" si="121"/>
        <v>1.7529609897344312E-3</v>
      </c>
      <c r="P766" s="12">
        <f t="shared" si="122"/>
        <v>1.4605151429380125E-2</v>
      </c>
      <c r="Q766" s="12">
        <f t="shared" si="123"/>
        <v>7.2346179851250358E-3</v>
      </c>
      <c r="R766" s="12">
        <f t="shared" si="124"/>
        <v>1.0572562358276638E-2</v>
      </c>
      <c r="S766" s="12">
        <f t="shared" si="125"/>
        <v>4.8220003767189823E-3</v>
      </c>
      <c r="T766" s="12">
        <f t="shared" si="126"/>
        <v>2.378749834808902E-3</v>
      </c>
      <c r="U766" s="12">
        <f t="shared" si="127"/>
        <v>-4.5155993431844621E-4</v>
      </c>
      <c r="V766" s="12">
        <f t="shared" si="128"/>
        <v>1.5056297460069867E-3</v>
      </c>
      <c r="W766" s="12">
        <f t="shared" si="129"/>
        <v>-1.0766470135862738E-2</v>
      </c>
      <c r="X766" s="12">
        <f t="shared" si="130"/>
        <v>1.2752778283839916E-3</v>
      </c>
      <c r="Y766" s="12">
        <f t="shared" si="131"/>
        <v>-1.0259605399792315E-2</v>
      </c>
    </row>
    <row r="767" spans="1:25" x14ac:dyDescent="0.35">
      <c r="A767" s="6">
        <v>45237</v>
      </c>
      <c r="B767" s="8">
        <v>4378.38</v>
      </c>
      <c r="C767" s="2">
        <v>181.82</v>
      </c>
      <c r="D767" s="2">
        <v>148.83000000000001</v>
      </c>
      <c r="E767" s="2">
        <v>360.53</v>
      </c>
      <c r="F767" s="2">
        <v>537.83000000000004</v>
      </c>
      <c r="G767" s="2">
        <v>150.9</v>
      </c>
      <c r="H767" s="2">
        <v>244.77</v>
      </c>
      <c r="I767" s="2">
        <v>152.97999999999999</v>
      </c>
      <c r="J767" s="2">
        <v>191.41</v>
      </c>
      <c r="K767" s="2">
        <v>55.22</v>
      </c>
      <c r="L767" s="2">
        <v>234.92</v>
      </c>
      <c r="M767" s="64" t="s">
        <v>77</v>
      </c>
      <c r="N767" s="1"/>
      <c r="O767" s="12">
        <f t="shared" si="121"/>
        <v>2.8401412741241305E-3</v>
      </c>
      <c r="P767" s="12">
        <f t="shared" si="122"/>
        <v>1.445070579702068E-2</v>
      </c>
      <c r="Q767" s="12">
        <f t="shared" si="123"/>
        <v>-9.3978653420145886E-4</v>
      </c>
      <c r="R767" s="12">
        <f t="shared" si="124"/>
        <v>1.1219252236838395E-2</v>
      </c>
      <c r="S767" s="12">
        <f t="shared" si="125"/>
        <v>8.1918044464439621E-3</v>
      </c>
      <c r="T767" s="12">
        <f t="shared" si="126"/>
        <v>-5.2735662491758539E-3</v>
      </c>
      <c r="U767" s="12">
        <f t="shared" si="127"/>
        <v>5.256889399975373E-3</v>
      </c>
      <c r="V767" s="12">
        <f t="shared" si="128"/>
        <v>-6.5363749264801818E-5</v>
      </c>
      <c r="W767" s="12">
        <f t="shared" si="129"/>
        <v>-7.9813423166622544E-3</v>
      </c>
      <c r="X767" s="12">
        <f t="shared" si="130"/>
        <v>4.7307132459970536E-3</v>
      </c>
      <c r="Y767" s="12">
        <f t="shared" si="131"/>
        <v>-1.4101057579318454E-2</v>
      </c>
    </row>
    <row r="768" spans="1:25" x14ac:dyDescent="0.35">
      <c r="A768" s="6">
        <v>45238</v>
      </c>
      <c r="B768" s="8">
        <v>4382.78</v>
      </c>
      <c r="C768" s="2">
        <v>182.89</v>
      </c>
      <c r="D768" s="2">
        <v>148.03</v>
      </c>
      <c r="E768" s="2">
        <v>363.2</v>
      </c>
      <c r="F768" s="2">
        <v>536.73</v>
      </c>
      <c r="G768" s="2">
        <v>150.35</v>
      </c>
      <c r="H768" s="2">
        <v>243.91</v>
      </c>
      <c r="I768" s="2">
        <v>153.01</v>
      </c>
      <c r="J768" s="2">
        <v>191.83</v>
      </c>
      <c r="K768" s="2">
        <v>54.77</v>
      </c>
      <c r="L768" s="2">
        <v>234.82</v>
      </c>
      <c r="M768" s="64" t="s">
        <v>77</v>
      </c>
      <c r="N768" s="1"/>
      <c r="O768" s="12">
        <f t="shared" si="121"/>
        <v>1.0049378994057001E-3</v>
      </c>
      <c r="P768" s="12">
        <f t="shared" si="122"/>
        <v>5.884941150588352E-3</v>
      </c>
      <c r="Q768" s="12">
        <f t="shared" si="123"/>
        <v>-5.3752603641740171E-3</v>
      </c>
      <c r="R768" s="12">
        <f t="shared" si="124"/>
        <v>7.4057637367210827E-3</v>
      </c>
      <c r="S768" s="12">
        <f t="shared" si="125"/>
        <v>-2.0452559358905553E-3</v>
      </c>
      <c r="T768" s="12">
        <f t="shared" si="126"/>
        <v>-3.6447978793904268E-3</v>
      </c>
      <c r="U768" s="12">
        <f t="shared" si="127"/>
        <v>-3.5135024717082297E-3</v>
      </c>
      <c r="V768" s="12">
        <f t="shared" si="128"/>
        <v>1.9610406589087859E-4</v>
      </c>
      <c r="W768" s="12">
        <f t="shared" si="129"/>
        <v>2.1942427250405405E-3</v>
      </c>
      <c r="X768" s="12">
        <f t="shared" si="130"/>
        <v>-8.1492212966315369E-3</v>
      </c>
      <c r="Y768" s="12">
        <f t="shared" si="131"/>
        <v>-4.2567682615357594E-4</v>
      </c>
    </row>
    <row r="769" spans="1:25" x14ac:dyDescent="0.35">
      <c r="A769" s="6">
        <v>45239</v>
      </c>
      <c r="B769" s="8">
        <v>4347.3500000000004</v>
      </c>
      <c r="C769" s="2">
        <v>182.41</v>
      </c>
      <c r="D769" s="2">
        <v>146.62</v>
      </c>
      <c r="E769" s="2">
        <v>360.69</v>
      </c>
      <c r="F769" s="2">
        <v>539</v>
      </c>
      <c r="G769" s="2">
        <v>147.41999999999999</v>
      </c>
      <c r="H769" s="2">
        <v>241.64</v>
      </c>
      <c r="I769" s="2">
        <v>152.37</v>
      </c>
      <c r="J769" s="2">
        <v>193.33</v>
      </c>
      <c r="K769" s="2">
        <v>54.64</v>
      </c>
      <c r="L769" s="2">
        <v>234.15</v>
      </c>
      <c r="M769" s="64">
        <v>11.19</v>
      </c>
      <c r="N769" s="1"/>
      <c r="O769" s="12">
        <f t="shared" si="121"/>
        <v>-8.0839102122395312E-3</v>
      </c>
      <c r="P769" s="12">
        <f t="shared" si="122"/>
        <v>-2.6245284050521178E-3</v>
      </c>
      <c r="Q769" s="12">
        <f t="shared" si="123"/>
        <v>-9.5250962642707826E-3</v>
      </c>
      <c r="R769" s="12">
        <f t="shared" si="124"/>
        <v>-6.9107929515418443E-3</v>
      </c>
      <c r="S769" s="12">
        <f t="shared" si="125"/>
        <v>4.2293145529408438E-3</v>
      </c>
      <c r="T769" s="12">
        <f t="shared" si="126"/>
        <v>-1.9487861656135697E-2</v>
      </c>
      <c r="U769" s="12">
        <f t="shared" si="127"/>
        <v>-9.3067114919438421E-3</v>
      </c>
      <c r="V769" s="12">
        <f t="shared" si="128"/>
        <v>-4.1827331546956392E-3</v>
      </c>
      <c r="W769" s="12">
        <f t="shared" si="129"/>
        <v>7.8194234478443647E-3</v>
      </c>
      <c r="X769" s="12">
        <f t="shared" si="130"/>
        <v>-2.3735621690706976E-3</v>
      </c>
      <c r="Y769" s="12">
        <f t="shared" si="131"/>
        <v>-2.8532492973341039E-3</v>
      </c>
    </row>
    <row r="770" spans="1:25" x14ac:dyDescent="0.35">
      <c r="A770" s="6">
        <v>45240</v>
      </c>
      <c r="B770" s="8">
        <v>4415.24</v>
      </c>
      <c r="C770" s="2">
        <v>186.4</v>
      </c>
      <c r="D770" s="2">
        <v>149.02000000000001</v>
      </c>
      <c r="E770" s="2">
        <v>369.67</v>
      </c>
      <c r="F770" s="2">
        <v>541.21</v>
      </c>
      <c r="G770" s="2">
        <v>147.25</v>
      </c>
      <c r="H770" s="2">
        <v>245.25</v>
      </c>
      <c r="I770" s="2">
        <v>154.38</v>
      </c>
      <c r="J770" s="2">
        <v>196.65</v>
      </c>
      <c r="K770" s="2">
        <v>55.4</v>
      </c>
      <c r="L770" s="2">
        <v>239.68</v>
      </c>
      <c r="M770" s="64" t="s">
        <v>77</v>
      </c>
      <c r="N770" s="1"/>
      <c r="O770" s="12">
        <f t="shared" si="121"/>
        <v>1.5616409996894509E-2</v>
      </c>
      <c r="P770" s="12">
        <f t="shared" si="122"/>
        <v>2.1873800778466235E-2</v>
      </c>
      <c r="Q770" s="12">
        <f t="shared" si="123"/>
        <v>1.6368844632383084E-2</v>
      </c>
      <c r="R770" s="12">
        <f t="shared" si="124"/>
        <v>2.4896725720147561E-2</v>
      </c>
      <c r="S770" s="12">
        <f t="shared" si="125"/>
        <v>4.1001855287570166E-3</v>
      </c>
      <c r="T770" s="12">
        <f t="shared" si="126"/>
        <v>-1.1531678198344331E-3</v>
      </c>
      <c r="U770" s="12">
        <f t="shared" si="127"/>
        <v>1.4939579539811287E-2</v>
      </c>
      <c r="V770" s="12">
        <f t="shared" si="128"/>
        <v>1.3191573144319735E-2</v>
      </c>
      <c r="W770" s="12">
        <f t="shared" si="129"/>
        <v>1.717270987430819E-2</v>
      </c>
      <c r="X770" s="12">
        <f t="shared" si="130"/>
        <v>1.3909224011712906E-2</v>
      </c>
      <c r="Y770" s="12">
        <f t="shared" si="131"/>
        <v>2.3617339312406616E-2</v>
      </c>
    </row>
    <row r="771" spans="1:25" x14ac:dyDescent="0.35">
      <c r="A771" s="6">
        <v>45243</v>
      </c>
      <c r="B771" s="8">
        <v>4411.55</v>
      </c>
      <c r="C771" s="2">
        <v>184.8</v>
      </c>
      <c r="D771" s="2">
        <v>148.1</v>
      </c>
      <c r="E771" s="2">
        <v>366.68</v>
      </c>
      <c r="F771" s="2">
        <v>542.57000000000005</v>
      </c>
      <c r="G771" s="2">
        <v>147.63</v>
      </c>
      <c r="H771" s="2">
        <v>244.67</v>
      </c>
      <c r="I771" s="2">
        <v>154.34</v>
      </c>
      <c r="J771" s="2">
        <v>204.54</v>
      </c>
      <c r="K771" s="2">
        <v>55.89</v>
      </c>
      <c r="L771" s="2">
        <v>241.67</v>
      </c>
      <c r="M771" s="64" t="s">
        <v>77</v>
      </c>
      <c r="N771" s="1"/>
      <c r="O771" s="12">
        <f t="shared" si="121"/>
        <v>-8.3574165843747217E-4</v>
      </c>
      <c r="P771" s="12">
        <f t="shared" si="122"/>
        <v>-8.5836909871244149E-3</v>
      </c>
      <c r="Q771" s="12">
        <f t="shared" si="123"/>
        <v>-6.1736679640317371E-3</v>
      </c>
      <c r="R771" s="12">
        <f t="shared" si="124"/>
        <v>-8.0882949657803405E-3</v>
      </c>
      <c r="S771" s="12">
        <f t="shared" si="125"/>
        <v>2.5128877884739165E-3</v>
      </c>
      <c r="T771" s="12">
        <f t="shared" si="126"/>
        <v>2.5806451612901959E-3</v>
      </c>
      <c r="U771" s="12">
        <f t="shared" si="127"/>
        <v>-2.3649337410805993E-3</v>
      </c>
      <c r="V771" s="12">
        <f t="shared" si="128"/>
        <v>-2.5910091980818617E-4</v>
      </c>
      <c r="W771" s="12">
        <f t="shared" si="129"/>
        <v>4.0122044241037269E-2</v>
      </c>
      <c r="X771" s="12">
        <f t="shared" si="130"/>
        <v>8.8447653429604145E-3</v>
      </c>
      <c r="Y771" s="12">
        <f t="shared" si="131"/>
        <v>8.3027369826433883E-3</v>
      </c>
    </row>
    <row r="772" spans="1:25" x14ac:dyDescent="0.35">
      <c r="A772" s="6">
        <v>45244</v>
      </c>
      <c r="B772" s="8">
        <v>4495.7</v>
      </c>
      <c r="C772" s="2">
        <v>187.44</v>
      </c>
      <c r="D772" s="2">
        <v>150.41</v>
      </c>
      <c r="E772" s="2">
        <v>370.27</v>
      </c>
      <c r="F772" s="2">
        <v>540.46</v>
      </c>
      <c r="G772" s="2">
        <v>147.66</v>
      </c>
      <c r="H772" s="2">
        <v>246.94</v>
      </c>
      <c r="I772" s="2">
        <v>156.91</v>
      </c>
      <c r="J772" s="2">
        <v>207.47</v>
      </c>
      <c r="K772" s="2">
        <v>55.88</v>
      </c>
      <c r="L772" s="2">
        <v>247.86</v>
      </c>
      <c r="M772" s="64" t="s">
        <v>77</v>
      </c>
      <c r="N772" s="1"/>
      <c r="O772" s="12">
        <f t="shared" si="121"/>
        <v>1.9074928313177919E-2</v>
      </c>
      <c r="P772" s="12">
        <f t="shared" si="122"/>
        <v>1.4285714285714235E-2</v>
      </c>
      <c r="Q772" s="12">
        <f t="shared" si="123"/>
        <v>1.5597569209993223E-2</v>
      </c>
      <c r="R772" s="12">
        <f t="shared" si="124"/>
        <v>9.7905530707973476E-3</v>
      </c>
      <c r="S772" s="12">
        <f t="shared" si="125"/>
        <v>-3.8888991282231E-3</v>
      </c>
      <c r="T772" s="12">
        <f t="shared" si="126"/>
        <v>2.0321072952644847E-4</v>
      </c>
      <c r="U772" s="12">
        <f t="shared" si="127"/>
        <v>9.2778027547308906E-3</v>
      </c>
      <c r="V772" s="12">
        <f t="shared" si="128"/>
        <v>1.6651548529221127E-2</v>
      </c>
      <c r="W772" s="12">
        <f t="shared" si="129"/>
        <v>1.4324826439816141E-2</v>
      </c>
      <c r="X772" s="12">
        <f t="shared" si="130"/>
        <v>-1.7892288423682068E-4</v>
      </c>
      <c r="Y772" s="12">
        <f t="shared" si="131"/>
        <v>2.5613439814623273E-2</v>
      </c>
    </row>
    <row r="773" spans="1:25" x14ac:dyDescent="0.35">
      <c r="A773" s="6">
        <v>45245</v>
      </c>
      <c r="B773" s="8">
        <v>4502.88</v>
      </c>
      <c r="C773" s="2">
        <v>188.01</v>
      </c>
      <c r="D773" s="2">
        <v>152.58000000000001</v>
      </c>
      <c r="E773" s="2">
        <v>369.67</v>
      </c>
      <c r="F773" s="2">
        <v>538.41</v>
      </c>
      <c r="G773" s="2">
        <v>148.80000000000001</v>
      </c>
      <c r="H773" s="2">
        <v>248.11</v>
      </c>
      <c r="I773" s="2">
        <v>159.43</v>
      </c>
      <c r="J773" s="2">
        <v>208.71</v>
      </c>
      <c r="K773" s="2">
        <v>56.59</v>
      </c>
      <c r="L773" s="2">
        <v>251.09</v>
      </c>
      <c r="M773" s="64" t="s">
        <v>77</v>
      </c>
      <c r="N773" s="1"/>
      <c r="O773" s="12">
        <f t="shared" ref="O773:O836" si="132">(B773/B772)-1</f>
        <v>1.597081655804411E-3</v>
      </c>
      <c r="P773" s="12">
        <f t="shared" ref="P773:P836" si="133">(C773/C772)-1</f>
        <v>3.0409731113956173E-3</v>
      </c>
      <c r="Q773" s="12">
        <f t="shared" ref="Q773:Q836" si="134">(D773/D772)-1</f>
        <v>1.4427232231899678E-2</v>
      </c>
      <c r="R773" s="12">
        <f t="shared" ref="R773:R836" si="135">(E773/E772)-1</f>
        <v>-1.6204391390065576E-3</v>
      </c>
      <c r="S773" s="12">
        <f t="shared" ref="S773:S836" si="136">(F773/F772)-1</f>
        <v>-3.7930651667099635E-3</v>
      </c>
      <c r="T773" s="12">
        <f t="shared" ref="T773:T836" si="137">(G773/G772)-1</f>
        <v>7.7204388459977125E-3</v>
      </c>
      <c r="U773" s="12">
        <f t="shared" ref="U773:U836" si="138">(H773/H772)-1</f>
        <v>4.7379930347453136E-3</v>
      </c>
      <c r="V773" s="12">
        <f t="shared" ref="V773:V836" si="139">(I773/I772)-1</f>
        <v>1.6060161876234824E-2</v>
      </c>
      <c r="W773" s="12">
        <f t="shared" ref="W773:W836" si="140">(J773/J772)-1</f>
        <v>5.9767677254543017E-3</v>
      </c>
      <c r="X773" s="12">
        <f t="shared" ref="X773:X836" si="141">(K773/K772)-1</f>
        <v>1.2705798138868962E-2</v>
      </c>
      <c r="Y773" s="12">
        <f t="shared" ref="Y773:Y836" si="142">(L773/L772)-1</f>
        <v>1.3031550068587139E-2</v>
      </c>
    </row>
    <row r="774" spans="1:25" x14ac:dyDescent="0.35">
      <c r="A774" s="6">
        <v>45246</v>
      </c>
      <c r="B774" s="8">
        <v>4508.24</v>
      </c>
      <c r="C774" s="2">
        <v>189.71</v>
      </c>
      <c r="D774" s="2">
        <v>153.06</v>
      </c>
      <c r="E774" s="2">
        <v>376.17</v>
      </c>
      <c r="F774" s="2">
        <v>539.82000000000005</v>
      </c>
      <c r="G774" s="2">
        <v>150.1</v>
      </c>
      <c r="H774" s="2">
        <v>248.57</v>
      </c>
      <c r="I774" s="2">
        <v>159.05000000000001</v>
      </c>
      <c r="J774" s="2">
        <v>206.6</v>
      </c>
      <c r="K774" s="2">
        <v>52.01</v>
      </c>
      <c r="L774" s="2">
        <v>248.21</v>
      </c>
      <c r="M774" s="64">
        <v>11.3</v>
      </c>
      <c r="N774" s="1"/>
      <c r="O774" s="12">
        <f t="shared" si="132"/>
        <v>1.1903492875668942E-3</v>
      </c>
      <c r="P774" s="12">
        <f t="shared" si="133"/>
        <v>9.0420722302007039E-3</v>
      </c>
      <c r="Q774" s="12">
        <f t="shared" si="134"/>
        <v>3.1458906802988018E-3</v>
      </c>
      <c r="R774" s="12">
        <f t="shared" si="135"/>
        <v>1.7583249925609223E-2</v>
      </c>
      <c r="S774" s="12">
        <f t="shared" si="136"/>
        <v>2.6188220872571666E-3</v>
      </c>
      <c r="T774" s="12">
        <f t="shared" si="137"/>
        <v>8.7365591397847719E-3</v>
      </c>
      <c r="U774" s="12">
        <f t="shared" si="138"/>
        <v>1.8540163637095208E-3</v>
      </c>
      <c r="V774" s="12">
        <f t="shared" si="139"/>
        <v>-2.3834911873549247E-3</v>
      </c>
      <c r="W774" s="12">
        <f t="shared" si="140"/>
        <v>-1.0109721623305146E-2</v>
      </c>
      <c r="X774" s="12">
        <f t="shared" si="141"/>
        <v>-8.0933027036579008E-2</v>
      </c>
      <c r="Y774" s="12">
        <f t="shared" si="142"/>
        <v>-1.1469990839937827E-2</v>
      </c>
    </row>
    <row r="775" spans="1:25" x14ac:dyDescent="0.35">
      <c r="A775" s="6">
        <v>45247</v>
      </c>
      <c r="B775" s="8">
        <v>4514.0200000000004</v>
      </c>
      <c r="C775" s="2">
        <v>189.69</v>
      </c>
      <c r="D775" s="2">
        <v>152.88999999999999</v>
      </c>
      <c r="E775" s="2">
        <v>369.85</v>
      </c>
      <c r="F775" s="2">
        <v>536.29</v>
      </c>
      <c r="G775" s="2">
        <v>149.79</v>
      </c>
      <c r="H775" s="2">
        <v>249.56</v>
      </c>
      <c r="I775" s="2">
        <v>162.56</v>
      </c>
      <c r="J775" s="2">
        <v>208.04</v>
      </c>
      <c r="K775" s="2">
        <v>51.78</v>
      </c>
      <c r="L775" s="2">
        <v>253.07</v>
      </c>
      <c r="M775" s="64" t="s">
        <v>77</v>
      </c>
      <c r="N775" s="1"/>
      <c r="O775" s="12">
        <f t="shared" si="132"/>
        <v>1.2820967827800178E-3</v>
      </c>
      <c r="P775" s="12">
        <f t="shared" si="133"/>
        <v>-1.0542406831481888E-4</v>
      </c>
      <c r="Q775" s="12">
        <f t="shared" si="134"/>
        <v>-1.1106755520712275E-3</v>
      </c>
      <c r="R775" s="12">
        <f t="shared" si="135"/>
        <v>-1.6800914480155194E-2</v>
      </c>
      <c r="S775" s="12">
        <f t="shared" si="136"/>
        <v>-6.5392167759624753E-3</v>
      </c>
      <c r="T775" s="12">
        <f t="shared" si="137"/>
        <v>-2.0652898067954339E-3</v>
      </c>
      <c r="U775" s="12">
        <f t="shared" si="138"/>
        <v>3.9827815102386754E-3</v>
      </c>
      <c r="V775" s="12">
        <f t="shared" si="139"/>
        <v>2.2068531908205014E-2</v>
      </c>
      <c r="W775" s="12">
        <f t="shared" si="140"/>
        <v>6.969990319457775E-3</v>
      </c>
      <c r="X775" s="12">
        <f t="shared" si="141"/>
        <v>-4.4222264949047574E-3</v>
      </c>
      <c r="Y775" s="12">
        <f t="shared" si="142"/>
        <v>1.9580194190403244E-2</v>
      </c>
    </row>
    <row r="776" spans="1:25" x14ac:dyDescent="0.35">
      <c r="A776" s="6">
        <v>45250</v>
      </c>
      <c r="B776" s="8">
        <v>4547.38</v>
      </c>
      <c r="C776" s="2">
        <v>191.45</v>
      </c>
      <c r="D776" s="2">
        <v>154.35</v>
      </c>
      <c r="E776" s="2">
        <v>377.44</v>
      </c>
      <c r="F776" s="2">
        <v>535.1</v>
      </c>
      <c r="G776" s="2">
        <v>149.91</v>
      </c>
      <c r="H776" s="2">
        <v>249.97</v>
      </c>
      <c r="I776" s="2">
        <v>163.85</v>
      </c>
      <c r="J776" s="2">
        <v>217.71</v>
      </c>
      <c r="K776" s="2">
        <v>51.77</v>
      </c>
      <c r="L776" s="2">
        <v>250.45</v>
      </c>
      <c r="M776" s="64" t="s">
        <v>77</v>
      </c>
      <c r="N776" s="1"/>
      <c r="O776" s="12">
        <f t="shared" si="132"/>
        <v>7.3903084168878141E-3</v>
      </c>
      <c r="P776" s="12">
        <f t="shared" si="133"/>
        <v>9.2782961674309217E-3</v>
      </c>
      <c r="Q776" s="12">
        <f t="shared" si="134"/>
        <v>9.5493492053111417E-3</v>
      </c>
      <c r="R776" s="12">
        <f t="shared" si="135"/>
        <v>2.0521833175611626E-2</v>
      </c>
      <c r="S776" s="12">
        <f t="shared" si="136"/>
        <v>-2.2189487031268884E-3</v>
      </c>
      <c r="T776" s="12">
        <f t="shared" si="137"/>
        <v>8.0112157019840424E-4</v>
      </c>
      <c r="U776" s="12">
        <f t="shared" si="138"/>
        <v>1.642891489020748E-3</v>
      </c>
      <c r="V776" s="12">
        <f t="shared" si="139"/>
        <v>7.9355314960629642E-3</v>
      </c>
      <c r="W776" s="12">
        <f t="shared" si="140"/>
        <v>4.648144587579317E-2</v>
      </c>
      <c r="X776" s="12">
        <f t="shared" si="141"/>
        <v>-1.931247585940099E-4</v>
      </c>
      <c r="Y776" s="12">
        <f t="shared" si="142"/>
        <v>-1.0352866795748206E-2</v>
      </c>
    </row>
    <row r="777" spans="1:25" x14ac:dyDescent="0.35">
      <c r="A777" s="6">
        <v>45251</v>
      </c>
      <c r="B777" s="8">
        <v>4538.1899999999996</v>
      </c>
      <c r="C777" s="2">
        <v>190.64</v>
      </c>
      <c r="D777" s="2">
        <v>153.91</v>
      </c>
      <c r="E777" s="2">
        <v>373.07</v>
      </c>
      <c r="F777" s="2">
        <v>539.59</v>
      </c>
      <c r="G777" s="2">
        <v>151.12</v>
      </c>
      <c r="H777" s="2">
        <v>252.23</v>
      </c>
      <c r="I777" s="2">
        <v>162.29</v>
      </c>
      <c r="J777" s="2">
        <v>218.27</v>
      </c>
      <c r="K777" s="2">
        <v>51.95</v>
      </c>
      <c r="L777" s="2">
        <v>249.41</v>
      </c>
      <c r="M777" s="64" t="s">
        <v>77</v>
      </c>
      <c r="N777" s="1"/>
      <c r="O777" s="12">
        <f t="shared" si="132"/>
        <v>-2.020943928152108E-3</v>
      </c>
      <c r="P777" s="12">
        <f t="shared" si="133"/>
        <v>-4.2308696787672906E-3</v>
      </c>
      <c r="Q777" s="12">
        <f t="shared" si="134"/>
        <v>-2.8506640751538859E-3</v>
      </c>
      <c r="R777" s="12">
        <f t="shared" si="135"/>
        <v>-1.157799915218316E-2</v>
      </c>
      <c r="S777" s="12">
        <f t="shared" si="136"/>
        <v>8.3909549616894008E-3</v>
      </c>
      <c r="T777" s="12">
        <f t="shared" si="137"/>
        <v>8.0715095724102071E-3</v>
      </c>
      <c r="U777" s="12">
        <f t="shared" si="138"/>
        <v>9.041084930191623E-3</v>
      </c>
      <c r="V777" s="12">
        <f t="shared" si="139"/>
        <v>-9.5209032651816239E-3</v>
      </c>
      <c r="W777" s="12">
        <f t="shared" si="140"/>
        <v>2.5722291121217378E-3</v>
      </c>
      <c r="X777" s="12">
        <f t="shared" si="141"/>
        <v>3.4769171334749771E-3</v>
      </c>
      <c r="Y777" s="12">
        <f t="shared" si="142"/>
        <v>-4.1525254541824319E-3</v>
      </c>
    </row>
    <row r="778" spans="1:25" x14ac:dyDescent="0.35">
      <c r="A778" s="6">
        <v>45252</v>
      </c>
      <c r="B778" s="8">
        <v>4556.62</v>
      </c>
      <c r="C778" s="2">
        <v>191.31</v>
      </c>
      <c r="D778" s="2">
        <v>155.13</v>
      </c>
      <c r="E778" s="2">
        <v>377.85</v>
      </c>
      <c r="F778" s="2">
        <v>543.76</v>
      </c>
      <c r="G778" s="2">
        <v>150.82</v>
      </c>
      <c r="H778" s="2">
        <v>253.72</v>
      </c>
      <c r="I778" s="2">
        <v>163.79</v>
      </c>
      <c r="J778" s="2">
        <v>219.91</v>
      </c>
      <c r="K778" s="2">
        <v>51.56</v>
      </c>
      <c r="L778" s="2">
        <v>246.01</v>
      </c>
      <c r="M778" s="64">
        <v>11.28</v>
      </c>
      <c r="N778" s="1"/>
      <c r="O778" s="12">
        <f t="shared" si="132"/>
        <v>4.0610904347329058E-3</v>
      </c>
      <c r="P778" s="12">
        <f t="shared" si="133"/>
        <v>3.5144775493076708E-3</v>
      </c>
      <c r="Q778" s="12">
        <f t="shared" si="134"/>
        <v>7.9267104151776735E-3</v>
      </c>
      <c r="R778" s="12">
        <f t="shared" si="135"/>
        <v>1.2812608893773447E-2</v>
      </c>
      <c r="S778" s="12">
        <f t="shared" si="136"/>
        <v>7.7280898459941572E-3</v>
      </c>
      <c r="T778" s="12">
        <f t="shared" si="137"/>
        <v>-1.9851773425093588E-3</v>
      </c>
      <c r="U778" s="12">
        <f t="shared" si="138"/>
        <v>5.9073068231376702E-3</v>
      </c>
      <c r="V778" s="12">
        <f t="shared" si="139"/>
        <v>9.2427136607307059E-3</v>
      </c>
      <c r="W778" s="12">
        <f t="shared" si="140"/>
        <v>7.513629907912156E-3</v>
      </c>
      <c r="X778" s="12">
        <f t="shared" si="141"/>
        <v>-7.5072184793070207E-3</v>
      </c>
      <c r="Y778" s="12">
        <f t="shared" si="142"/>
        <v>-1.3632171925744729E-2</v>
      </c>
    </row>
    <row r="779" spans="1:25" x14ac:dyDescent="0.35">
      <c r="A779" s="6">
        <v>45254</v>
      </c>
      <c r="B779" s="8">
        <v>4559.34</v>
      </c>
      <c r="C779" s="2">
        <v>189.97</v>
      </c>
      <c r="D779" s="2">
        <v>155.18</v>
      </c>
      <c r="E779" s="2">
        <v>377.43</v>
      </c>
      <c r="F779" s="2">
        <v>547.1</v>
      </c>
      <c r="G779" s="2">
        <v>152.5</v>
      </c>
      <c r="H779" s="2">
        <v>254.3</v>
      </c>
      <c r="I779" s="2">
        <v>164.42</v>
      </c>
      <c r="J779" s="2">
        <v>220</v>
      </c>
      <c r="K779" s="2">
        <v>52.02</v>
      </c>
      <c r="L779" s="2">
        <v>247.36</v>
      </c>
      <c r="M779" s="64" t="s">
        <v>77</v>
      </c>
      <c r="N779" s="1"/>
      <c r="O779" s="12">
        <f t="shared" si="132"/>
        <v>5.9693369207880487E-4</v>
      </c>
      <c r="P779" s="12">
        <f t="shared" si="133"/>
        <v>-7.0043385081804965E-3</v>
      </c>
      <c r="Q779" s="12">
        <f t="shared" si="134"/>
        <v>3.2231032037643992E-4</v>
      </c>
      <c r="R779" s="12">
        <f t="shared" si="135"/>
        <v>-1.1115522032553171E-3</v>
      </c>
      <c r="S779" s="12">
        <f t="shared" si="136"/>
        <v>6.1424157716640782E-3</v>
      </c>
      <c r="T779" s="12">
        <f t="shared" si="137"/>
        <v>1.1139106219334449E-2</v>
      </c>
      <c r="U779" s="12">
        <f t="shared" si="138"/>
        <v>2.2859845498974796E-3</v>
      </c>
      <c r="V779" s="12">
        <f t="shared" si="139"/>
        <v>3.8463886684168003E-3</v>
      </c>
      <c r="W779" s="12">
        <f t="shared" si="140"/>
        <v>4.0925833295446523E-4</v>
      </c>
      <c r="X779" s="12">
        <f t="shared" si="141"/>
        <v>8.9216446858029208E-3</v>
      </c>
      <c r="Y779" s="12">
        <f t="shared" si="142"/>
        <v>5.4875818056177028E-3</v>
      </c>
    </row>
    <row r="780" spans="1:25" x14ac:dyDescent="0.35">
      <c r="A780" s="6">
        <v>45257</v>
      </c>
      <c r="B780" s="8">
        <v>4550.43</v>
      </c>
      <c r="C780" s="2">
        <v>189.79</v>
      </c>
      <c r="D780" s="2">
        <v>155.57</v>
      </c>
      <c r="E780" s="2">
        <v>378.61</v>
      </c>
      <c r="F780" s="2">
        <v>543.59</v>
      </c>
      <c r="G780" s="2">
        <v>151.28</v>
      </c>
      <c r="H780" s="2">
        <v>254.14</v>
      </c>
      <c r="I780" s="2">
        <v>164.04</v>
      </c>
      <c r="J780" s="2">
        <v>219.3</v>
      </c>
      <c r="K780" s="2">
        <v>52.26</v>
      </c>
      <c r="L780" s="2">
        <v>247.39</v>
      </c>
      <c r="M780" s="64" t="s">
        <v>77</v>
      </c>
      <c r="N780" s="1"/>
      <c r="O780" s="12">
        <f t="shared" si="132"/>
        <v>-1.9542302175314941E-3</v>
      </c>
      <c r="P780" s="12">
        <f t="shared" si="133"/>
        <v>-9.4751802916248629E-4</v>
      </c>
      <c r="Q780" s="12">
        <f t="shared" si="134"/>
        <v>2.5132104652660914E-3</v>
      </c>
      <c r="R780" s="12">
        <f t="shared" si="135"/>
        <v>3.1264075457702045E-3</v>
      </c>
      <c r="S780" s="12">
        <f t="shared" si="136"/>
        <v>-6.4156461341619009E-3</v>
      </c>
      <c r="T780" s="12">
        <f t="shared" si="137"/>
        <v>-8.0000000000000071E-3</v>
      </c>
      <c r="U780" s="12">
        <f t="shared" si="138"/>
        <v>-6.2917813605989359E-4</v>
      </c>
      <c r="V780" s="12">
        <f t="shared" si="139"/>
        <v>-2.3111543607833296E-3</v>
      </c>
      <c r="W780" s="12">
        <f t="shared" si="140"/>
        <v>-3.1818181818181746E-3</v>
      </c>
      <c r="X780" s="12">
        <f t="shared" si="141"/>
        <v>4.6136101499423265E-3</v>
      </c>
      <c r="Y780" s="12">
        <f t="shared" si="142"/>
        <v>1.2128072445016791E-4</v>
      </c>
    </row>
    <row r="781" spans="1:25" x14ac:dyDescent="0.35">
      <c r="A781" s="6">
        <v>45258</v>
      </c>
      <c r="B781" s="8">
        <v>4554.8900000000003</v>
      </c>
      <c r="C781" s="2">
        <v>190.4</v>
      </c>
      <c r="D781" s="2">
        <v>155.65</v>
      </c>
      <c r="E781" s="2">
        <v>382.7</v>
      </c>
      <c r="F781" s="2">
        <v>540.53</v>
      </c>
      <c r="G781" s="2">
        <v>151.63</v>
      </c>
      <c r="H781" s="2">
        <v>252.94</v>
      </c>
      <c r="I781" s="2">
        <v>165.66</v>
      </c>
      <c r="J781" s="2">
        <v>222.37</v>
      </c>
      <c r="K781" s="2">
        <v>52.88</v>
      </c>
      <c r="L781" s="2">
        <v>247.5</v>
      </c>
      <c r="M781" s="64" t="s">
        <v>77</v>
      </c>
      <c r="N781" s="1"/>
      <c r="O781" s="12">
        <f t="shared" si="132"/>
        <v>9.801271528184774E-4</v>
      </c>
      <c r="P781" s="12">
        <f t="shared" si="133"/>
        <v>3.2140787185837016E-3</v>
      </c>
      <c r="Q781" s="12">
        <f t="shared" si="134"/>
        <v>5.1423796361782514E-4</v>
      </c>
      <c r="R781" s="12">
        <f t="shared" si="135"/>
        <v>1.08026729352102E-2</v>
      </c>
      <c r="S781" s="12">
        <f t="shared" si="136"/>
        <v>-5.6292426277158025E-3</v>
      </c>
      <c r="T781" s="12">
        <f t="shared" si="137"/>
        <v>2.313590692755163E-3</v>
      </c>
      <c r="U781" s="12">
        <f t="shared" si="138"/>
        <v>-4.7218068780986444E-3</v>
      </c>
      <c r="V781" s="12">
        <f t="shared" si="139"/>
        <v>9.8756400877835215E-3</v>
      </c>
      <c r="W781" s="12">
        <f t="shared" si="140"/>
        <v>1.399908800729599E-2</v>
      </c>
      <c r="X781" s="12">
        <f t="shared" si="141"/>
        <v>1.1863758132415025E-2</v>
      </c>
      <c r="Y781" s="12">
        <f t="shared" si="142"/>
        <v>4.4464206313921117E-4</v>
      </c>
    </row>
    <row r="782" spans="1:25" x14ac:dyDescent="0.35">
      <c r="A782" s="6">
        <v>45259</v>
      </c>
      <c r="B782" s="8">
        <v>4550.58</v>
      </c>
      <c r="C782" s="2">
        <v>189.37</v>
      </c>
      <c r="D782" s="2">
        <v>156.41</v>
      </c>
      <c r="E782" s="2">
        <v>378.85</v>
      </c>
      <c r="F782" s="2">
        <v>534.98</v>
      </c>
      <c r="G782" s="2">
        <v>152.11000000000001</v>
      </c>
      <c r="H782" s="2">
        <v>254.23</v>
      </c>
      <c r="I782" s="2">
        <v>167.43</v>
      </c>
      <c r="J782" s="2">
        <v>224.43</v>
      </c>
      <c r="K782" s="2">
        <v>52.03</v>
      </c>
      <c r="L782" s="2">
        <v>249.45</v>
      </c>
      <c r="M782" s="64" t="s">
        <v>77</v>
      </c>
      <c r="N782" s="1"/>
      <c r="O782" s="12">
        <f t="shared" si="132"/>
        <v>-9.4623580371877569E-4</v>
      </c>
      <c r="P782" s="12">
        <f t="shared" si="133"/>
        <v>-5.4096638655461993E-3</v>
      </c>
      <c r="Q782" s="12">
        <f t="shared" si="134"/>
        <v>4.8827497590748781E-3</v>
      </c>
      <c r="R782" s="12">
        <f t="shared" si="135"/>
        <v>-1.006009929448648E-2</v>
      </c>
      <c r="S782" s="12">
        <f t="shared" si="136"/>
        <v>-1.0267700220154219E-2</v>
      </c>
      <c r="T782" s="12">
        <f t="shared" si="137"/>
        <v>3.1656004748401578E-3</v>
      </c>
      <c r="U782" s="12">
        <f t="shared" si="138"/>
        <v>5.1000237210405697E-3</v>
      </c>
      <c r="V782" s="12">
        <f t="shared" si="139"/>
        <v>1.068453458891705E-2</v>
      </c>
      <c r="W782" s="12">
        <f t="shared" si="140"/>
        <v>9.2638395467015133E-3</v>
      </c>
      <c r="X782" s="12">
        <f t="shared" si="141"/>
        <v>-1.6074130105900197E-2</v>
      </c>
      <c r="Y782" s="12">
        <f t="shared" si="142"/>
        <v>7.8787878787878185E-3</v>
      </c>
    </row>
    <row r="783" spans="1:25" x14ac:dyDescent="0.35">
      <c r="A783" s="6">
        <v>45260</v>
      </c>
      <c r="B783" s="8">
        <v>4567.8</v>
      </c>
      <c r="C783" s="2">
        <v>189.95</v>
      </c>
      <c r="D783" s="2">
        <v>158.56</v>
      </c>
      <c r="E783" s="2">
        <v>378.91</v>
      </c>
      <c r="F783" s="2">
        <v>552.97</v>
      </c>
      <c r="G783" s="2">
        <v>154.66</v>
      </c>
      <c r="H783" s="2">
        <v>256.68</v>
      </c>
      <c r="I783" s="2">
        <v>170.77</v>
      </c>
      <c r="J783" s="2">
        <v>231.63</v>
      </c>
      <c r="K783" s="2">
        <v>51.9</v>
      </c>
      <c r="L783" s="2">
        <v>250.72</v>
      </c>
      <c r="M783" s="64">
        <v>11.34</v>
      </c>
      <c r="N783" s="1"/>
      <c r="O783" s="12">
        <f t="shared" si="132"/>
        <v>3.7841330116161753E-3</v>
      </c>
      <c r="P783" s="12">
        <f t="shared" si="133"/>
        <v>3.0627871362940429E-3</v>
      </c>
      <c r="Q783" s="12">
        <f t="shared" si="134"/>
        <v>1.3745924173646173E-2</v>
      </c>
      <c r="R783" s="12">
        <f t="shared" si="135"/>
        <v>1.583740266595246E-4</v>
      </c>
      <c r="S783" s="12">
        <f t="shared" si="136"/>
        <v>3.3627425324311178E-2</v>
      </c>
      <c r="T783" s="12">
        <f t="shared" si="137"/>
        <v>1.6764183814344857E-2</v>
      </c>
      <c r="U783" s="12">
        <f t="shared" si="138"/>
        <v>9.6369429256972783E-3</v>
      </c>
      <c r="V783" s="12">
        <f t="shared" si="139"/>
        <v>1.994863525055246E-2</v>
      </c>
      <c r="W783" s="12">
        <f t="shared" si="140"/>
        <v>3.2081272557144658E-2</v>
      </c>
      <c r="X783" s="12">
        <f t="shared" si="141"/>
        <v>-2.4985585239285513E-3</v>
      </c>
      <c r="Y783" s="12">
        <f t="shared" si="142"/>
        <v>5.0912006414112199E-3</v>
      </c>
    </row>
    <row r="784" spans="1:25" x14ac:dyDescent="0.35">
      <c r="A784" s="6">
        <v>45261</v>
      </c>
      <c r="B784" s="8">
        <v>4594.63</v>
      </c>
      <c r="C784" s="2">
        <v>191.24</v>
      </c>
      <c r="D784" s="2">
        <v>160.55000000000001</v>
      </c>
      <c r="E784" s="2">
        <v>374.51</v>
      </c>
      <c r="F784" s="2">
        <v>547.16</v>
      </c>
      <c r="G784" s="2">
        <v>158.38</v>
      </c>
      <c r="H784" s="2">
        <v>256.45</v>
      </c>
      <c r="I784" s="2">
        <v>173.76</v>
      </c>
      <c r="J784" s="2">
        <v>233.87</v>
      </c>
      <c r="K784" s="2">
        <v>51.45</v>
      </c>
      <c r="L784" s="2">
        <v>256.76</v>
      </c>
      <c r="M784" s="64" t="s">
        <v>77</v>
      </c>
      <c r="N784" s="1"/>
      <c r="O784" s="12">
        <f t="shared" si="132"/>
        <v>5.873724769035471E-3</v>
      </c>
      <c r="P784" s="12">
        <f t="shared" si="133"/>
        <v>6.7912608581206513E-3</v>
      </c>
      <c r="Q784" s="12">
        <f t="shared" si="134"/>
        <v>1.2550454086781127E-2</v>
      </c>
      <c r="R784" s="12">
        <f t="shared" si="135"/>
        <v>-1.1612256208598404E-2</v>
      </c>
      <c r="S784" s="12">
        <f t="shared" si="136"/>
        <v>-1.0506899108450818E-2</v>
      </c>
      <c r="T784" s="12">
        <f t="shared" si="137"/>
        <v>2.4052760894866188E-2</v>
      </c>
      <c r="U784" s="12">
        <f t="shared" si="138"/>
        <v>-8.9605734767028711E-4</v>
      </c>
      <c r="V784" s="12">
        <f t="shared" si="139"/>
        <v>1.7508930139954249E-2</v>
      </c>
      <c r="W784" s="12">
        <f t="shared" si="140"/>
        <v>9.6705953460261007E-3</v>
      </c>
      <c r="X784" s="12">
        <f t="shared" si="141"/>
        <v>-8.6705202312138407E-3</v>
      </c>
      <c r="Y784" s="12">
        <f t="shared" si="142"/>
        <v>2.4090619017230308E-2</v>
      </c>
    </row>
    <row r="785" spans="1:25" x14ac:dyDescent="0.35">
      <c r="A785" s="6">
        <v>45264</v>
      </c>
      <c r="B785" s="8">
        <v>4569.78</v>
      </c>
      <c r="C785" s="2">
        <v>189.43</v>
      </c>
      <c r="D785" s="2">
        <v>161.1</v>
      </c>
      <c r="E785" s="2">
        <v>369.14</v>
      </c>
      <c r="F785" s="2">
        <v>548.28</v>
      </c>
      <c r="G785" s="2">
        <v>158.88</v>
      </c>
      <c r="H785" s="2">
        <v>254.44</v>
      </c>
      <c r="I785" s="2">
        <v>173.25</v>
      </c>
      <c r="J785" s="2">
        <v>234.87</v>
      </c>
      <c r="K785" s="2">
        <v>51.43</v>
      </c>
      <c r="L785" s="2">
        <v>254.75</v>
      </c>
      <c r="M785" s="64" t="s">
        <v>77</v>
      </c>
      <c r="N785" s="1"/>
      <c r="O785" s="12">
        <f t="shared" si="132"/>
        <v>-5.4084877345945692E-3</v>
      </c>
      <c r="P785" s="12">
        <f t="shared" si="133"/>
        <v>-9.4645471658648672E-3</v>
      </c>
      <c r="Q785" s="12">
        <f t="shared" si="134"/>
        <v>3.4257240734971717E-3</v>
      </c>
      <c r="R785" s="12">
        <f t="shared" si="135"/>
        <v>-1.4338735948305814E-2</v>
      </c>
      <c r="S785" s="12">
        <f t="shared" si="136"/>
        <v>2.0469332553549879E-3</v>
      </c>
      <c r="T785" s="12">
        <f t="shared" si="137"/>
        <v>3.1569642631645856E-3</v>
      </c>
      <c r="U785" s="12">
        <f t="shared" si="138"/>
        <v>-7.8377851433028001E-3</v>
      </c>
      <c r="V785" s="12">
        <f t="shared" si="139"/>
        <v>-2.9350828729280964E-3</v>
      </c>
      <c r="W785" s="12">
        <f t="shared" si="140"/>
        <v>4.27587976226107E-3</v>
      </c>
      <c r="X785" s="12">
        <f t="shared" si="141"/>
        <v>-3.8872691933922177E-4</v>
      </c>
      <c r="Y785" s="12">
        <f t="shared" si="142"/>
        <v>-7.8283221685619964E-3</v>
      </c>
    </row>
    <row r="786" spans="1:25" x14ac:dyDescent="0.35">
      <c r="A786" s="6">
        <v>45265</v>
      </c>
      <c r="B786" s="8">
        <v>4567.18</v>
      </c>
      <c r="C786" s="2">
        <v>193.42</v>
      </c>
      <c r="D786" s="2">
        <v>161.38999999999999</v>
      </c>
      <c r="E786" s="2">
        <v>372.52</v>
      </c>
      <c r="F786" s="2">
        <v>550.26</v>
      </c>
      <c r="G786" s="2">
        <v>158.55000000000001</v>
      </c>
      <c r="H786" s="2">
        <v>254.61</v>
      </c>
      <c r="I786" s="2">
        <v>170.68</v>
      </c>
      <c r="J786" s="2">
        <v>234.16</v>
      </c>
      <c r="K786" s="2">
        <v>51.91</v>
      </c>
      <c r="L786" s="2">
        <v>255.19</v>
      </c>
      <c r="M786" s="64" t="s">
        <v>77</v>
      </c>
      <c r="N786" s="1"/>
      <c r="O786" s="12">
        <f t="shared" si="132"/>
        <v>-5.6895517946142782E-4</v>
      </c>
      <c r="P786" s="12">
        <f t="shared" si="133"/>
        <v>2.106318956870612E-2</v>
      </c>
      <c r="Q786" s="12">
        <f t="shared" si="134"/>
        <v>1.8001241464928874E-3</v>
      </c>
      <c r="R786" s="12">
        <f t="shared" si="135"/>
        <v>9.1564176193315028E-3</v>
      </c>
      <c r="S786" s="12">
        <f t="shared" si="136"/>
        <v>3.6112934996717083E-3</v>
      </c>
      <c r="T786" s="12">
        <f t="shared" si="137"/>
        <v>-2.0770392749244193E-3</v>
      </c>
      <c r="U786" s="12">
        <f t="shared" si="138"/>
        <v>6.6813394120424086E-4</v>
      </c>
      <c r="V786" s="12">
        <f t="shared" si="139"/>
        <v>-1.4834054834054755E-2</v>
      </c>
      <c r="W786" s="12">
        <f t="shared" si="140"/>
        <v>-3.0229488653298331E-3</v>
      </c>
      <c r="X786" s="12">
        <f t="shared" si="141"/>
        <v>9.3330740812753721E-3</v>
      </c>
      <c r="Y786" s="12">
        <f t="shared" si="142"/>
        <v>1.7271835132481872E-3</v>
      </c>
    </row>
    <row r="787" spans="1:25" x14ac:dyDescent="0.35">
      <c r="A787" s="6">
        <v>45266</v>
      </c>
      <c r="B787" s="8">
        <v>4549.34</v>
      </c>
      <c r="C787" s="2">
        <v>192.32</v>
      </c>
      <c r="D787" s="2">
        <v>160.28</v>
      </c>
      <c r="E787" s="2">
        <v>368.8</v>
      </c>
      <c r="F787" s="2">
        <v>549.53</v>
      </c>
      <c r="G787" s="2">
        <v>156.62</v>
      </c>
      <c r="H787" s="2">
        <v>254.29</v>
      </c>
      <c r="I787" s="2">
        <v>167.51</v>
      </c>
      <c r="J787" s="2">
        <v>236.89</v>
      </c>
      <c r="K787" s="2">
        <v>51.35</v>
      </c>
      <c r="L787" s="2">
        <v>255.97</v>
      </c>
      <c r="M787" s="64" t="s">
        <v>77</v>
      </c>
      <c r="N787" s="1"/>
      <c r="O787" s="12">
        <f t="shared" si="132"/>
        <v>-3.9061302598102365E-3</v>
      </c>
      <c r="P787" s="12">
        <f t="shared" si="133"/>
        <v>-5.6871057801675118E-3</v>
      </c>
      <c r="Q787" s="12">
        <f t="shared" si="134"/>
        <v>-6.8777495507775788E-3</v>
      </c>
      <c r="R787" s="12">
        <f t="shared" si="135"/>
        <v>-9.9860410179318793E-3</v>
      </c>
      <c r="S787" s="12">
        <f t="shared" si="136"/>
        <v>-1.3266455857231518E-3</v>
      </c>
      <c r="T787" s="12">
        <f t="shared" si="137"/>
        <v>-1.2172816146326149E-2</v>
      </c>
      <c r="U787" s="12">
        <f t="shared" si="138"/>
        <v>-1.2568241624446586E-3</v>
      </c>
      <c r="V787" s="12">
        <f t="shared" si="139"/>
        <v>-1.8572767752519481E-2</v>
      </c>
      <c r="W787" s="12">
        <f t="shared" si="140"/>
        <v>1.1658694909463474E-2</v>
      </c>
      <c r="X787" s="12">
        <f t="shared" si="141"/>
        <v>-1.0787902138316263E-2</v>
      </c>
      <c r="Y787" s="12">
        <f t="shared" si="142"/>
        <v>3.0565461029037344E-3</v>
      </c>
    </row>
    <row r="788" spans="1:25" x14ac:dyDescent="0.35">
      <c r="A788" s="6">
        <v>45267</v>
      </c>
      <c r="B788" s="8">
        <v>4585.59</v>
      </c>
      <c r="C788" s="2">
        <v>194.27</v>
      </c>
      <c r="D788" s="2">
        <v>160.22</v>
      </c>
      <c r="E788" s="2">
        <v>370.95</v>
      </c>
      <c r="F788" s="2">
        <v>548.27</v>
      </c>
      <c r="G788" s="2">
        <v>155.4</v>
      </c>
      <c r="H788" s="2">
        <v>255.82</v>
      </c>
      <c r="I788" s="2">
        <v>168.62</v>
      </c>
      <c r="J788" s="2">
        <v>237.33</v>
      </c>
      <c r="K788" s="2">
        <v>50.82</v>
      </c>
      <c r="L788" s="2">
        <v>257.41000000000003</v>
      </c>
      <c r="M788" s="64">
        <v>11.28</v>
      </c>
      <c r="N788" s="1"/>
      <c r="O788" s="12">
        <f t="shared" si="132"/>
        <v>7.9681887922204986E-3</v>
      </c>
      <c r="P788" s="12">
        <f t="shared" si="133"/>
        <v>1.0139351081530856E-2</v>
      </c>
      <c r="Q788" s="12">
        <f t="shared" si="134"/>
        <v>-3.7434489643128899E-4</v>
      </c>
      <c r="R788" s="12">
        <f t="shared" si="135"/>
        <v>5.8297180043382912E-3</v>
      </c>
      <c r="S788" s="12">
        <f t="shared" si="136"/>
        <v>-2.2928684512218966E-3</v>
      </c>
      <c r="T788" s="12">
        <f t="shared" si="137"/>
        <v>-7.7895543353339036E-3</v>
      </c>
      <c r="U788" s="12">
        <f t="shared" si="138"/>
        <v>6.016752526642799E-3</v>
      </c>
      <c r="V788" s="12">
        <f t="shared" si="139"/>
        <v>6.626470061488865E-3</v>
      </c>
      <c r="W788" s="12">
        <f t="shared" si="140"/>
        <v>1.8574021697834731E-3</v>
      </c>
      <c r="X788" s="12">
        <f t="shared" si="141"/>
        <v>-1.0321324245374908E-2</v>
      </c>
      <c r="Y788" s="12">
        <f t="shared" si="142"/>
        <v>5.6256592569443598E-3</v>
      </c>
    </row>
    <row r="789" spans="1:25" x14ac:dyDescent="0.35">
      <c r="A789" s="6">
        <v>45268</v>
      </c>
      <c r="B789" s="8">
        <v>4604.37</v>
      </c>
      <c r="C789" s="2">
        <v>195.71</v>
      </c>
      <c r="D789" s="2">
        <v>161.96</v>
      </c>
      <c r="E789" s="2">
        <v>374.23</v>
      </c>
      <c r="F789" s="2">
        <v>549.77</v>
      </c>
      <c r="G789" s="2">
        <v>154.41999999999999</v>
      </c>
      <c r="H789" s="2">
        <v>255.74</v>
      </c>
      <c r="I789" s="2">
        <v>168.43</v>
      </c>
      <c r="J789" s="2">
        <v>244.7</v>
      </c>
      <c r="K789" s="2">
        <v>50.29</v>
      </c>
      <c r="L789" s="2">
        <v>259.5</v>
      </c>
      <c r="M789" s="64" t="s">
        <v>77</v>
      </c>
      <c r="N789" s="1"/>
      <c r="O789" s="12">
        <f t="shared" si="132"/>
        <v>4.0954381006588214E-3</v>
      </c>
      <c r="P789" s="12">
        <f t="shared" si="133"/>
        <v>7.4123642353425279E-3</v>
      </c>
      <c r="Q789" s="12">
        <f t="shared" si="134"/>
        <v>1.0860067407314933E-2</v>
      </c>
      <c r="R789" s="12">
        <f t="shared" si="135"/>
        <v>8.8421620164442771E-3</v>
      </c>
      <c r="S789" s="12">
        <f t="shared" si="136"/>
        <v>2.735878308132822E-3</v>
      </c>
      <c r="T789" s="12">
        <f t="shared" si="137"/>
        <v>-6.3063063063064639E-3</v>
      </c>
      <c r="U789" s="12">
        <f t="shared" si="138"/>
        <v>-3.1271988116643445E-4</v>
      </c>
      <c r="V789" s="12">
        <f t="shared" si="139"/>
        <v>-1.1267939746174571E-3</v>
      </c>
      <c r="W789" s="12">
        <f t="shared" si="140"/>
        <v>3.1053806935490647E-2</v>
      </c>
      <c r="X789" s="12">
        <f t="shared" si="141"/>
        <v>-1.0428964974419586E-2</v>
      </c>
      <c r="Y789" s="12">
        <f t="shared" si="142"/>
        <v>8.1193426828793935E-3</v>
      </c>
    </row>
    <row r="790" spans="1:25" x14ac:dyDescent="0.35">
      <c r="A790" s="6">
        <v>45271</v>
      </c>
      <c r="B790" s="8">
        <v>4622.4399999999996</v>
      </c>
      <c r="C790" s="2">
        <v>193.18</v>
      </c>
      <c r="D790" s="2">
        <v>163.51</v>
      </c>
      <c r="E790" s="2">
        <v>371.3</v>
      </c>
      <c r="F790" s="2">
        <v>543.67999999999995</v>
      </c>
      <c r="G790" s="2">
        <v>155.06</v>
      </c>
      <c r="H790" s="2">
        <v>256.52</v>
      </c>
      <c r="I790" s="2">
        <v>168.39</v>
      </c>
      <c r="J790" s="2">
        <v>248.08</v>
      </c>
      <c r="K790" s="2">
        <v>50.41</v>
      </c>
      <c r="L790" s="2">
        <v>260.92</v>
      </c>
      <c r="M790" s="64" t="s">
        <v>77</v>
      </c>
      <c r="N790" s="1"/>
      <c r="O790" s="12">
        <f t="shared" si="132"/>
        <v>3.9245325636296791E-3</v>
      </c>
      <c r="P790" s="12">
        <f t="shared" si="133"/>
        <v>-1.2927290378621392E-2</v>
      </c>
      <c r="Q790" s="12">
        <f t="shared" si="134"/>
        <v>9.5702642627808476E-3</v>
      </c>
      <c r="R790" s="12">
        <f t="shared" si="135"/>
        <v>-7.8294097212944225E-3</v>
      </c>
      <c r="S790" s="12">
        <f t="shared" si="136"/>
        <v>-1.1077359623115179E-2</v>
      </c>
      <c r="T790" s="12">
        <f t="shared" si="137"/>
        <v>4.1445408625826463E-3</v>
      </c>
      <c r="U790" s="12">
        <f t="shared" si="138"/>
        <v>3.0499726284507478E-3</v>
      </c>
      <c r="V790" s="12">
        <f t="shared" si="139"/>
        <v>-2.3748738348283727E-4</v>
      </c>
      <c r="W790" s="12">
        <f t="shared" si="140"/>
        <v>1.3812832039231893E-2</v>
      </c>
      <c r="X790" s="12">
        <f t="shared" si="141"/>
        <v>2.38616027043137E-3</v>
      </c>
      <c r="Y790" s="12">
        <f t="shared" si="142"/>
        <v>5.4720616570327341E-3</v>
      </c>
    </row>
    <row r="791" spans="1:25" x14ac:dyDescent="0.35">
      <c r="A791" s="6">
        <v>45272</v>
      </c>
      <c r="B791" s="8">
        <v>4643.7</v>
      </c>
      <c r="C791" s="2">
        <v>194.71</v>
      </c>
      <c r="D791" s="2">
        <v>164.71</v>
      </c>
      <c r="E791" s="2">
        <v>374.38</v>
      </c>
      <c r="F791" s="2">
        <v>545.72</v>
      </c>
      <c r="G791" s="2">
        <v>155.07</v>
      </c>
      <c r="H791" s="2">
        <v>259.56</v>
      </c>
      <c r="I791" s="2">
        <v>171.04</v>
      </c>
      <c r="J791" s="2">
        <v>248.63</v>
      </c>
      <c r="K791" s="2">
        <v>50.45</v>
      </c>
      <c r="L791" s="2">
        <v>261.43</v>
      </c>
      <c r="M791" s="64">
        <v>11.3</v>
      </c>
      <c r="N791" s="1"/>
      <c r="O791" s="12">
        <f t="shared" si="132"/>
        <v>4.599302532861449E-3</v>
      </c>
      <c r="P791" s="12">
        <f t="shared" si="133"/>
        <v>7.9200745418781526E-3</v>
      </c>
      <c r="Q791" s="12">
        <f t="shared" si="134"/>
        <v>7.3390006727418466E-3</v>
      </c>
      <c r="R791" s="12">
        <f t="shared" si="135"/>
        <v>8.2951791004577391E-3</v>
      </c>
      <c r="S791" s="12">
        <f t="shared" si="136"/>
        <v>3.7522071806945778E-3</v>
      </c>
      <c r="T791" s="12">
        <f t="shared" si="137"/>
        <v>6.4491164710300808E-5</v>
      </c>
      <c r="U791" s="12">
        <f t="shared" si="138"/>
        <v>1.1850927802900424E-2</v>
      </c>
      <c r="V791" s="12">
        <f t="shared" si="139"/>
        <v>1.5737276560365832E-2</v>
      </c>
      <c r="W791" s="12">
        <f t="shared" si="140"/>
        <v>2.21702676555946E-3</v>
      </c>
      <c r="X791" s="12">
        <f t="shared" si="141"/>
        <v>7.9349335449330205E-4</v>
      </c>
      <c r="Y791" s="12">
        <f t="shared" si="142"/>
        <v>1.9546221063926339E-3</v>
      </c>
    </row>
    <row r="792" spans="1:25" x14ac:dyDescent="0.35">
      <c r="A792" s="6">
        <v>45273</v>
      </c>
      <c r="B792" s="8">
        <v>4707.09</v>
      </c>
      <c r="C792" s="2">
        <v>197.96</v>
      </c>
      <c r="D792" s="2">
        <v>163.62</v>
      </c>
      <c r="E792" s="2">
        <v>374.37</v>
      </c>
      <c r="F792" s="2">
        <v>549.01</v>
      </c>
      <c r="G792" s="2">
        <v>155.79</v>
      </c>
      <c r="H792" s="2">
        <v>262.38</v>
      </c>
      <c r="I792" s="2">
        <v>174.56</v>
      </c>
      <c r="J792" s="2">
        <v>250.91</v>
      </c>
      <c r="K792" s="2">
        <v>51.35</v>
      </c>
      <c r="L792" s="2">
        <v>267.97000000000003</v>
      </c>
      <c r="M792" s="64" t="s">
        <v>77</v>
      </c>
      <c r="N792" s="1"/>
      <c r="O792" s="12">
        <f t="shared" si="132"/>
        <v>1.3650752632599072E-2</v>
      </c>
      <c r="P792" s="12">
        <f t="shared" si="133"/>
        <v>1.6691489908068347E-2</v>
      </c>
      <c r="Q792" s="12">
        <f t="shared" si="134"/>
        <v>-6.6176917005646985E-3</v>
      </c>
      <c r="R792" s="12">
        <f t="shared" si="135"/>
        <v>-2.6710828569864731E-5</v>
      </c>
      <c r="S792" s="12">
        <f t="shared" si="136"/>
        <v>6.0287326834274069E-3</v>
      </c>
      <c r="T792" s="12">
        <f t="shared" si="137"/>
        <v>4.6430644225188278E-3</v>
      </c>
      <c r="U792" s="12">
        <f t="shared" si="138"/>
        <v>1.0864539990753652E-2</v>
      </c>
      <c r="V792" s="12">
        <f t="shared" si="139"/>
        <v>2.0579981290926197E-2</v>
      </c>
      <c r="W792" s="12">
        <f t="shared" si="140"/>
        <v>9.1702529863653126E-3</v>
      </c>
      <c r="X792" s="12">
        <f t="shared" si="141"/>
        <v>1.7839444995044529E-2</v>
      </c>
      <c r="Y792" s="12">
        <f t="shared" si="142"/>
        <v>2.5016256741766441E-2</v>
      </c>
    </row>
    <row r="793" spans="1:25" x14ac:dyDescent="0.35">
      <c r="A793" s="6">
        <v>45274</v>
      </c>
      <c r="B793" s="8">
        <v>4719.55</v>
      </c>
      <c r="C793" s="2">
        <v>198.11</v>
      </c>
      <c r="D793" s="2">
        <v>162.91</v>
      </c>
      <c r="E793" s="2">
        <v>365.93</v>
      </c>
      <c r="F793" s="2">
        <v>534.24</v>
      </c>
      <c r="G793" s="2">
        <v>156.87</v>
      </c>
      <c r="H793" s="2">
        <v>258.73</v>
      </c>
      <c r="I793" s="2">
        <v>178.86</v>
      </c>
      <c r="J793" s="2">
        <v>256.24</v>
      </c>
      <c r="K793" s="2">
        <v>50.72</v>
      </c>
      <c r="L793" s="2">
        <v>285.17</v>
      </c>
      <c r="M793" s="64" t="s">
        <v>77</v>
      </c>
      <c r="N793" s="1"/>
      <c r="O793" s="12">
        <f t="shared" si="132"/>
        <v>2.6470706954828671E-3</v>
      </c>
      <c r="P793" s="12">
        <f t="shared" si="133"/>
        <v>7.5772883410785141E-4</v>
      </c>
      <c r="Q793" s="12">
        <f t="shared" si="134"/>
        <v>-4.3393228211711099E-3</v>
      </c>
      <c r="R793" s="12">
        <f t="shared" si="135"/>
        <v>-2.2544541496380632E-2</v>
      </c>
      <c r="S793" s="12">
        <f t="shared" si="136"/>
        <v>-2.6902970801989001E-2</v>
      </c>
      <c r="T793" s="12">
        <f t="shared" si="137"/>
        <v>6.9324090121318793E-3</v>
      </c>
      <c r="U793" s="12">
        <f t="shared" si="138"/>
        <v>-1.3911121274487348E-2</v>
      </c>
      <c r="V793" s="12">
        <f t="shared" si="139"/>
        <v>2.4633363886342963E-2</v>
      </c>
      <c r="W793" s="12">
        <f t="shared" si="140"/>
        <v>2.1242676656968662E-2</v>
      </c>
      <c r="X793" s="12">
        <f t="shared" si="141"/>
        <v>-1.226874391431354E-2</v>
      </c>
      <c r="Y793" s="12">
        <f t="shared" si="142"/>
        <v>6.4186289510019812E-2</v>
      </c>
    </row>
    <row r="794" spans="1:25" x14ac:dyDescent="0.35">
      <c r="A794" s="6">
        <v>45275</v>
      </c>
      <c r="B794" s="8">
        <v>4719.1899999999996</v>
      </c>
      <c r="C794" s="2">
        <v>197.57</v>
      </c>
      <c r="D794" s="2">
        <v>162.22999999999999</v>
      </c>
      <c r="E794" s="2">
        <v>370.73</v>
      </c>
      <c r="F794" s="2">
        <v>531.12</v>
      </c>
      <c r="G794" s="2">
        <v>155.16</v>
      </c>
      <c r="H794" s="2">
        <v>258.02999999999997</v>
      </c>
      <c r="I794" s="2">
        <v>180.51</v>
      </c>
      <c r="J794" s="2">
        <v>264.27</v>
      </c>
      <c r="K794" s="2">
        <v>50.91</v>
      </c>
      <c r="L794" s="2">
        <v>285.74</v>
      </c>
      <c r="M794" s="64" t="s">
        <v>77</v>
      </c>
      <c r="N794" s="1"/>
      <c r="O794" s="12">
        <f t="shared" si="132"/>
        <v>-7.6278458751466438E-5</v>
      </c>
      <c r="P794" s="12">
        <f t="shared" si="133"/>
        <v>-2.7257584170411464E-3</v>
      </c>
      <c r="Q794" s="12">
        <f t="shared" si="134"/>
        <v>-4.1740838499785271E-3</v>
      </c>
      <c r="R794" s="12">
        <f t="shared" si="135"/>
        <v>1.3117262864482226E-2</v>
      </c>
      <c r="S794" s="12">
        <f t="shared" si="136"/>
        <v>-5.8400718778077731E-3</v>
      </c>
      <c r="T794" s="12">
        <f t="shared" si="137"/>
        <v>-1.0900745840504933E-2</v>
      </c>
      <c r="U794" s="12">
        <f t="shared" si="138"/>
        <v>-2.7055231322229423E-3</v>
      </c>
      <c r="V794" s="12">
        <f t="shared" si="139"/>
        <v>9.2250922509222733E-3</v>
      </c>
      <c r="W794" s="12">
        <f t="shared" si="140"/>
        <v>3.1337808304714221E-2</v>
      </c>
      <c r="X794" s="12">
        <f t="shared" si="141"/>
        <v>3.7460567823344171E-3</v>
      </c>
      <c r="Y794" s="12">
        <f t="shared" si="142"/>
        <v>1.9988077287231842E-3</v>
      </c>
    </row>
    <row r="795" spans="1:25" x14ac:dyDescent="0.35">
      <c r="A795" s="6">
        <v>45278</v>
      </c>
      <c r="B795" s="8">
        <v>4740.5600000000004</v>
      </c>
      <c r="C795" s="2">
        <v>195.89</v>
      </c>
      <c r="D795" s="2">
        <v>162.74</v>
      </c>
      <c r="E795" s="2">
        <v>372.65</v>
      </c>
      <c r="F795" s="2">
        <v>526.54999999999995</v>
      </c>
      <c r="G795" s="2">
        <v>155.44</v>
      </c>
      <c r="H795" s="2">
        <v>258.37</v>
      </c>
      <c r="I795" s="2">
        <v>182.76</v>
      </c>
      <c r="J795" s="2">
        <v>260.41000000000003</v>
      </c>
      <c r="K795" s="2">
        <v>51.66</v>
      </c>
      <c r="L795" s="2">
        <v>285.70999999999998</v>
      </c>
      <c r="M795" s="64" t="s">
        <v>77</v>
      </c>
      <c r="N795" s="1"/>
      <c r="O795" s="12">
        <f t="shared" si="132"/>
        <v>4.5283194785548098E-3</v>
      </c>
      <c r="P795" s="12">
        <f t="shared" si="133"/>
        <v>-8.503315280660062E-3</v>
      </c>
      <c r="Q795" s="12">
        <f t="shared" si="134"/>
        <v>3.1436848918202642E-3</v>
      </c>
      <c r="R795" s="12">
        <f t="shared" si="135"/>
        <v>5.1789712189462822E-3</v>
      </c>
      <c r="S795" s="12">
        <f t="shared" si="136"/>
        <v>-8.6044585027866827E-3</v>
      </c>
      <c r="T795" s="12">
        <f t="shared" si="137"/>
        <v>1.8045888115494346E-3</v>
      </c>
      <c r="U795" s="12">
        <f t="shared" si="138"/>
        <v>1.3176762391970964E-3</v>
      </c>
      <c r="V795" s="12">
        <f t="shared" si="139"/>
        <v>1.2464683397041654E-2</v>
      </c>
      <c r="W795" s="12">
        <f t="shared" si="140"/>
        <v>-1.4606273886555221E-2</v>
      </c>
      <c r="X795" s="12">
        <f t="shared" si="141"/>
        <v>1.4731879787860835E-2</v>
      </c>
      <c r="Y795" s="12">
        <f t="shared" si="142"/>
        <v>-1.0499055085055886E-4</v>
      </c>
    </row>
    <row r="796" spans="1:25" x14ac:dyDescent="0.35">
      <c r="A796" s="6">
        <v>45279</v>
      </c>
      <c r="B796" s="8">
        <v>4768.37</v>
      </c>
      <c r="C796" s="2">
        <v>196.94</v>
      </c>
      <c r="D796" s="2">
        <v>161.56</v>
      </c>
      <c r="E796" s="2">
        <v>373.26</v>
      </c>
      <c r="F796" s="2">
        <v>524.04</v>
      </c>
      <c r="G796" s="2">
        <v>156.46</v>
      </c>
      <c r="H796" s="2">
        <v>259.99</v>
      </c>
      <c r="I796" s="2">
        <v>185.75</v>
      </c>
      <c r="J796" s="2">
        <v>263.51</v>
      </c>
      <c r="K796" s="2">
        <v>51.84</v>
      </c>
      <c r="L796" s="2">
        <v>292.95999999999998</v>
      </c>
      <c r="M796" s="64">
        <v>11.3</v>
      </c>
      <c r="N796" s="1"/>
      <c r="O796" s="12">
        <f t="shared" si="132"/>
        <v>5.8663955313296157E-3</v>
      </c>
      <c r="P796" s="12">
        <f t="shared" si="133"/>
        <v>5.360151105212152E-3</v>
      </c>
      <c r="Q796" s="12">
        <f t="shared" si="134"/>
        <v>-7.2508295440580905E-3</v>
      </c>
      <c r="R796" s="12">
        <f t="shared" si="135"/>
        <v>1.6369247282974619E-3</v>
      </c>
      <c r="S796" s="12">
        <f t="shared" si="136"/>
        <v>-4.7668787389612E-3</v>
      </c>
      <c r="T796" s="12">
        <f t="shared" si="137"/>
        <v>6.562017498713324E-3</v>
      </c>
      <c r="U796" s="12">
        <f t="shared" si="138"/>
        <v>6.2700777954096676E-3</v>
      </c>
      <c r="V796" s="12">
        <f t="shared" si="139"/>
        <v>1.6360253884876386E-2</v>
      </c>
      <c r="W796" s="12">
        <f t="shared" si="140"/>
        <v>1.1904304750201433E-2</v>
      </c>
      <c r="X796" s="12">
        <f t="shared" si="141"/>
        <v>3.4843205574914826E-3</v>
      </c>
      <c r="Y796" s="12">
        <f t="shared" si="142"/>
        <v>2.5375380630709543E-2</v>
      </c>
    </row>
    <row r="797" spans="1:25" x14ac:dyDescent="0.35">
      <c r="A797" s="6">
        <v>45280</v>
      </c>
      <c r="B797" s="8">
        <v>4698.3500000000004</v>
      </c>
      <c r="C797" s="2">
        <v>194.83</v>
      </c>
      <c r="D797" s="2">
        <v>160.05000000000001</v>
      </c>
      <c r="E797" s="2">
        <v>370.62</v>
      </c>
      <c r="F797" s="2">
        <v>515.92999999999995</v>
      </c>
      <c r="G797" s="2">
        <v>153.27000000000001</v>
      </c>
      <c r="H797" s="2">
        <v>257.11</v>
      </c>
      <c r="I797" s="2">
        <v>180.65</v>
      </c>
      <c r="J797" s="2">
        <v>260.25</v>
      </c>
      <c r="K797" s="2">
        <v>51.24</v>
      </c>
      <c r="L797" s="2">
        <v>289.70999999999998</v>
      </c>
      <c r="M797" s="64" t="s">
        <v>77</v>
      </c>
      <c r="N797" s="1"/>
      <c r="O797" s="12">
        <f t="shared" si="132"/>
        <v>-1.4684263175886003E-2</v>
      </c>
      <c r="P797" s="12">
        <f t="shared" si="133"/>
        <v>-1.0713923022240168E-2</v>
      </c>
      <c r="Q797" s="12">
        <f t="shared" si="134"/>
        <v>-9.3463728645704069E-3</v>
      </c>
      <c r="R797" s="12">
        <f t="shared" si="135"/>
        <v>-7.0728178749396298E-3</v>
      </c>
      <c r="S797" s="12">
        <f t="shared" si="136"/>
        <v>-1.5475917868865041E-2</v>
      </c>
      <c r="T797" s="12">
        <f t="shared" si="137"/>
        <v>-2.0388597724658064E-2</v>
      </c>
      <c r="U797" s="12">
        <f t="shared" si="138"/>
        <v>-1.1077349128812641E-2</v>
      </c>
      <c r="V797" s="12">
        <f t="shared" si="139"/>
        <v>-2.7456258411843848E-2</v>
      </c>
      <c r="W797" s="12">
        <f t="shared" si="140"/>
        <v>-1.2371447003908687E-2</v>
      </c>
      <c r="X797" s="12">
        <f t="shared" si="141"/>
        <v>-1.157407407407407E-2</v>
      </c>
      <c r="Y797" s="12">
        <f t="shared" si="142"/>
        <v>-1.1093664664117986E-2</v>
      </c>
    </row>
    <row r="798" spans="1:25" x14ac:dyDescent="0.35">
      <c r="A798" s="6">
        <v>45281</v>
      </c>
      <c r="B798" s="8">
        <v>4746.75</v>
      </c>
      <c r="C798" s="2">
        <v>194.68</v>
      </c>
      <c r="D798" s="2">
        <v>160.78</v>
      </c>
      <c r="E798" s="2">
        <v>373.54</v>
      </c>
      <c r="F798" s="2">
        <v>519.88</v>
      </c>
      <c r="G798" s="2">
        <v>154.84</v>
      </c>
      <c r="H798" s="2">
        <v>259.54000000000002</v>
      </c>
      <c r="I798" s="2">
        <v>184.79</v>
      </c>
      <c r="J798" s="2">
        <v>262.02</v>
      </c>
      <c r="K798" s="2">
        <v>51.6</v>
      </c>
      <c r="L798" s="2">
        <v>290.07</v>
      </c>
      <c r="M798" s="64" t="s">
        <v>77</v>
      </c>
      <c r="N798" s="1"/>
      <c r="O798" s="12">
        <f t="shared" si="132"/>
        <v>1.030148882054327E-2</v>
      </c>
      <c r="P798" s="12">
        <f t="shared" si="133"/>
        <v>-7.6990196581638859E-4</v>
      </c>
      <c r="Q798" s="12">
        <f t="shared" si="134"/>
        <v>4.5610746641673305E-3</v>
      </c>
      <c r="R798" s="12">
        <f t="shared" si="135"/>
        <v>7.8786897630997998E-3</v>
      </c>
      <c r="S798" s="12">
        <f t="shared" si="136"/>
        <v>7.6560773748377553E-3</v>
      </c>
      <c r="T798" s="12">
        <f t="shared" si="137"/>
        <v>1.024336138839943E-2</v>
      </c>
      <c r="U798" s="12">
        <f t="shared" si="138"/>
        <v>9.4512076543113999E-3</v>
      </c>
      <c r="V798" s="12">
        <f t="shared" si="139"/>
        <v>2.2917243288126166E-2</v>
      </c>
      <c r="W798" s="12">
        <f t="shared" si="140"/>
        <v>6.8011527377520586E-3</v>
      </c>
      <c r="X798" s="12">
        <f t="shared" si="141"/>
        <v>7.0257611241217877E-3</v>
      </c>
      <c r="Y798" s="12">
        <f t="shared" si="142"/>
        <v>1.2426219322771992E-3</v>
      </c>
    </row>
    <row r="799" spans="1:25" x14ac:dyDescent="0.35">
      <c r="A799" s="6">
        <v>45282</v>
      </c>
      <c r="B799" s="8">
        <v>4754.63</v>
      </c>
      <c r="C799" s="2">
        <v>193.6</v>
      </c>
      <c r="D799" s="2">
        <v>162.13999999999999</v>
      </c>
      <c r="E799" s="2">
        <v>374.58</v>
      </c>
      <c r="F799" s="2">
        <v>520.30999999999995</v>
      </c>
      <c r="G799" s="2">
        <v>155.46</v>
      </c>
      <c r="H799" s="2">
        <v>258.43</v>
      </c>
      <c r="I799" s="2">
        <v>185.57</v>
      </c>
      <c r="J799" s="2">
        <v>260.44</v>
      </c>
      <c r="K799" s="2">
        <v>52.22</v>
      </c>
      <c r="L799" s="2">
        <v>290.36</v>
      </c>
      <c r="M799" s="64" t="s">
        <v>77</v>
      </c>
      <c r="N799" s="1"/>
      <c r="O799" s="12">
        <f t="shared" si="132"/>
        <v>1.6600832148312428E-3</v>
      </c>
      <c r="P799" s="12">
        <f t="shared" si="133"/>
        <v>-5.5475652352579008E-3</v>
      </c>
      <c r="Q799" s="12">
        <f t="shared" si="134"/>
        <v>8.4587635278019491E-3</v>
      </c>
      <c r="R799" s="12">
        <f t="shared" si="135"/>
        <v>2.7841730470632431E-3</v>
      </c>
      <c r="S799" s="12">
        <f t="shared" si="136"/>
        <v>8.2711394937273752E-4</v>
      </c>
      <c r="T799" s="12">
        <f t="shared" si="137"/>
        <v>4.0041332988891565E-3</v>
      </c>
      <c r="U799" s="12">
        <f t="shared" si="138"/>
        <v>-4.2767974108037787E-3</v>
      </c>
      <c r="V799" s="12">
        <f t="shared" si="139"/>
        <v>4.2210076302831023E-3</v>
      </c>
      <c r="W799" s="12">
        <f t="shared" si="140"/>
        <v>-6.0300740401495467E-3</v>
      </c>
      <c r="X799" s="12">
        <f t="shared" si="141"/>
        <v>1.2015503875968836E-2</v>
      </c>
      <c r="Y799" s="12">
        <f t="shared" si="142"/>
        <v>9.9975867893964399E-4</v>
      </c>
    </row>
    <row r="800" spans="1:25" x14ac:dyDescent="0.35">
      <c r="A800" s="6">
        <v>45286</v>
      </c>
      <c r="B800" s="8">
        <v>4774.75</v>
      </c>
      <c r="C800" s="2">
        <v>193.05</v>
      </c>
      <c r="D800" s="2">
        <v>163.21</v>
      </c>
      <c r="E800" s="2">
        <v>374.66</v>
      </c>
      <c r="F800" s="2">
        <v>520.03</v>
      </c>
      <c r="G800" s="2">
        <v>156.13999999999999</v>
      </c>
      <c r="H800" s="2">
        <v>259.16000000000003</v>
      </c>
      <c r="I800" s="2">
        <v>185.96</v>
      </c>
      <c r="J800" s="2">
        <v>262.79000000000002</v>
      </c>
      <c r="K800" s="2">
        <v>52.14</v>
      </c>
      <c r="L800" s="2">
        <v>295.63</v>
      </c>
      <c r="M800" s="64" t="s">
        <v>77</v>
      </c>
      <c r="N800" s="1"/>
      <c r="O800" s="12">
        <f t="shared" si="132"/>
        <v>4.2316647141837915E-3</v>
      </c>
      <c r="P800" s="12">
        <f t="shared" si="133"/>
        <v>-2.8409090909089496E-3</v>
      </c>
      <c r="Q800" s="12">
        <f t="shared" si="134"/>
        <v>6.5992352288146705E-3</v>
      </c>
      <c r="R800" s="12">
        <f t="shared" si="135"/>
        <v>2.1357253457221503E-4</v>
      </c>
      <c r="S800" s="12">
        <f t="shared" si="136"/>
        <v>-5.3814072379920752E-4</v>
      </c>
      <c r="T800" s="12">
        <f t="shared" si="137"/>
        <v>4.3741155281100674E-3</v>
      </c>
      <c r="U800" s="12">
        <f t="shared" si="138"/>
        <v>2.8247494485935665E-3</v>
      </c>
      <c r="V800" s="12">
        <f t="shared" si="139"/>
        <v>2.1016328070271317E-3</v>
      </c>
      <c r="W800" s="12">
        <f t="shared" si="140"/>
        <v>9.0231915220397862E-3</v>
      </c>
      <c r="X800" s="12">
        <f t="shared" si="141"/>
        <v>-1.5319800842589215E-3</v>
      </c>
      <c r="Y800" s="12">
        <f t="shared" si="142"/>
        <v>1.8149882903981229E-2</v>
      </c>
    </row>
    <row r="801" spans="1:25" x14ac:dyDescent="0.35">
      <c r="A801" s="6">
        <v>45287</v>
      </c>
      <c r="B801" s="8">
        <v>4781.58</v>
      </c>
      <c r="C801" s="2">
        <v>193.15</v>
      </c>
      <c r="D801" s="2">
        <v>163.46</v>
      </c>
      <c r="E801" s="2">
        <v>374.07</v>
      </c>
      <c r="F801" s="2">
        <v>522.79</v>
      </c>
      <c r="G801" s="2">
        <v>156.35</v>
      </c>
      <c r="H801" s="2">
        <v>258.93</v>
      </c>
      <c r="I801" s="2">
        <v>187.06</v>
      </c>
      <c r="J801" s="2">
        <v>262.10000000000002</v>
      </c>
      <c r="K801" s="2">
        <v>52.63</v>
      </c>
      <c r="L801" s="2">
        <v>298.12</v>
      </c>
      <c r="M801" s="64">
        <v>11.27</v>
      </c>
      <c r="N801" s="1"/>
      <c r="O801" s="12">
        <f t="shared" si="132"/>
        <v>1.430441384365766E-3</v>
      </c>
      <c r="P801" s="12">
        <f t="shared" si="133"/>
        <v>5.180005180005498E-4</v>
      </c>
      <c r="Q801" s="12">
        <f t="shared" si="134"/>
        <v>1.5317688867104717E-3</v>
      </c>
      <c r="R801" s="12">
        <f t="shared" si="135"/>
        <v>-1.5747611167459263E-3</v>
      </c>
      <c r="S801" s="12">
        <f t="shared" si="136"/>
        <v>5.3073861123396071E-3</v>
      </c>
      <c r="T801" s="12">
        <f t="shared" si="137"/>
        <v>1.3449468425772437E-3</v>
      </c>
      <c r="U801" s="12">
        <f t="shared" si="138"/>
        <v>-8.8748263620941348E-4</v>
      </c>
      <c r="V801" s="12">
        <f t="shared" si="139"/>
        <v>5.9152505915249787E-3</v>
      </c>
      <c r="W801" s="12">
        <f t="shared" si="140"/>
        <v>-2.6256706876213176E-3</v>
      </c>
      <c r="X801" s="12">
        <f t="shared" si="141"/>
        <v>9.3977752205600673E-3</v>
      </c>
      <c r="Y801" s="12">
        <f t="shared" si="142"/>
        <v>8.4226905253188544E-3</v>
      </c>
    </row>
    <row r="802" spans="1:25" x14ac:dyDescent="0.35">
      <c r="A802" s="6">
        <v>45288</v>
      </c>
      <c r="B802" s="8">
        <v>4783.3500000000004</v>
      </c>
      <c r="C802" s="2">
        <v>193.58</v>
      </c>
      <c r="D802" s="2">
        <v>163.75</v>
      </c>
      <c r="E802" s="2">
        <v>375.28</v>
      </c>
      <c r="F802" s="2">
        <v>524.9</v>
      </c>
      <c r="G802" s="2">
        <v>156.58000000000001</v>
      </c>
      <c r="H802" s="2">
        <v>260.39999999999998</v>
      </c>
      <c r="I802" s="2">
        <v>187.8</v>
      </c>
      <c r="J802" s="2">
        <v>260.35000000000002</v>
      </c>
      <c r="K802" s="2">
        <v>52.52</v>
      </c>
      <c r="L802" s="2">
        <v>296.88</v>
      </c>
      <c r="M802" s="64" t="s">
        <v>77</v>
      </c>
      <c r="N802" s="1"/>
      <c r="O802" s="12">
        <f t="shared" si="132"/>
        <v>3.7017052940679918E-4</v>
      </c>
      <c r="P802" s="12">
        <f t="shared" si="133"/>
        <v>2.2262490292519477E-3</v>
      </c>
      <c r="Q802" s="12">
        <f t="shared" si="134"/>
        <v>1.7741343447936764E-3</v>
      </c>
      <c r="R802" s="12">
        <f t="shared" si="135"/>
        <v>3.2346886946292841E-3</v>
      </c>
      <c r="S802" s="12">
        <f t="shared" si="136"/>
        <v>4.0360374146406475E-3</v>
      </c>
      <c r="T802" s="12">
        <f t="shared" si="137"/>
        <v>1.4710585225456985E-3</v>
      </c>
      <c r="U802" s="12">
        <f t="shared" si="138"/>
        <v>5.6772100567719086E-3</v>
      </c>
      <c r="V802" s="12">
        <f t="shared" si="139"/>
        <v>3.9559499625789751E-3</v>
      </c>
      <c r="W802" s="12">
        <f t="shared" si="140"/>
        <v>-6.676840900419645E-3</v>
      </c>
      <c r="X802" s="12">
        <f t="shared" si="141"/>
        <v>-2.0900627018810569E-3</v>
      </c>
      <c r="Y802" s="12">
        <f t="shared" si="142"/>
        <v>-4.1593988997719045E-3</v>
      </c>
    </row>
    <row r="803" spans="1:25" x14ac:dyDescent="0.35">
      <c r="A803" s="6">
        <v>45289</v>
      </c>
      <c r="B803" s="8">
        <v>4769.83</v>
      </c>
      <c r="C803" s="2">
        <v>192.53</v>
      </c>
      <c r="D803" s="2">
        <v>163.55000000000001</v>
      </c>
      <c r="E803" s="2">
        <v>376.04</v>
      </c>
      <c r="F803" s="2">
        <v>526.47</v>
      </c>
      <c r="G803" s="2">
        <v>156.74</v>
      </c>
      <c r="H803" s="2">
        <v>260.35000000000002</v>
      </c>
      <c r="I803" s="2">
        <v>187.34</v>
      </c>
      <c r="J803" s="2">
        <v>260.66000000000003</v>
      </c>
      <c r="K803" s="2">
        <v>52.55</v>
      </c>
      <c r="L803" s="2">
        <v>295.67</v>
      </c>
      <c r="M803" s="64" t="s">
        <v>77</v>
      </c>
      <c r="N803" s="1"/>
      <c r="O803" s="12">
        <f t="shared" si="132"/>
        <v>-2.8264709879060046E-3</v>
      </c>
      <c r="P803" s="12">
        <f t="shared" si="133"/>
        <v>-5.4241140613700001E-3</v>
      </c>
      <c r="Q803" s="12">
        <f t="shared" si="134"/>
        <v>-1.221374045801471E-3</v>
      </c>
      <c r="R803" s="12">
        <f t="shared" si="135"/>
        <v>2.0251545512686153E-3</v>
      </c>
      <c r="S803" s="12">
        <f t="shared" si="136"/>
        <v>2.9910459135074063E-3</v>
      </c>
      <c r="T803" s="12">
        <f t="shared" si="137"/>
        <v>1.0218418699705634E-3</v>
      </c>
      <c r="U803" s="12">
        <f t="shared" si="138"/>
        <v>-1.9201228878629184E-4</v>
      </c>
      <c r="V803" s="12">
        <f t="shared" si="139"/>
        <v>-2.449414270500605E-3</v>
      </c>
      <c r="W803" s="12">
        <f t="shared" si="140"/>
        <v>1.1907048204340409E-3</v>
      </c>
      <c r="X803" s="12">
        <f t="shared" si="141"/>
        <v>5.7121096725043508E-4</v>
      </c>
      <c r="Y803" s="12">
        <f t="shared" si="142"/>
        <v>-4.0757208299648795E-3</v>
      </c>
    </row>
    <row r="804" spans="1:25" x14ac:dyDescent="0.35">
      <c r="A804" s="6">
        <v>45293</v>
      </c>
      <c r="B804" s="8">
        <v>4742.83</v>
      </c>
      <c r="C804" s="2">
        <v>185.64</v>
      </c>
      <c r="D804" s="2">
        <v>161.5</v>
      </c>
      <c r="E804" s="2">
        <v>370.87</v>
      </c>
      <c r="F804" s="2">
        <v>539.34</v>
      </c>
      <c r="G804" s="2">
        <v>159.97</v>
      </c>
      <c r="H804" s="2">
        <v>258.87</v>
      </c>
      <c r="I804" s="2">
        <v>188.31</v>
      </c>
      <c r="J804" s="2">
        <v>251.76</v>
      </c>
      <c r="K804" s="2">
        <v>53.1</v>
      </c>
      <c r="L804" s="2">
        <v>292.70999999999998</v>
      </c>
      <c r="M804" s="64" t="s">
        <v>77</v>
      </c>
      <c r="N804" s="1"/>
      <c r="O804" s="12">
        <f t="shared" si="132"/>
        <v>-5.6605790982068305E-3</v>
      </c>
      <c r="P804" s="12">
        <f t="shared" si="133"/>
        <v>-3.5786630654962903E-2</v>
      </c>
      <c r="Q804" s="12">
        <f t="shared" si="134"/>
        <v>-1.2534393151941381E-2</v>
      </c>
      <c r="R804" s="12">
        <f t="shared" si="135"/>
        <v>-1.3748537389639437E-2</v>
      </c>
      <c r="S804" s="12">
        <f t="shared" si="136"/>
        <v>2.444583736965078E-2</v>
      </c>
      <c r="T804" s="12">
        <f t="shared" si="137"/>
        <v>2.0607375271149531E-2</v>
      </c>
      <c r="U804" s="12">
        <f t="shared" si="138"/>
        <v>-5.6846552717496612E-3</v>
      </c>
      <c r="V804" s="12">
        <f t="shared" si="139"/>
        <v>5.1777516814348612E-3</v>
      </c>
      <c r="W804" s="12">
        <f t="shared" si="140"/>
        <v>-3.4144095756924897E-2</v>
      </c>
      <c r="X804" s="12">
        <f t="shared" si="141"/>
        <v>1.0466222645099998E-2</v>
      </c>
      <c r="Y804" s="12">
        <f t="shared" si="142"/>
        <v>-1.0011161091757814E-2</v>
      </c>
    </row>
    <row r="805" spans="1:25" x14ac:dyDescent="0.35">
      <c r="A805" s="6">
        <v>45294</v>
      </c>
      <c r="B805" s="8">
        <v>4704.8100000000004</v>
      </c>
      <c r="C805" s="2">
        <v>184.25</v>
      </c>
      <c r="D805" s="2">
        <v>160.1</v>
      </c>
      <c r="E805" s="2">
        <v>370.6</v>
      </c>
      <c r="F805" s="2">
        <v>542.03</v>
      </c>
      <c r="G805" s="2">
        <v>160.97</v>
      </c>
      <c r="H805" s="2">
        <v>257.98</v>
      </c>
      <c r="I805" s="2">
        <v>186.32</v>
      </c>
      <c r="J805" s="2">
        <v>243.91</v>
      </c>
      <c r="K805" s="2">
        <v>53.1</v>
      </c>
      <c r="L805" s="2">
        <v>284.3</v>
      </c>
      <c r="M805" s="64">
        <v>11.4</v>
      </c>
      <c r="N805" s="1"/>
      <c r="O805" s="12">
        <f t="shared" si="132"/>
        <v>-8.0163109367190621E-3</v>
      </c>
      <c r="P805" s="12">
        <f t="shared" si="133"/>
        <v>-7.4876104287868728E-3</v>
      </c>
      <c r="Q805" s="12">
        <f t="shared" si="134"/>
        <v>-8.6687306501548322E-3</v>
      </c>
      <c r="R805" s="12">
        <f t="shared" si="135"/>
        <v>-7.2801790384768861E-4</v>
      </c>
      <c r="S805" s="12">
        <f t="shared" si="136"/>
        <v>4.9875774094261249E-3</v>
      </c>
      <c r="T805" s="12">
        <f t="shared" si="137"/>
        <v>6.2511720947677762E-3</v>
      </c>
      <c r="U805" s="12">
        <f t="shared" si="138"/>
        <v>-3.4380190829372825E-3</v>
      </c>
      <c r="V805" s="12">
        <f t="shared" si="139"/>
        <v>-1.0567680951622416E-2</v>
      </c>
      <c r="W805" s="12">
        <f t="shared" si="140"/>
        <v>-3.1180489354941221E-2</v>
      </c>
      <c r="X805" s="12">
        <f t="shared" si="141"/>
        <v>0</v>
      </c>
      <c r="Y805" s="12">
        <f t="shared" si="142"/>
        <v>-2.8731509002083877E-2</v>
      </c>
    </row>
    <row r="806" spans="1:25" x14ac:dyDescent="0.35">
      <c r="A806" s="6">
        <v>45295</v>
      </c>
      <c r="B806" s="8">
        <v>4688.68</v>
      </c>
      <c r="C806" s="2">
        <v>181.91</v>
      </c>
      <c r="D806" s="2">
        <v>160.86000000000001</v>
      </c>
      <c r="E806" s="2">
        <v>367.94</v>
      </c>
      <c r="F806" s="2">
        <v>545.41999999999996</v>
      </c>
      <c r="G806" s="2">
        <v>160.63</v>
      </c>
      <c r="H806" s="2">
        <v>259.61</v>
      </c>
      <c r="I806" s="2">
        <v>187.14</v>
      </c>
      <c r="J806" s="2">
        <v>244.94</v>
      </c>
      <c r="K806" s="2">
        <v>52.59</v>
      </c>
      <c r="L806" s="2">
        <v>286.10000000000002</v>
      </c>
      <c r="M806" s="64" t="s">
        <v>77</v>
      </c>
      <c r="N806" s="1"/>
      <c r="O806" s="12">
        <f t="shared" si="132"/>
        <v>-3.4284062480738342E-3</v>
      </c>
      <c r="P806" s="12">
        <f t="shared" si="133"/>
        <v>-1.2700135685210334E-2</v>
      </c>
      <c r="Q806" s="12">
        <f t="shared" si="134"/>
        <v>4.7470331043100167E-3</v>
      </c>
      <c r="R806" s="12">
        <f t="shared" si="135"/>
        <v>-7.1775499190502856E-3</v>
      </c>
      <c r="S806" s="12">
        <f t="shared" si="136"/>
        <v>6.2542663690201561E-3</v>
      </c>
      <c r="T806" s="12">
        <f t="shared" si="137"/>
        <v>-2.1121948189103401E-3</v>
      </c>
      <c r="U806" s="12">
        <f t="shared" si="138"/>
        <v>6.3183192495541718E-3</v>
      </c>
      <c r="V806" s="12">
        <f t="shared" si="139"/>
        <v>4.4010304851866966E-3</v>
      </c>
      <c r="W806" s="12">
        <f t="shared" si="140"/>
        <v>4.222869091058179E-3</v>
      </c>
      <c r="X806" s="12">
        <f t="shared" si="141"/>
        <v>-9.604519774011222E-3</v>
      </c>
      <c r="Y806" s="12">
        <f t="shared" si="142"/>
        <v>6.331340133661767E-3</v>
      </c>
    </row>
    <row r="807" spans="1:25" x14ac:dyDescent="0.35">
      <c r="A807" s="6">
        <v>45296</v>
      </c>
      <c r="B807" s="8">
        <v>4697.24</v>
      </c>
      <c r="C807" s="2">
        <v>181.18</v>
      </c>
      <c r="D807" s="2">
        <v>159.16</v>
      </c>
      <c r="E807" s="2">
        <v>367.75</v>
      </c>
      <c r="F807" s="2">
        <v>537.38</v>
      </c>
      <c r="G807" s="2">
        <v>161.13</v>
      </c>
      <c r="H807" s="2">
        <v>259.69</v>
      </c>
      <c r="I807" s="2">
        <v>189.06</v>
      </c>
      <c r="J807" s="2">
        <v>249</v>
      </c>
      <c r="K807" s="2">
        <v>52.24</v>
      </c>
      <c r="L807" s="2">
        <v>288.93</v>
      </c>
      <c r="M807" s="64" t="s">
        <v>77</v>
      </c>
      <c r="N807" s="1"/>
      <c r="O807" s="12">
        <f t="shared" si="132"/>
        <v>1.8256737503945519E-3</v>
      </c>
      <c r="P807" s="12">
        <f t="shared" si="133"/>
        <v>-4.0129734484084523E-3</v>
      </c>
      <c r="Q807" s="12">
        <f t="shared" si="134"/>
        <v>-1.0568195946786152E-2</v>
      </c>
      <c r="R807" s="12">
        <f t="shared" si="135"/>
        <v>-5.1638854161006886E-4</v>
      </c>
      <c r="S807" s="12">
        <f t="shared" si="136"/>
        <v>-1.4740933592460759E-2</v>
      </c>
      <c r="T807" s="12">
        <f t="shared" si="137"/>
        <v>3.1127435721844954E-3</v>
      </c>
      <c r="U807" s="12">
        <f t="shared" si="138"/>
        <v>3.0815453950139293E-4</v>
      </c>
      <c r="V807" s="12">
        <f t="shared" si="139"/>
        <v>1.0259698621353008E-2</v>
      </c>
      <c r="W807" s="12">
        <f t="shared" si="140"/>
        <v>1.6575487874581629E-2</v>
      </c>
      <c r="X807" s="12">
        <f t="shared" si="141"/>
        <v>-6.6552576535463537E-3</v>
      </c>
      <c r="Y807" s="12">
        <f t="shared" si="142"/>
        <v>9.8916462775253677E-3</v>
      </c>
    </row>
    <row r="808" spans="1:25" x14ac:dyDescent="0.35">
      <c r="A808" s="6">
        <v>45299</v>
      </c>
      <c r="B808" s="8">
        <v>4763.54</v>
      </c>
      <c r="C808" s="2">
        <v>185.56</v>
      </c>
      <c r="D808" s="2">
        <v>161.13999999999999</v>
      </c>
      <c r="E808" s="2">
        <v>374.69</v>
      </c>
      <c r="F808" s="2">
        <v>536.52</v>
      </c>
      <c r="G808" s="2">
        <v>161.53</v>
      </c>
      <c r="H808" s="2">
        <v>262.54000000000002</v>
      </c>
      <c r="I808" s="2">
        <v>189.21</v>
      </c>
      <c r="J808" s="2">
        <v>229</v>
      </c>
      <c r="K808" s="2">
        <v>52.75</v>
      </c>
      <c r="L808" s="2">
        <v>292.25</v>
      </c>
      <c r="M808" s="64" t="s">
        <v>77</v>
      </c>
      <c r="N808" s="1"/>
      <c r="O808" s="12">
        <f t="shared" si="132"/>
        <v>1.4114671594383177E-2</v>
      </c>
      <c r="P808" s="12">
        <f t="shared" si="133"/>
        <v>2.4174853736615542E-2</v>
      </c>
      <c r="Q808" s="12">
        <f t="shared" si="134"/>
        <v>1.2440311636089385E-2</v>
      </c>
      <c r="R808" s="12">
        <f t="shared" si="135"/>
        <v>1.8871515975526831E-2</v>
      </c>
      <c r="S808" s="12">
        <f t="shared" si="136"/>
        <v>-1.6003572890692652E-3</v>
      </c>
      <c r="T808" s="12">
        <f t="shared" si="137"/>
        <v>2.4824675727672663E-3</v>
      </c>
      <c r="U808" s="12">
        <f t="shared" si="138"/>
        <v>1.0974623589664612E-2</v>
      </c>
      <c r="V808" s="12">
        <f t="shared" si="139"/>
        <v>7.9339892097740616E-4</v>
      </c>
      <c r="W808" s="12">
        <f t="shared" si="140"/>
        <v>-8.0321285140562249E-2</v>
      </c>
      <c r="X808" s="12">
        <f t="shared" si="141"/>
        <v>9.76263399693722E-3</v>
      </c>
      <c r="Y808" s="12">
        <f t="shared" si="142"/>
        <v>1.1490672481223818E-2</v>
      </c>
    </row>
    <row r="809" spans="1:25" x14ac:dyDescent="0.35">
      <c r="A809" s="6">
        <v>45300</v>
      </c>
      <c r="B809" s="8">
        <v>4756.5</v>
      </c>
      <c r="C809" s="2">
        <v>185.14</v>
      </c>
      <c r="D809" s="2">
        <v>160.08000000000001</v>
      </c>
      <c r="E809" s="2">
        <v>375.79</v>
      </c>
      <c r="F809" s="2">
        <v>538.37</v>
      </c>
      <c r="G809" s="2">
        <v>161.63</v>
      </c>
      <c r="H809" s="2">
        <v>263.33</v>
      </c>
      <c r="I809" s="2">
        <v>186.77</v>
      </c>
      <c r="J809" s="2">
        <v>225.76</v>
      </c>
      <c r="K809" s="2">
        <v>53.1</v>
      </c>
      <c r="L809" s="2">
        <v>292.29000000000002</v>
      </c>
      <c r="M809" s="64" t="s">
        <v>77</v>
      </c>
      <c r="N809" s="1"/>
      <c r="O809" s="12">
        <f t="shared" si="132"/>
        <v>-1.4778924917183689E-3</v>
      </c>
      <c r="P809" s="12">
        <f t="shared" si="133"/>
        <v>-2.2634188402673727E-3</v>
      </c>
      <c r="Q809" s="12">
        <f t="shared" si="134"/>
        <v>-6.5781308179221343E-3</v>
      </c>
      <c r="R809" s="12">
        <f t="shared" si="135"/>
        <v>2.9357602284556528E-3</v>
      </c>
      <c r="S809" s="12">
        <f t="shared" si="136"/>
        <v>3.4481473197645052E-3</v>
      </c>
      <c r="T809" s="12">
        <f t="shared" si="137"/>
        <v>6.1908004705002462E-4</v>
      </c>
      <c r="U809" s="12">
        <f t="shared" si="138"/>
        <v>3.0090652852896582E-3</v>
      </c>
      <c r="V809" s="12">
        <f t="shared" si="139"/>
        <v>-1.2895724327466773E-2</v>
      </c>
      <c r="W809" s="12">
        <f t="shared" si="140"/>
        <v>-1.4148471615720526E-2</v>
      </c>
      <c r="X809" s="12">
        <f t="shared" si="141"/>
        <v>6.6350710900473509E-3</v>
      </c>
      <c r="Y809" s="12">
        <f t="shared" si="142"/>
        <v>1.3686911890520292E-4</v>
      </c>
    </row>
    <row r="810" spans="1:25" x14ac:dyDescent="0.35">
      <c r="A810" s="6">
        <v>45301</v>
      </c>
      <c r="B810" s="8">
        <v>4783.45</v>
      </c>
      <c r="C810" s="2">
        <v>186.19</v>
      </c>
      <c r="D810" s="2">
        <v>161.22999999999999</v>
      </c>
      <c r="E810" s="2">
        <v>382.77</v>
      </c>
      <c r="F810" s="2">
        <v>537.64</v>
      </c>
      <c r="G810" s="2">
        <v>161.87</v>
      </c>
      <c r="H810" s="2">
        <v>264.56</v>
      </c>
      <c r="I810" s="2">
        <v>184.97</v>
      </c>
      <c r="J810" s="2">
        <v>227.84</v>
      </c>
      <c r="K810" s="2">
        <v>53.76</v>
      </c>
      <c r="L810" s="2">
        <v>293.35000000000002</v>
      </c>
      <c r="M810" s="64">
        <v>11.39</v>
      </c>
      <c r="N810" s="1"/>
      <c r="O810" s="12">
        <f t="shared" si="132"/>
        <v>5.6659308314936929E-3</v>
      </c>
      <c r="P810" s="12">
        <f t="shared" si="133"/>
        <v>5.6713838176516429E-3</v>
      </c>
      <c r="Q810" s="12">
        <f t="shared" si="134"/>
        <v>7.1839080459767946E-3</v>
      </c>
      <c r="R810" s="12">
        <f t="shared" si="135"/>
        <v>1.8574203677585777E-2</v>
      </c>
      <c r="S810" s="12">
        <f t="shared" si="136"/>
        <v>-1.3559447963297222E-3</v>
      </c>
      <c r="T810" s="12">
        <f t="shared" si="137"/>
        <v>1.4848728577616654E-3</v>
      </c>
      <c r="U810" s="12">
        <f t="shared" si="138"/>
        <v>4.6709452018380837E-3</v>
      </c>
      <c r="V810" s="12">
        <f t="shared" si="139"/>
        <v>-9.637522085988226E-3</v>
      </c>
      <c r="W810" s="12">
        <f t="shared" si="140"/>
        <v>9.2133238837703857E-3</v>
      </c>
      <c r="X810" s="12">
        <f t="shared" si="141"/>
        <v>1.2429378531073398E-2</v>
      </c>
      <c r="Y810" s="12">
        <f t="shared" si="142"/>
        <v>3.6265352902939973E-3</v>
      </c>
    </row>
    <row r="811" spans="1:25" x14ac:dyDescent="0.35">
      <c r="A811" s="6">
        <v>45302</v>
      </c>
      <c r="B811" s="8">
        <v>4780.24</v>
      </c>
      <c r="C811" s="2">
        <v>185.59</v>
      </c>
      <c r="D811" s="2">
        <v>162.16</v>
      </c>
      <c r="E811" s="2">
        <v>384.63</v>
      </c>
      <c r="F811" s="2">
        <v>539.67999999999995</v>
      </c>
      <c r="G811" s="2">
        <v>161.15</v>
      </c>
      <c r="H811" s="2">
        <v>264.02999999999997</v>
      </c>
      <c r="I811" s="2">
        <v>185.03</v>
      </c>
      <c r="J811" s="2">
        <v>222.66</v>
      </c>
      <c r="K811" s="2">
        <v>53.7</v>
      </c>
      <c r="L811" s="2">
        <v>292.06</v>
      </c>
      <c r="M811" s="64" t="s">
        <v>77</v>
      </c>
      <c r="N811" s="1"/>
      <c r="O811" s="12">
        <f t="shared" si="132"/>
        <v>-6.7106377196379796E-4</v>
      </c>
      <c r="P811" s="12">
        <f t="shared" si="133"/>
        <v>-3.2225146355873147E-3</v>
      </c>
      <c r="Q811" s="12">
        <f t="shared" si="134"/>
        <v>5.7681572908268031E-3</v>
      </c>
      <c r="R811" s="12">
        <f t="shared" si="135"/>
        <v>4.8593149933380264E-3</v>
      </c>
      <c r="S811" s="12">
        <f t="shared" si="136"/>
        <v>3.7943605386503432E-3</v>
      </c>
      <c r="T811" s="12">
        <f t="shared" si="137"/>
        <v>-4.4480138382653189E-3</v>
      </c>
      <c r="U811" s="12">
        <f t="shared" si="138"/>
        <v>-2.0033262775931426E-3</v>
      </c>
      <c r="V811" s="12">
        <f t="shared" si="139"/>
        <v>3.2437692598796808E-4</v>
      </c>
      <c r="W811" s="12">
        <f t="shared" si="140"/>
        <v>-2.2735252808988804E-2</v>
      </c>
      <c r="X811" s="12">
        <f t="shared" si="141"/>
        <v>-1.1160714285712858E-3</v>
      </c>
      <c r="Y811" s="12">
        <f t="shared" si="142"/>
        <v>-4.3974774160560059E-3</v>
      </c>
    </row>
    <row r="812" spans="1:25" x14ac:dyDescent="0.35">
      <c r="A812" s="6">
        <v>45303</v>
      </c>
      <c r="B812" s="8">
        <v>4783.83</v>
      </c>
      <c r="C812" s="2">
        <v>185.92</v>
      </c>
      <c r="D812" s="2">
        <v>165.8</v>
      </c>
      <c r="E812" s="2">
        <v>388.47</v>
      </c>
      <c r="F812" s="2">
        <v>521.51</v>
      </c>
      <c r="G812" s="2">
        <v>162.38999999999999</v>
      </c>
      <c r="H812" s="2">
        <v>264.17</v>
      </c>
      <c r="I812" s="2">
        <v>182.04</v>
      </c>
      <c r="J812" s="2">
        <v>217.7</v>
      </c>
      <c r="K812" s="2">
        <v>53.77</v>
      </c>
      <c r="L812" s="2">
        <v>290.41000000000003</v>
      </c>
      <c r="M812" s="64" t="s">
        <v>77</v>
      </c>
      <c r="N812" s="1"/>
      <c r="O812" s="12">
        <f t="shared" si="132"/>
        <v>7.5100831757413111E-4</v>
      </c>
      <c r="P812" s="12">
        <f t="shared" si="133"/>
        <v>1.7781130448837335E-3</v>
      </c>
      <c r="Q812" s="12">
        <f t="shared" si="134"/>
        <v>2.2446965959546317E-2</v>
      </c>
      <c r="R812" s="12">
        <f t="shared" si="135"/>
        <v>9.9836206224164226E-3</v>
      </c>
      <c r="S812" s="12">
        <f t="shared" si="136"/>
        <v>-3.3668099614586389E-2</v>
      </c>
      <c r="T812" s="12">
        <f t="shared" si="137"/>
        <v>7.6946943841140758E-3</v>
      </c>
      <c r="U812" s="12">
        <f t="shared" si="138"/>
        <v>5.3024277544233556E-4</v>
      </c>
      <c r="V812" s="12">
        <f t="shared" si="139"/>
        <v>-1.6159541695941249E-2</v>
      </c>
      <c r="W812" s="12">
        <f t="shared" si="140"/>
        <v>-2.2276116051378803E-2</v>
      </c>
      <c r="X812" s="12">
        <f t="shared" si="141"/>
        <v>1.3035381750465813E-3</v>
      </c>
      <c r="Y812" s="12">
        <f t="shared" si="142"/>
        <v>-5.6495240703964278E-3</v>
      </c>
    </row>
    <row r="813" spans="1:25" x14ac:dyDescent="0.35">
      <c r="A813" s="6">
        <v>45307</v>
      </c>
      <c r="B813" s="8">
        <v>4765.9799999999996</v>
      </c>
      <c r="C813" s="2">
        <v>183.63</v>
      </c>
      <c r="D813" s="2">
        <v>166.96</v>
      </c>
      <c r="E813" s="2">
        <v>390.27</v>
      </c>
      <c r="F813" s="2">
        <v>519.15</v>
      </c>
      <c r="G813" s="2">
        <v>160.52000000000001</v>
      </c>
      <c r="H813" s="2">
        <v>265.24</v>
      </c>
      <c r="I813" s="2">
        <v>180.97</v>
      </c>
      <c r="J813" s="2">
        <v>200.52</v>
      </c>
      <c r="K813" s="2">
        <v>53.94</v>
      </c>
      <c r="L813" s="2">
        <v>287.23</v>
      </c>
      <c r="M813" s="64" t="s">
        <v>77</v>
      </c>
      <c r="N813" s="1"/>
      <c r="O813" s="12">
        <f t="shared" si="132"/>
        <v>-3.7313198838587747E-3</v>
      </c>
      <c r="P813" s="12">
        <f t="shared" si="133"/>
        <v>-1.2317125645438853E-2</v>
      </c>
      <c r="Q813" s="12">
        <f t="shared" si="134"/>
        <v>6.9963811821471822E-3</v>
      </c>
      <c r="R813" s="12">
        <f t="shared" si="135"/>
        <v>4.6335624372537687E-3</v>
      </c>
      <c r="S813" s="12">
        <f t="shared" si="136"/>
        <v>-4.5253207033422171E-3</v>
      </c>
      <c r="T813" s="12">
        <f t="shared" si="137"/>
        <v>-1.1515487406859926E-2</v>
      </c>
      <c r="U813" s="12">
        <f t="shared" si="138"/>
        <v>4.0504220766930388E-3</v>
      </c>
      <c r="V813" s="12">
        <f t="shared" si="139"/>
        <v>-5.8778290485607121E-3</v>
      </c>
      <c r="W813" s="12">
        <f t="shared" si="140"/>
        <v>-7.8915939366100085E-2</v>
      </c>
      <c r="X813" s="12">
        <f t="shared" si="141"/>
        <v>3.1616142830572791E-3</v>
      </c>
      <c r="Y813" s="12">
        <f t="shared" si="142"/>
        <v>-1.095003615577983E-2</v>
      </c>
    </row>
    <row r="814" spans="1:25" x14ac:dyDescent="0.35">
      <c r="A814" s="6">
        <v>45308</v>
      </c>
      <c r="B814" s="8">
        <v>4739.21</v>
      </c>
      <c r="C814" s="2">
        <v>182.68</v>
      </c>
      <c r="D814" s="2">
        <v>166.08</v>
      </c>
      <c r="E814" s="2">
        <v>389.47</v>
      </c>
      <c r="F814" s="2">
        <v>524.94000000000005</v>
      </c>
      <c r="G814" s="2">
        <v>160.43</v>
      </c>
      <c r="H814" s="2">
        <v>266.63</v>
      </c>
      <c r="I814" s="2">
        <v>181</v>
      </c>
      <c r="J814" s="2">
        <v>203.06</v>
      </c>
      <c r="K814" s="2">
        <v>53.69</v>
      </c>
      <c r="L814" s="2">
        <v>278.63</v>
      </c>
      <c r="M814" s="64" t="s">
        <v>77</v>
      </c>
      <c r="N814" s="1"/>
      <c r="O814" s="12">
        <f t="shared" si="132"/>
        <v>-5.6168930629166836E-3</v>
      </c>
      <c r="P814" s="12">
        <f t="shared" si="133"/>
        <v>-5.1734466045852967E-3</v>
      </c>
      <c r="Q814" s="12">
        <f t="shared" si="134"/>
        <v>-5.2707235265931907E-3</v>
      </c>
      <c r="R814" s="12">
        <f t="shared" si="135"/>
        <v>-2.0498629154174219E-3</v>
      </c>
      <c r="S814" s="12">
        <f t="shared" si="136"/>
        <v>1.1152845998266603E-2</v>
      </c>
      <c r="T814" s="12">
        <f t="shared" si="137"/>
        <v>-5.6067779715929245E-4</v>
      </c>
      <c r="U814" s="12">
        <f t="shared" si="138"/>
        <v>5.2405368722665546E-3</v>
      </c>
      <c r="V814" s="12">
        <f t="shared" si="139"/>
        <v>1.657733325965971E-4</v>
      </c>
      <c r="W814" s="12">
        <f t="shared" si="140"/>
        <v>1.2667065629363705E-2</v>
      </c>
      <c r="X814" s="12">
        <f t="shared" si="141"/>
        <v>-4.6347793845012975E-3</v>
      </c>
      <c r="Y814" s="12">
        <f t="shared" si="142"/>
        <v>-2.9941162134874522E-2</v>
      </c>
    </row>
    <row r="815" spans="1:25" x14ac:dyDescent="0.35">
      <c r="A815" s="6">
        <v>45309</v>
      </c>
      <c r="B815" s="8">
        <v>4780.9399999999996</v>
      </c>
      <c r="C815" s="2">
        <v>188.63</v>
      </c>
      <c r="D815" s="2">
        <v>166.84</v>
      </c>
      <c r="E815" s="2">
        <v>393.87</v>
      </c>
      <c r="F815" s="2">
        <v>516.34</v>
      </c>
      <c r="G815" s="2">
        <v>161.21</v>
      </c>
      <c r="H815" s="2">
        <v>268.14</v>
      </c>
      <c r="I815" s="2">
        <v>179.79</v>
      </c>
      <c r="J815" s="2">
        <v>211.61</v>
      </c>
      <c r="K815" s="2">
        <v>54.41</v>
      </c>
      <c r="L815" s="2">
        <v>281.89999999999998</v>
      </c>
      <c r="M815" s="64">
        <v>11.25</v>
      </c>
      <c r="N815" s="1"/>
      <c r="O815" s="12">
        <f t="shared" si="132"/>
        <v>8.8052650125229892E-3</v>
      </c>
      <c r="P815" s="12">
        <f t="shared" si="133"/>
        <v>3.257061528355587E-2</v>
      </c>
      <c r="Q815" s="12">
        <f t="shared" si="134"/>
        <v>4.5761078998072247E-3</v>
      </c>
      <c r="R815" s="12">
        <f t="shared" si="135"/>
        <v>1.1297404164633873E-2</v>
      </c>
      <c r="S815" s="12">
        <f t="shared" si="136"/>
        <v>-1.6382824703775722E-2</v>
      </c>
      <c r="T815" s="12">
        <f t="shared" si="137"/>
        <v>4.8619335535746711E-3</v>
      </c>
      <c r="U815" s="12">
        <f t="shared" si="138"/>
        <v>5.6632787008212837E-3</v>
      </c>
      <c r="V815" s="12">
        <f t="shared" si="139"/>
        <v>-6.6850828729282386E-3</v>
      </c>
      <c r="W815" s="12">
        <f t="shared" si="140"/>
        <v>4.2105781542401299E-2</v>
      </c>
      <c r="X815" s="12">
        <f t="shared" si="141"/>
        <v>1.3410318495064244E-2</v>
      </c>
      <c r="Y815" s="12">
        <f t="shared" si="142"/>
        <v>1.1735993970498404E-2</v>
      </c>
    </row>
    <row r="816" spans="1:25" x14ac:dyDescent="0.35">
      <c r="A816" s="6">
        <v>45310</v>
      </c>
      <c r="B816" s="8">
        <v>4839.8100000000004</v>
      </c>
      <c r="C816" s="2">
        <v>191.56</v>
      </c>
      <c r="D816" s="2">
        <v>171.48</v>
      </c>
      <c r="E816" s="2">
        <v>398.67</v>
      </c>
      <c r="F816" s="2">
        <v>503.56</v>
      </c>
      <c r="G816" s="2">
        <v>161.68</v>
      </c>
      <c r="H816" s="2">
        <v>270.89999999999998</v>
      </c>
      <c r="I816" s="2">
        <v>183.17</v>
      </c>
      <c r="J816" s="2">
        <v>215.02</v>
      </c>
      <c r="K816" s="2">
        <v>54.13</v>
      </c>
      <c r="L816" s="2">
        <v>285.27999999999997</v>
      </c>
      <c r="M816" s="64" t="s">
        <v>77</v>
      </c>
      <c r="N816" s="1"/>
      <c r="O816" s="12">
        <f t="shared" si="132"/>
        <v>1.2313478102632613E-2</v>
      </c>
      <c r="P816" s="12">
        <f t="shared" si="133"/>
        <v>1.5533054127127244E-2</v>
      </c>
      <c r="Q816" s="12">
        <f t="shared" si="134"/>
        <v>2.7811076480460217E-2</v>
      </c>
      <c r="R816" s="12">
        <f t="shared" si="135"/>
        <v>1.2186762129636763E-2</v>
      </c>
      <c r="S816" s="12">
        <f t="shared" si="136"/>
        <v>-2.4751132974396794E-2</v>
      </c>
      <c r="T816" s="12">
        <f t="shared" si="137"/>
        <v>2.9154518950438302E-3</v>
      </c>
      <c r="U816" s="12">
        <f t="shared" si="138"/>
        <v>1.0293130454240185E-2</v>
      </c>
      <c r="V816" s="12">
        <f t="shared" si="139"/>
        <v>1.8799710773680367E-2</v>
      </c>
      <c r="W816" s="12">
        <f t="shared" si="140"/>
        <v>1.6114550352062773E-2</v>
      </c>
      <c r="X816" s="12">
        <f t="shared" si="141"/>
        <v>-5.1461128469030282E-3</v>
      </c>
      <c r="Y816" s="12">
        <f t="shared" si="142"/>
        <v>1.1990067399787252E-2</v>
      </c>
    </row>
    <row r="817" spans="1:25" x14ac:dyDescent="0.35">
      <c r="A817" s="6">
        <v>45313</v>
      </c>
      <c r="B817" s="8">
        <v>4850.43</v>
      </c>
      <c r="C817" s="2">
        <v>193.89</v>
      </c>
      <c r="D817" s="2">
        <v>172.83</v>
      </c>
      <c r="E817" s="2">
        <v>396.51</v>
      </c>
      <c r="F817" s="2">
        <v>512.99</v>
      </c>
      <c r="G817" s="2">
        <v>162.47</v>
      </c>
      <c r="H817" s="2">
        <v>271.2</v>
      </c>
      <c r="I817" s="2">
        <v>185.01</v>
      </c>
      <c r="J817" s="2">
        <v>214.93</v>
      </c>
      <c r="K817" s="2">
        <v>54.13</v>
      </c>
      <c r="L817" s="2">
        <v>288.67</v>
      </c>
      <c r="M817" s="64" t="s">
        <v>77</v>
      </c>
      <c r="N817" s="1"/>
      <c r="O817" s="12">
        <f t="shared" si="132"/>
        <v>2.194301015948863E-3</v>
      </c>
      <c r="P817" s="12">
        <f t="shared" si="133"/>
        <v>1.2163290874921628E-2</v>
      </c>
      <c r="Q817" s="12">
        <f t="shared" si="134"/>
        <v>7.8726382085376745E-3</v>
      </c>
      <c r="R817" s="12">
        <f t="shared" si="135"/>
        <v>-5.4180148995410793E-3</v>
      </c>
      <c r="S817" s="12">
        <f t="shared" si="136"/>
        <v>1.8726666137103942E-2</v>
      </c>
      <c r="T817" s="12">
        <f t="shared" si="137"/>
        <v>4.8861949529934723E-3</v>
      </c>
      <c r="U817" s="12">
        <f t="shared" si="138"/>
        <v>1.1074197120708451E-3</v>
      </c>
      <c r="V817" s="12">
        <f t="shared" si="139"/>
        <v>1.0045313097122976E-2</v>
      </c>
      <c r="W817" s="12">
        <f t="shared" si="140"/>
        <v>-4.1856571481724281E-4</v>
      </c>
      <c r="X817" s="12">
        <f t="shared" si="141"/>
        <v>0</v>
      </c>
      <c r="Y817" s="12">
        <f t="shared" si="142"/>
        <v>1.1883062254627097E-2</v>
      </c>
    </row>
    <row r="818" spans="1:25" x14ac:dyDescent="0.35">
      <c r="A818" s="6">
        <v>45314</v>
      </c>
      <c r="B818" s="8">
        <v>4864.6000000000004</v>
      </c>
      <c r="C818" s="2">
        <v>195.18</v>
      </c>
      <c r="D818" s="2">
        <v>173.94</v>
      </c>
      <c r="E818" s="2">
        <v>398.9</v>
      </c>
      <c r="F818" s="2">
        <v>515.52</v>
      </c>
      <c r="G818" s="2">
        <v>159.81</v>
      </c>
      <c r="H818" s="2">
        <v>271.26</v>
      </c>
      <c r="I818" s="2">
        <v>185.47</v>
      </c>
      <c r="J818" s="2">
        <v>211.5</v>
      </c>
      <c r="K818" s="2">
        <v>54.27</v>
      </c>
      <c r="L818" s="2">
        <v>288.83</v>
      </c>
      <c r="M818" s="64" t="s">
        <v>77</v>
      </c>
      <c r="N818" s="1"/>
      <c r="O818" s="12">
        <f t="shared" si="132"/>
        <v>2.9213904746590025E-3</v>
      </c>
      <c r="P818" s="12">
        <f t="shared" si="133"/>
        <v>6.6532570013926318E-3</v>
      </c>
      <c r="Q818" s="12">
        <f t="shared" si="134"/>
        <v>6.4224960944279097E-3</v>
      </c>
      <c r="R818" s="12">
        <f t="shared" si="135"/>
        <v>6.0275907291114095E-3</v>
      </c>
      <c r="S818" s="12">
        <f t="shared" si="136"/>
        <v>4.9318700169593832E-3</v>
      </c>
      <c r="T818" s="12">
        <f t="shared" si="137"/>
        <v>-1.6372253339077991E-2</v>
      </c>
      <c r="U818" s="12">
        <f t="shared" si="138"/>
        <v>2.2123893805314765E-4</v>
      </c>
      <c r="V818" s="12">
        <f t="shared" si="139"/>
        <v>2.4863520890763269E-3</v>
      </c>
      <c r="W818" s="12">
        <f t="shared" si="140"/>
        <v>-1.5958684222770247E-2</v>
      </c>
      <c r="X818" s="12">
        <f t="shared" si="141"/>
        <v>2.5863661555514117E-3</v>
      </c>
      <c r="Y818" s="12">
        <f t="shared" si="142"/>
        <v>5.542661170192531E-4</v>
      </c>
    </row>
    <row r="819" spans="1:25" x14ac:dyDescent="0.35">
      <c r="A819" s="6">
        <v>45315</v>
      </c>
      <c r="B819" s="8">
        <v>4868.55</v>
      </c>
      <c r="C819" s="2">
        <v>194.5</v>
      </c>
      <c r="D819" s="2">
        <v>173.93</v>
      </c>
      <c r="E819" s="2">
        <v>402.56</v>
      </c>
      <c r="F819" s="2">
        <v>513.23</v>
      </c>
      <c r="G819" s="2">
        <v>158.96</v>
      </c>
      <c r="H819" s="2">
        <v>271.64999999999998</v>
      </c>
      <c r="I819" s="2">
        <v>185.82</v>
      </c>
      <c r="J819" s="2">
        <v>214.13</v>
      </c>
      <c r="K819" s="2">
        <v>53.5</v>
      </c>
      <c r="L819" s="2">
        <v>290.68</v>
      </c>
      <c r="M819" s="64" t="s">
        <v>77</v>
      </c>
      <c r="N819" s="1"/>
      <c r="O819" s="12">
        <f t="shared" si="132"/>
        <v>8.1198865271558951E-4</v>
      </c>
      <c r="P819" s="12">
        <f t="shared" si="133"/>
        <v>-3.4839635208525621E-3</v>
      </c>
      <c r="Q819" s="12">
        <f t="shared" si="134"/>
        <v>-5.7491088881200803E-5</v>
      </c>
      <c r="R819" s="12">
        <f t="shared" si="135"/>
        <v>9.1752318876912042E-3</v>
      </c>
      <c r="S819" s="12">
        <f t="shared" si="136"/>
        <v>-4.4421166977032245E-3</v>
      </c>
      <c r="T819" s="12">
        <f t="shared" si="137"/>
        <v>-5.3188160941116669E-3</v>
      </c>
      <c r="U819" s="12">
        <f t="shared" si="138"/>
        <v>1.4377350143772727E-3</v>
      </c>
      <c r="V819" s="12">
        <f t="shared" si="139"/>
        <v>1.8870976438236653E-3</v>
      </c>
      <c r="W819" s="12">
        <f t="shared" si="140"/>
        <v>1.2434988179669038E-2</v>
      </c>
      <c r="X819" s="12">
        <f t="shared" si="141"/>
        <v>-1.4188317670904782E-2</v>
      </c>
      <c r="Y819" s="12">
        <f t="shared" si="142"/>
        <v>6.4051518194094825E-3</v>
      </c>
    </row>
    <row r="820" spans="1:25" x14ac:dyDescent="0.35">
      <c r="A820" s="6">
        <v>45316</v>
      </c>
      <c r="B820" s="8">
        <v>4894.16</v>
      </c>
      <c r="C820" s="2">
        <v>194.17</v>
      </c>
      <c r="D820" s="2">
        <v>190.43</v>
      </c>
      <c r="E820" s="2">
        <v>404.87</v>
      </c>
      <c r="F820" s="2">
        <v>493.4</v>
      </c>
      <c r="G820" s="2">
        <v>159.56</v>
      </c>
      <c r="H820" s="2">
        <v>272.61</v>
      </c>
      <c r="I820" s="2">
        <v>188.07</v>
      </c>
      <c r="J820" s="2">
        <v>201.88</v>
      </c>
      <c r="K820" s="2">
        <v>54.28</v>
      </c>
      <c r="L820" s="2">
        <v>300.77</v>
      </c>
      <c r="M820" s="64">
        <v>11.25</v>
      </c>
      <c r="N820" s="1"/>
      <c r="O820" s="12">
        <f t="shared" si="132"/>
        <v>5.2602931057501578E-3</v>
      </c>
      <c r="P820" s="12">
        <f t="shared" si="133"/>
        <v>-1.6966580976864876E-3</v>
      </c>
      <c r="Q820" s="12">
        <f t="shared" si="134"/>
        <v>9.4865750589317566E-2</v>
      </c>
      <c r="R820" s="12">
        <f t="shared" si="135"/>
        <v>5.7382750397456661E-3</v>
      </c>
      <c r="S820" s="12">
        <f t="shared" si="136"/>
        <v>-3.8637647838201228E-2</v>
      </c>
      <c r="T820" s="12">
        <f t="shared" si="137"/>
        <v>3.7745344740816034E-3</v>
      </c>
      <c r="U820" s="12">
        <f t="shared" si="138"/>
        <v>3.5339591385976643E-3</v>
      </c>
      <c r="V820" s="12">
        <f t="shared" si="139"/>
        <v>1.2108492089118572E-2</v>
      </c>
      <c r="W820" s="12">
        <f t="shared" si="140"/>
        <v>-5.7208237986270061E-2</v>
      </c>
      <c r="X820" s="12">
        <f t="shared" si="141"/>
        <v>1.4579439252336401E-2</v>
      </c>
      <c r="Y820" s="12">
        <f t="shared" si="142"/>
        <v>3.4711710471996504E-2</v>
      </c>
    </row>
    <row r="821" spans="1:25" x14ac:dyDescent="0.35">
      <c r="A821" s="6">
        <v>45317</v>
      </c>
      <c r="B821" s="8">
        <v>4890.97</v>
      </c>
      <c r="C821" s="2">
        <v>192.42</v>
      </c>
      <c r="D821" s="2">
        <v>187.42</v>
      </c>
      <c r="E821" s="2">
        <v>403.93</v>
      </c>
      <c r="F821" s="2">
        <v>503.2</v>
      </c>
      <c r="G821" s="2">
        <v>159.5</v>
      </c>
      <c r="H821" s="2">
        <v>267.94</v>
      </c>
      <c r="I821" s="2">
        <v>201.43</v>
      </c>
      <c r="J821" s="2">
        <v>205.47</v>
      </c>
      <c r="K821" s="2">
        <v>54.76</v>
      </c>
      <c r="L821" s="2">
        <v>299.43</v>
      </c>
      <c r="M821" s="64" t="s">
        <v>77</v>
      </c>
      <c r="N821" s="1"/>
      <c r="O821" s="12">
        <f t="shared" si="132"/>
        <v>-6.517972440622799E-4</v>
      </c>
      <c r="P821" s="12">
        <f t="shared" si="133"/>
        <v>-9.0127208116599355E-3</v>
      </c>
      <c r="Q821" s="12">
        <f t="shared" si="134"/>
        <v>-1.5806333035761289E-2</v>
      </c>
      <c r="R821" s="12">
        <f t="shared" si="135"/>
        <v>-2.3217329019191713E-3</v>
      </c>
      <c r="S821" s="12">
        <f t="shared" si="136"/>
        <v>1.9862180786380135E-2</v>
      </c>
      <c r="T821" s="12">
        <f t="shared" si="137"/>
        <v>-3.760340937578599E-4</v>
      </c>
      <c r="U821" s="12">
        <f t="shared" si="138"/>
        <v>-1.7130699534133043E-2</v>
      </c>
      <c r="V821" s="12">
        <f t="shared" si="139"/>
        <v>7.103737969904822E-2</v>
      </c>
      <c r="W821" s="12">
        <f t="shared" si="140"/>
        <v>1.7782841291856588E-2</v>
      </c>
      <c r="X821" s="12">
        <f t="shared" si="141"/>
        <v>8.8430361090641174E-3</v>
      </c>
      <c r="Y821" s="12">
        <f t="shared" si="142"/>
        <v>-4.4552315722976576E-3</v>
      </c>
    </row>
    <row r="822" spans="1:25" x14ac:dyDescent="0.35">
      <c r="A822" s="6">
        <v>45320</v>
      </c>
      <c r="B822" s="8">
        <v>4927.93</v>
      </c>
      <c r="C822" s="2">
        <v>191.73</v>
      </c>
      <c r="D822" s="2">
        <v>187.14</v>
      </c>
      <c r="E822" s="2">
        <v>409.72</v>
      </c>
      <c r="F822" s="2">
        <v>504.54</v>
      </c>
      <c r="G822" s="2">
        <v>159.36000000000001</v>
      </c>
      <c r="H822" s="2">
        <v>273.66000000000003</v>
      </c>
      <c r="I822" s="2">
        <v>200.86</v>
      </c>
      <c r="J822" s="2">
        <v>205.19</v>
      </c>
      <c r="K822" s="2">
        <v>55.01</v>
      </c>
      <c r="L822" s="2">
        <v>303.25</v>
      </c>
      <c r="M822" s="64" t="s">
        <v>77</v>
      </c>
      <c r="N822" s="1"/>
      <c r="O822" s="12">
        <f t="shared" si="132"/>
        <v>7.5567832147815928E-3</v>
      </c>
      <c r="P822" s="12">
        <f t="shared" si="133"/>
        <v>-3.5859058309947178E-3</v>
      </c>
      <c r="Q822" s="12">
        <f t="shared" si="134"/>
        <v>-1.4939707608579988E-3</v>
      </c>
      <c r="R822" s="12">
        <f t="shared" si="135"/>
        <v>1.4334166811081239E-2</v>
      </c>
      <c r="S822" s="12">
        <f t="shared" si="136"/>
        <v>2.6629570747218612E-3</v>
      </c>
      <c r="T822" s="12">
        <f t="shared" si="137"/>
        <v>-8.7774294670839303E-4</v>
      </c>
      <c r="U822" s="12">
        <f t="shared" si="138"/>
        <v>2.1348062999179129E-2</v>
      </c>
      <c r="V822" s="12">
        <f t="shared" si="139"/>
        <v>-2.8297671647719014E-3</v>
      </c>
      <c r="W822" s="12">
        <f t="shared" si="140"/>
        <v>-1.3627293522169293E-3</v>
      </c>
      <c r="X822" s="12">
        <f t="shared" si="141"/>
        <v>4.565376186997705E-3</v>
      </c>
      <c r="Y822" s="12">
        <f t="shared" si="142"/>
        <v>1.2757572721504129E-2</v>
      </c>
    </row>
    <row r="823" spans="1:25" x14ac:dyDescent="0.35">
      <c r="A823" s="6">
        <v>45321</v>
      </c>
      <c r="B823" s="8">
        <v>4924.97</v>
      </c>
      <c r="C823" s="2">
        <v>188.04</v>
      </c>
      <c r="D823" s="2">
        <v>187.87</v>
      </c>
      <c r="E823" s="2">
        <v>408.59</v>
      </c>
      <c r="F823" s="2">
        <v>503.61</v>
      </c>
      <c r="G823" s="2">
        <v>158.77000000000001</v>
      </c>
      <c r="H823" s="2">
        <v>277.14999999999998</v>
      </c>
      <c r="I823" s="2">
        <v>204.15</v>
      </c>
      <c r="J823" s="2">
        <v>200.44</v>
      </c>
      <c r="K823" s="2">
        <v>55.2</v>
      </c>
      <c r="L823" s="2">
        <v>304.76</v>
      </c>
      <c r="M823" s="64" t="s">
        <v>77</v>
      </c>
      <c r="N823" s="1"/>
      <c r="O823" s="12">
        <f t="shared" si="132"/>
        <v>-6.0065788272156695E-4</v>
      </c>
      <c r="P823" s="12">
        <f t="shared" si="133"/>
        <v>-1.9245814426537278E-2</v>
      </c>
      <c r="Q823" s="12">
        <f t="shared" si="134"/>
        <v>3.9008229133270511E-3</v>
      </c>
      <c r="R823" s="12">
        <f t="shared" si="135"/>
        <v>-2.7579810602363919E-3</v>
      </c>
      <c r="S823" s="12">
        <f t="shared" si="136"/>
        <v>-1.8432631704126123E-3</v>
      </c>
      <c r="T823" s="12">
        <f t="shared" si="137"/>
        <v>-3.7023092369478094E-3</v>
      </c>
      <c r="U823" s="12">
        <f t="shared" si="138"/>
        <v>1.2753051231454871E-2</v>
      </c>
      <c r="V823" s="12">
        <f t="shared" si="139"/>
        <v>1.6379567858209709E-2</v>
      </c>
      <c r="W823" s="12">
        <f t="shared" si="140"/>
        <v>-2.3149276280520548E-2</v>
      </c>
      <c r="X823" s="12">
        <f t="shared" si="141"/>
        <v>3.4539174695511488E-3</v>
      </c>
      <c r="Y823" s="12">
        <f t="shared" si="142"/>
        <v>4.9793899422918564E-3</v>
      </c>
    </row>
    <row r="824" spans="1:25" x14ac:dyDescent="0.35">
      <c r="A824" s="6">
        <v>45322</v>
      </c>
      <c r="B824" s="8">
        <v>4845.6499999999996</v>
      </c>
      <c r="C824" s="2">
        <v>184.4</v>
      </c>
      <c r="D824" s="2">
        <v>183.66</v>
      </c>
      <c r="E824" s="2">
        <v>397.58</v>
      </c>
      <c r="F824" s="2">
        <v>511.74</v>
      </c>
      <c r="G824" s="2">
        <v>158.9</v>
      </c>
      <c r="H824" s="2">
        <v>273.26</v>
      </c>
      <c r="I824" s="2">
        <v>200.74</v>
      </c>
      <c r="J824" s="2">
        <v>211.04</v>
      </c>
      <c r="K824" s="2">
        <v>55.08</v>
      </c>
      <c r="L824" s="2">
        <v>300.31</v>
      </c>
      <c r="M824" s="64" t="s">
        <v>77</v>
      </c>
      <c r="N824" s="1"/>
      <c r="O824" s="12">
        <f t="shared" si="132"/>
        <v>-1.6105681862021659E-2</v>
      </c>
      <c r="P824" s="12">
        <f t="shared" si="133"/>
        <v>-1.9357583492873753E-2</v>
      </c>
      <c r="Q824" s="12">
        <f t="shared" si="134"/>
        <v>-2.2409112684303012E-2</v>
      </c>
      <c r="R824" s="12">
        <f t="shared" si="135"/>
        <v>-2.6946327614479015E-2</v>
      </c>
      <c r="S824" s="12">
        <f t="shared" si="136"/>
        <v>1.6143444331923495E-2</v>
      </c>
      <c r="T824" s="12">
        <f t="shared" si="137"/>
        <v>8.1879448258481702E-4</v>
      </c>
      <c r="U824" s="12">
        <f t="shared" si="138"/>
        <v>-1.4035720728847179E-2</v>
      </c>
      <c r="V824" s="12">
        <f t="shared" si="139"/>
        <v>-1.6703404359539542E-2</v>
      </c>
      <c r="W824" s="12">
        <f t="shared" si="140"/>
        <v>5.2883655956894815E-2</v>
      </c>
      <c r="X824" s="12">
        <f t="shared" si="141"/>
        <v>-2.1739130434783593E-3</v>
      </c>
      <c r="Y824" s="12">
        <f t="shared" si="142"/>
        <v>-1.4601653760335953E-2</v>
      </c>
    </row>
    <row r="825" spans="1:25" x14ac:dyDescent="0.35">
      <c r="A825" s="6">
        <v>45323</v>
      </c>
      <c r="B825" s="8">
        <v>4906.1899999999996</v>
      </c>
      <c r="C825" s="2">
        <v>186.86</v>
      </c>
      <c r="D825" s="2">
        <v>186.9</v>
      </c>
      <c r="E825" s="2">
        <v>403.78</v>
      </c>
      <c r="F825" s="2">
        <v>507.14</v>
      </c>
      <c r="G825" s="2">
        <v>158.36000000000001</v>
      </c>
      <c r="H825" s="2">
        <v>277.05</v>
      </c>
      <c r="I825" s="2">
        <v>203.22</v>
      </c>
      <c r="J825" s="2">
        <v>209.81</v>
      </c>
      <c r="K825" s="2">
        <v>56.1</v>
      </c>
      <c r="L825" s="2">
        <v>307.69</v>
      </c>
      <c r="M825" s="64">
        <v>11.2</v>
      </c>
      <c r="N825" s="1"/>
      <c r="O825" s="12">
        <f t="shared" si="132"/>
        <v>1.2493679898465615E-2</v>
      </c>
      <c r="P825" s="12">
        <f t="shared" si="133"/>
        <v>1.3340563991323329E-2</v>
      </c>
      <c r="Q825" s="12">
        <f t="shared" si="134"/>
        <v>1.7641293694871107E-2</v>
      </c>
      <c r="R825" s="12">
        <f t="shared" si="135"/>
        <v>1.5594345792041775E-2</v>
      </c>
      <c r="S825" s="12">
        <f t="shared" si="136"/>
        <v>-8.9889396959393908E-3</v>
      </c>
      <c r="T825" s="12">
        <f t="shared" si="137"/>
        <v>-3.3983637507866149E-3</v>
      </c>
      <c r="U825" s="12">
        <f t="shared" si="138"/>
        <v>1.3869574763961223E-2</v>
      </c>
      <c r="V825" s="12">
        <f t="shared" si="139"/>
        <v>1.2354289130218188E-2</v>
      </c>
      <c r="W825" s="12">
        <f t="shared" si="140"/>
        <v>-5.828278999241765E-3</v>
      </c>
      <c r="X825" s="12">
        <f t="shared" si="141"/>
        <v>1.8518518518518601E-2</v>
      </c>
      <c r="Y825" s="12">
        <f t="shared" si="142"/>
        <v>2.4574606240218344E-2</v>
      </c>
    </row>
    <row r="826" spans="1:25" x14ac:dyDescent="0.35">
      <c r="A826" s="6">
        <v>45324</v>
      </c>
      <c r="B826" s="8">
        <v>4958.6099999999997</v>
      </c>
      <c r="C826" s="2">
        <v>185.85</v>
      </c>
      <c r="D826" s="2">
        <v>185.79</v>
      </c>
      <c r="E826" s="2">
        <v>411.22</v>
      </c>
      <c r="F826" s="2">
        <v>510.23</v>
      </c>
      <c r="G826" s="2">
        <v>156.61000000000001</v>
      </c>
      <c r="H826" s="2">
        <v>277.18</v>
      </c>
      <c r="I826" s="2">
        <v>206.41</v>
      </c>
      <c r="J826" s="2">
        <v>209.38</v>
      </c>
      <c r="K826" s="2">
        <v>56.52</v>
      </c>
      <c r="L826" s="2">
        <v>315.08999999999997</v>
      </c>
      <c r="M826" s="64" t="s">
        <v>77</v>
      </c>
      <c r="N826" s="1"/>
      <c r="O826" s="12">
        <f t="shared" si="132"/>
        <v>1.0684461873673889E-2</v>
      </c>
      <c r="P826" s="12">
        <f t="shared" si="133"/>
        <v>-5.4051161297229422E-3</v>
      </c>
      <c r="Q826" s="12">
        <f t="shared" si="134"/>
        <v>-5.9390048154094321E-3</v>
      </c>
      <c r="R826" s="12">
        <f t="shared" si="135"/>
        <v>1.8425875476744791E-2</v>
      </c>
      <c r="S826" s="12">
        <f t="shared" si="136"/>
        <v>6.0929920731949139E-3</v>
      </c>
      <c r="T826" s="12">
        <f t="shared" si="137"/>
        <v>-1.1050770396564769E-2</v>
      </c>
      <c r="U826" s="12">
        <f t="shared" si="138"/>
        <v>4.6922938097804234E-4</v>
      </c>
      <c r="V826" s="12">
        <f t="shared" si="139"/>
        <v>1.5697273890365127E-2</v>
      </c>
      <c r="W826" s="12">
        <f t="shared" si="140"/>
        <v>-2.0494733330156389E-3</v>
      </c>
      <c r="X826" s="12">
        <f t="shared" si="141"/>
        <v>7.4866310160428551E-3</v>
      </c>
      <c r="Y826" s="12">
        <f t="shared" si="142"/>
        <v>2.4050180376352648E-2</v>
      </c>
    </row>
    <row r="827" spans="1:25" x14ac:dyDescent="0.35">
      <c r="A827" s="6">
        <v>45327</v>
      </c>
      <c r="B827" s="8">
        <v>4942.8100000000004</v>
      </c>
      <c r="C827" s="2">
        <v>187.68</v>
      </c>
      <c r="D827" s="2">
        <v>183.42</v>
      </c>
      <c r="E827" s="2">
        <v>405.65</v>
      </c>
      <c r="F827" s="2">
        <v>502.96</v>
      </c>
      <c r="G827" s="2">
        <v>155.80000000000001</v>
      </c>
      <c r="H827" s="2">
        <v>275.58</v>
      </c>
      <c r="I827" s="2">
        <v>205.94</v>
      </c>
      <c r="J827" s="2">
        <v>206.63</v>
      </c>
      <c r="K827" s="2">
        <v>56.22</v>
      </c>
      <c r="L827" s="2">
        <v>321.39999999999998</v>
      </c>
      <c r="M827" s="64" t="s">
        <v>77</v>
      </c>
      <c r="N827" s="1"/>
      <c r="O827" s="12">
        <f t="shared" si="132"/>
        <v>-3.18637682737688E-3</v>
      </c>
      <c r="P827" s="12">
        <f t="shared" si="133"/>
        <v>9.8466505246166403E-3</v>
      </c>
      <c r="Q827" s="12">
        <f t="shared" si="134"/>
        <v>-1.2756337800742812E-2</v>
      </c>
      <c r="R827" s="12">
        <f t="shared" si="135"/>
        <v>-1.3545061037887329E-2</v>
      </c>
      <c r="S827" s="12">
        <f t="shared" si="136"/>
        <v>-1.4248476177410208E-2</v>
      </c>
      <c r="T827" s="12">
        <f t="shared" si="137"/>
        <v>-5.1720835195708803E-3</v>
      </c>
      <c r="U827" s="12">
        <f t="shared" si="138"/>
        <v>-5.7724222526878144E-3</v>
      </c>
      <c r="V827" s="12">
        <f t="shared" si="139"/>
        <v>-2.2770214621384843E-3</v>
      </c>
      <c r="W827" s="12">
        <f t="shared" si="140"/>
        <v>-1.3134014710096453E-2</v>
      </c>
      <c r="X827" s="12">
        <f t="shared" si="141"/>
        <v>-5.3078556263270738E-3</v>
      </c>
      <c r="Y827" s="12">
        <f t="shared" si="142"/>
        <v>2.0026024310514368E-2</v>
      </c>
    </row>
    <row r="828" spans="1:25" x14ac:dyDescent="0.35">
      <c r="A828" s="6">
        <v>45328</v>
      </c>
      <c r="B828" s="8">
        <v>4954.2299999999996</v>
      </c>
      <c r="C828" s="2">
        <v>189.3</v>
      </c>
      <c r="D828" s="2">
        <v>183.41</v>
      </c>
      <c r="E828" s="2">
        <v>405.49</v>
      </c>
      <c r="F828" s="2">
        <v>510.67</v>
      </c>
      <c r="G828" s="2">
        <v>158.06</v>
      </c>
      <c r="H828" s="2">
        <v>276.76</v>
      </c>
      <c r="I828" s="2">
        <v>205.65</v>
      </c>
      <c r="J828" s="2">
        <v>208.58</v>
      </c>
      <c r="K828" s="2">
        <v>56.6</v>
      </c>
      <c r="L828" s="2">
        <v>322.72000000000003</v>
      </c>
      <c r="M828" s="64" t="s">
        <v>77</v>
      </c>
      <c r="N828" s="1"/>
      <c r="O828" s="12">
        <f t="shared" si="132"/>
        <v>2.310426660138587E-3</v>
      </c>
      <c r="P828" s="12">
        <f t="shared" si="133"/>
        <v>8.6317135549871526E-3</v>
      </c>
      <c r="Q828" s="12">
        <f t="shared" si="134"/>
        <v>-5.4519681604969783E-5</v>
      </c>
      <c r="R828" s="12">
        <f t="shared" si="135"/>
        <v>-3.9442869468742092E-4</v>
      </c>
      <c r="S828" s="12">
        <f t="shared" si="136"/>
        <v>1.5329250835056429E-2</v>
      </c>
      <c r="T828" s="12">
        <f t="shared" si="137"/>
        <v>1.4505776636713597E-2</v>
      </c>
      <c r="U828" s="12">
        <f t="shared" si="138"/>
        <v>4.2818782204805395E-3</v>
      </c>
      <c r="V828" s="12">
        <f t="shared" si="139"/>
        <v>-1.4081771389724551E-3</v>
      </c>
      <c r="W828" s="12">
        <f t="shared" si="140"/>
        <v>9.4371582054881831E-3</v>
      </c>
      <c r="X828" s="12">
        <f t="shared" si="141"/>
        <v>6.7591604411241235E-3</v>
      </c>
      <c r="Y828" s="12">
        <f t="shared" si="142"/>
        <v>4.1070317361544539E-3</v>
      </c>
    </row>
    <row r="829" spans="1:25" x14ac:dyDescent="0.35">
      <c r="A829" s="6">
        <v>45329</v>
      </c>
      <c r="B829" s="8">
        <v>4995.0600000000004</v>
      </c>
      <c r="C829" s="2">
        <v>189.41</v>
      </c>
      <c r="D829" s="2">
        <v>183.74</v>
      </c>
      <c r="E829" s="2">
        <v>414.05</v>
      </c>
      <c r="F829" s="2">
        <v>519.39</v>
      </c>
      <c r="G829" s="2">
        <v>157.97999999999999</v>
      </c>
      <c r="H829" s="2">
        <v>279.39</v>
      </c>
      <c r="I829" s="2">
        <v>209.08</v>
      </c>
      <c r="J829" s="2">
        <v>211.92</v>
      </c>
      <c r="K829" s="2">
        <v>56.46</v>
      </c>
      <c r="L829" s="2">
        <v>323.58999999999997</v>
      </c>
      <c r="M829" s="64" t="s">
        <v>77</v>
      </c>
      <c r="N829" s="1"/>
      <c r="O829" s="12">
        <f t="shared" si="132"/>
        <v>8.2414421615468747E-3</v>
      </c>
      <c r="P829" s="12">
        <f t="shared" si="133"/>
        <v>5.8108821975699776E-4</v>
      </c>
      <c r="Q829" s="12">
        <f t="shared" si="134"/>
        <v>1.7992475873727098E-3</v>
      </c>
      <c r="R829" s="12">
        <f t="shared" si="135"/>
        <v>2.1110261658733975E-2</v>
      </c>
      <c r="S829" s="12">
        <f t="shared" si="136"/>
        <v>1.7075606556092859E-2</v>
      </c>
      <c r="T829" s="12">
        <f t="shared" si="137"/>
        <v>-5.0613691003420502E-4</v>
      </c>
      <c r="U829" s="12">
        <f t="shared" si="138"/>
        <v>9.5028183263476951E-3</v>
      </c>
      <c r="V829" s="12">
        <f t="shared" si="139"/>
        <v>1.6678823243374774E-2</v>
      </c>
      <c r="W829" s="12">
        <f t="shared" si="140"/>
        <v>1.6013040559976766E-2</v>
      </c>
      <c r="X829" s="12">
        <f t="shared" si="141"/>
        <v>-2.4734982332155209E-3</v>
      </c>
      <c r="Y829" s="12">
        <f t="shared" si="142"/>
        <v>2.695835399107338E-3</v>
      </c>
    </row>
    <row r="830" spans="1:25" x14ac:dyDescent="0.35">
      <c r="A830" s="6">
        <v>45330</v>
      </c>
      <c r="B830" s="8">
        <v>4997.91</v>
      </c>
      <c r="C830" s="2">
        <v>188.32</v>
      </c>
      <c r="D830" s="2">
        <v>184.36</v>
      </c>
      <c r="E830" s="2">
        <v>414.11</v>
      </c>
      <c r="F830" s="2">
        <v>520.09</v>
      </c>
      <c r="G830" s="2">
        <v>156.4</v>
      </c>
      <c r="H830" s="2">
        <v>275.77999999999997</v>
      </c>
      <c r="I830" s="2">
        <v>211.21</v>
      </c>
      <c r="J830" s="2">
        <v>209.22</v>
      </c>
      <c r="K830" s="2">
        <v>56.46</v>
      </c>
      <c r="L830" s="2">
        <v>322</v>
      </c>
      <c r="M830" s="64">
        <v>11.32</v>
      </c>
      <c r="N830" s="1"/>
      <c r="O830" s="12">
        <f t="shared" si="132"/>
        <v>5.7056371695218822E-4</v>
      </c>
      <c r="P830" s="12">
        <f t="shared" si="133"/>
        <v>-5.754712000422435E-3</v>
      </c>
      <c r="Q830" s="12">
        <f t="shared" si="134"/>
        <v>3.3743332970501694E-3</v>
      </c>
      <c r="R830" s="12">
        <f t="shared" si="135"/>
        <v>1.449100350199295E-4</v>
      </c>
      <c r="S830" s="12">
        <f t="shared" si="136"/>
        <v>1.3477348427963776E-3</v>
      </c>
      <c r="T830" s="12">
        <f t="shared" si="137"/>
        <v>-1.0001265983035745E-2</v>
      </c>
      <c r="U830" s="12">
        <f t="shared" si="138"/>
        <v>-1.2921006478399444E-2</v>
      </c>
      <c r="V830" s="12">
        <f t="shared" si="139"/>
        <v>1.0187488042854298E-2</v>
      </c>
      <c r="W830" s="12">
        <f t="shared" si="140"/>
        <v>-1.2740656851642052E-2</v>
      </c>
      <c r="X830" s="12">
        <f t="shared" si="141"/>
        <v>0</v>
      </c>
      <c r="Y830" s="12">
        <f t="shared" si="142"/>
        <v>-4.913625266540933E-3</v>
      </c>
    </row>
    <row r="831" spans="1:25" x14ac:dyDescent="0.35">
      <c r="A831" s="6">
        <v>45331</v>
      </c>
      <c r="B831" s="8">
        <v>5026.6099999999997</v>
      </c>
      <c r="C831" s="2">
        <v>188.85</v>
      </c>
      <c r="D831" s="2">
        <v>186.34</v>
      </c>
      <c r="E831" s="2">
        <v>420.55</v>
      </c>
      <c r="F831" s="2">
        <v>518.22</v>
      </c>
      <c r="G831" s="2">
        <v>156.76</v>
      </c>
      <c r="H831" s="2">
        <v>276.43</v>
      </c>
      <c r="I831" s="2">
        <v>212.47</v>
      </c>
      <c r="J831" s="2">
        <v>209.2</v>
      </c>
      <c r="K831" s="2">
        <v>56.43</v>
      </c>
      <c r="L831" s="2">
        <v>317.16000000000003</v>
      </c>
      <c r="M831" s="64" t="s">
        <v>77</v>
      </c>
      <c r="N831" s="1"/>
      <c r="O831" s="12">
        <f t="shared" si="132"/>
        <v>5.7424003233350618E-3</v>
      </c>
      <c r="P831" s="12">
        <f t="shared" si="133"/>
        <v>2.8143585386575243E-3</v>
      </c>
      <c r="Q831" s="12">
        <f t="shared" si="134"/>
        <v>1.0739856801909253E-2</v>
      </c>
      <c r="R831" s="12">
        <f t="shared" si="135"/>
        <v>1.5551423534809539E-2</v>
      </c>
      <c r="S831" s="12">
        <f t="shared" si="136"/>
        <v>-3.5955315426176027E-3</v>
      </c>
      <c r="T831" s="12">
        <f t="shared" si="137"/>
        <v>2.3017902813298186E-3</v>
      </c>
      <c r="U831" s="12">
        <f t="shared" si="138"/>
        <v>2.3569511929799614E-3</v>
      </c>
      <c r="V831" s="12">
        <f t="shared" si="139"/>
        <v>5.9656266275269765E-3</v>
      </c>
      <c r="W831" s="12">
        <f t="shared" si="140"/>
        <v>-9.5593155530093732E-5</v>
      </c>
      <c r="X831" s="12">
        <f t="shared" si="141"/>
        <v>-5.3134962805523323E-4</v>
      </c>
      <c r="Y831" s="12">
        <f t="shared" si="142"/>
        <v>-1.5031055900621038E-2</v>
      </c>
    </row>
    <row r="832" spans="1:25" x14ac:dyDescent="0.35">
      <c r="A832" s="6">
        <v>45334</v>
      </c>
      <c r="B832" s="8">
        <v>5021.84</v>
      </c>
      <c r="C832" s="2">
        <v>187.15</v>
      </c>
      <c r="D832" s="2">
        <v>186.16</v>
      </c>
      <c r="E832" s="2">
        <v>415.26</v>
      </c>
      <c r="F832" s="2">
        <v>517.64</v>
      </c>
      <c r="G832" s="2">
        <v>157.85</v>
      </c>
      <c r="H832" s="2">
        <v>275.07</v>
      </c>
      <c r="I832" s="2">
        <v>212.26</v>
      </c>
      <c r="J832" s="2">
        <v>209.33</v>
      </c>
      <c r="K832" s="2">
        <v>56.77</v>
      </c>
      <c r="L832" s="2">
        <v>321.63</v>
      </c>
      <c r="M832" s="64" t="s">
        <v>77</v>
      </c>
      <c r="N832" s="1"/>
      <c r="O832" s="12">
        <f t="shared" si="132"/>
        <v>-9.4894968975101079E-4</v>
      </c>
      <c r="P832" s="12">
        <f t="shared" si="133"/>
        <v>-9.0018533227428366E-3</v>
      </c>
      <c r="Q832" s="12">
        <f t="shared" si="134"/>
        <v>-9.6597617258775692E-4</v>
      </c>
      <c r="R832" s="12">
        <f t="shared" si="135"/>
        <v>-1.2578765901795297E-2</v>
      </c>
      <c r="S832" s="12">
        <f t="shared" si="136"/>
        <v>-1.1192157770831823E-3</v>
      </c>
      <c r="T832" s="12">
        <f t="shared" si="137"/>
        <v>6.9533044143914591E-3</v>
      </c>
      <c r="U832" s="12">
        <f t="shared" si="138"/>
        <v>-4.9198712151359292E-3</v>
      </c>
      <c r="V832" s="12">
        <f t="shared" si="139"/>
        <v>-9.8837482938773924E-4</v>
      </c>
      <c r="W832" s="12">
        <f t="shared" si="140"/>
        <v>6.214149139580627E-4</v>
      </c>
      <c r="X832" s="12">
        <f t="shared" si="141"/>
        <v>6.0251639199009333E-3</v>
      </c>
      <c r="Y832" s="12">
        <f t="shared" si="142"/>
        <v>1.4093832765796455E-2</v>
      </c>
    </row>
    <row r="833" spans="1:25" x14ac:dyDescent="0.35">
      <c r="A833" s="6">
        <v>45335</v>
      </c>
      <c r="B833" s="8">
        <v>4953.17</v>
      </c>
      <c r="C833" s="2">
        <v>185.04</v>
      </c>
      <c r="D833" s="2">
        <v>183.7</v>
      </c>
      <c r="E833" s="2">
        <v>406.32</v>
      </c>
      <c r="F833" s="2">
        <v>516.85</v>
      </c>
      <c r="G833" s="2">
        <v>156.47</v>
      </c>
      <c r="H833" s="2">
        <v>275.81</v>
      </c>
      <c r="I833" s="2">
        <v>209.67</v>
      </c>
      <c r="J833" s="2">
        <v>204.46</v>
      </c>
      <c r="K833" s="2">
        <v>56.38</v>
      </c>
      <c r="L833" s="2">
        <v>312.83999999999997</v>
      </c>
      <c r="M833" s="64" t="s">
        <v>77</v>
      </c>
      <c r="N833" s="1"/>
      <c r="O833" s="12">
        <f t="shared" si="132"/>
        <v>-1.3674270785210219E-2</v>
      </c>
      <c r="P833" s="12">
        <f t="shared" si="133"/>
        <v>-1.1274378840502308E-2</v>
      </c>
      <c r="Q833" s="12">
        <f t="shared" si="134"/>
        <v>-1.3214439192092864E-2</v>
      </c>
      <c r="R833" s="12">
        <f t="shared" si="135"/>
        <v>-2.1528680826470192E-2</v>
      </c>
      <c r="S833" s="12">
        <f t="shared" si="136"/>
        <v>-1.5261571748704794E-3</v>
      </c>
      <c r="T833" s="12">
        <f t="shared" si="137"/>
        <v>-8.7424770351599568E-3</v>
      </c>
      <c r="U833" s="12">
        <f t="shared" si="138"/>
        <v>2.6902243065400899E-3</v>
      </c>
      <c r="V833" s="12">
        <f t="shared" si="139"/>
        <v>-1.2202016394987303E-2</v>
      </c>
      <c r="W833" s="12">
        <f t="shared" si="140"/>
        <v>-2.3264701667224053E-2</v>
      </c>
      <c r="X833" s="12">
        <f t="shared" si="141"/>
        <v>-6.8698256121191292E-3</v>
      </c>
      <c r="Y833" s="12">
        <f t="shared" si="142"/>
        <v>-2.7329540154836351E-2</v>
      </c>
    </row>
    <row r="834" spans="1:25" x14ac:dyDescent="0.35">
      <c r="A834" s="6">
        <v>45336</v>
      </c>
      <c r="B834" s="8">
        <v>5000.62</v>
      </c>
      <c r="C834" s="2">
        <v>184.15</v>
      </c>
      <c r="D834" s="2">
        <v>183.57</v>
      </c>
      <c r="E834" s="2">
        <v>409.49</v>
      </c>
      <c r="F834" s="2">
        <v>516.94000000000005</v>
      </c>
      <c r="G834" s="2">
        <v>155.74</v>
      </c>
      <c r="H834" s="2">
        <v>277.56</v>
      </c>
      <c r="I834" s="2">
        <v>210.9</v>
      </c>
      <c r="J834" s="2">
        <v>203.38</v>
      </c>
      <c r="K834" s="2">
        <v>56.2</v>
      </c>
      <c r="L834" s="2">
        <v>316.70999999999998</v>
      </c>
      <c r="M834" s="64" t="s">
        <v>77</v>
      </c>
      <c r="N834" s="1"/>
      <c r="O834" s="12">
        <f t="shared" si="132"/>
        <v>9.5797236921002504E-3</v>
      </c>
      <c r="P834" s="12">
        <f t="shared" si="133"/>
        <v>-4.8097708603543898E-3</v>
      </c>
      <c r="Q834" s="12">
        <f t="shared" si="134"/>
        <v>-7.0767555797490722E-4</v>
      </c>
      <c r="R834" s="12">
        <f t="shared" si="135"/>
        <v>7.8017326245323204E-3</v>
      </c>
      <c r="S834" s="12">
        <f t="shared" si="136"/>
        <v>1.7413175969815953E-4</v>
      </c>
      <c r="T834" s="12">
        <f t="shared" si="137"/>
        <v>-4.6654310730490645E-3</v>
      </c>
      <c r="U834" s="12">
        <f t="shared" si="138"/>
        <v>6.3449476088610623E-3</v>
      </c>
      <c r="V834" s="12">
        <f t="shared" si="139"/>
        <v>5.8663614250966667E-3</v>
      </c>
      <c r="W834" s="12">
        <f t="shared" si="140"/>
        <v>-5.2822067886140189E-3</v>
      </c>
      <c r="X834" s="12">
        <f t="shared" si="141"/>
        <v>-3.1926214969847377E-3</v>
      </c>
      <c r="Y834" s="12">
        <f t="shared" si="142"/>
        <v>1.2370540851553535E-2</v>
      </c>
    </row>
    <row r="835" spans="1:25" x14ac:dyDescent="0.35">
      <c r="A835" s="6">
        <v>45337</v>
      </c>
      <c r="B835" s="8">
        <v>5029.7299999999996</v>
      </c>
      <c r="C835" s="2">
        <v>183.86</v>
      </c>
      <c r="D835" s="2">
        <v>186.87</v>
      </c>
      <c r="E835" s="2">
        <v>406.56</v>
      </c>
      <c r="F835" s="2">
        <v>520.88</v>
      </c>
      <c r="G835" s="2">
        <v>157.91999999999999</v>
      </c>
      <c r="H835" s="2">
        <v>280.98</v>
      </c>
      <c r="I835" s="2">
        <v>212.53</v>
      </c>
      <c r="J835" s="2">
        <v>205.33</v>
      </c>
      <c r="K835" s="2">
        <v>56.43</v>
      </c>
      <c r="L835" s="2">
        <v>323.07</v>
      </c>
      <c r="M835" s="64">
        <v>11.15</v>
      </c>
      <c r="N835" s="1"/>
      <c r="O835" s="12">
        <f t="shared" si="132"/>
        <v>5.8212781615079034E-3</v>
      </c>
      <c r="P835" s="12">
        <f t="shared" si="133"/>
        <v>-1.5748031496062298E-3</v>
      </c>
      <c r="Q835" s="12">
        <f t="shared" si="134"/>
        <v>1.7976793593724505E-2</v>
      </c>
      <c r="R835" s="12">
        <f t="shared" si="135"/>
        <v>-7.1552418862487199E-3</v>
      </c>
      <c r="S835" s="12">
        <f t="shared" si="136"/>
        <v>7.6217742871511618E-3</v>
      </c>
      <c r="T835" s="12">
        <f t="shared" si="137"/>
        <v>1.3997688455117396E-2</v>
      </c>
      <c r="U835" s="12">
        <f t="shared" si="138"/>
        <v>1.2321660181582317E-2</v>
      </c>
      <c r="V835" s="12">
        <f t="shared" si="139"/>
        <v>7.7287814129918253E-3</v>
      </c>
      <c r="W835" s="12">
        <f t="shared" si="140"/>
        <v>9.5879634182318707E-3</v>
      </c>
      <c r="X835" s="12">
        <f t="shared" si="141"/>
        <v>4.092526690391507E-3</v>
      </c>
      <c r="Y835" s="12">
        <f t="shared" si="142"/>
        <v>2.0081462536705619E-2</v>
      </c>
    </row>
    <row r="836" spans="1:25" x14ac:dyDescent="0.35">
      <c r="A836" s="6">
        <v>45338</v>
      </c>
      <c r="B836" s="8">
        <v>5005.57</v>
      </c>
      <c r="C836" s="2">
        <v>182.31</v>
      </c>
      <c r="D836" s="2">
        <v>187.64</v>
      </c>
      <c r="E836" s="2">
        <v>404.06</v>
      </c>
      <c r="F836" s="2">
        <v>521.54999999999995</v>
      </c>
      <c r="G836" s="2">
        <v>156.55000000000001</v>
      </c>
      <c r="H836" s="2">
        <v>278.56</v>
      </c>
      <c r="I836" s="2">
        <v>212.56</v>
      </c>
      <c r="J836" s="2">
        <v>203.89</v>
      </c>
      <c r="K836" s="2">
        <v>56.79</v>
      </c>
      <c r="L836" s="2">
        <v>321.91000000000003</v>
      </c>
      <c r="M836" s="64" t="s">
        <v>77</v>
      </c>
      <c r="N836" s="1"/>
      <c r="O836" s="12">
        <f t="shared" si="132"/>
        <v>-4.8034387531735723E-3</v>
      </c>
      <c r="P836" s="12">
        <f t="shared" si="133"/>
        <v>-8.4303274230392855E-3</v>
      </c>
      <c r="Q836" s="12">
        <f t="shared" si="134"/>
        <v>4.1205115855942331E-3</v>
      </c>
      <c r="R836" s="12">
        <f t="shared" si="135"/>
        <v>-6.1491538764265607E-3</v>
      </c>
      <c r="S836" s="12">
        <f t="shared" si="136"/>
        <v>1.2862847488863682E-3</v>
      </c>
      <c r="T836" s="12">
        <f t="shared" si="137"/>
        <v>-8.675278622086946E-3</v>
      </c>
      <c r="U836" s="12">
        <f t="shared" si="138"/>
        <v>-8.6127126485870953E-3</v>
      </c>
      <c r="V836" s="12">
        <f t="shared" si="139"/>
        <v>1.4115654260571375E-4</v>
      </c>
      <c r="W836" s="12">
        <f t="shared" si="140"/>
        <v>-7.0131008620271107E-3</v>
      </c>
      <c r="X836" s="12">
        <f t="shared" si="141"/>
        <v>6.3795853269537073E-3</v>
      </c>
      <c r="Y836" s="12">
        <f t="shared" si="142"/>
        <v>-3.5905531309002869E-3</v>
      </c>
    </row>
    <row r="837" spans="1:25" x14ac:dyDescent="0.35">
      <c r="A837" s="6">
        <v>45342</v>
      </c>
      <c r="B837" s="8">
        <v>4975.51</v>
      </c>
      <c r="C837" s="2">
        <v>181.56</v>
      </c>
      <c r="D837" s="2">
        <v>183.44</v>
      </c>
      <c r="E837" s="2">
        <v>402.79</v>
      </c>
      <c r="F837" s="2">
        <v>521.05999999999995</v>
      </c>
      <c r="G837" s="2">
        <v>157.86000000000001</v>
      </c>
      <c r="H837" s="2">
        <v>275.14999999999998</v>
      </c>
      <c r="I837" s="2">
        <v>212.49</v>
      </c>
      <c r="J837" s="2">
        <v>203.37</v>
      </c>
      <c r="K837" s="2">
        <v>58.62</v>
      </c>
      <c r="L837" s="2">
        <v>313.74</v>
      </c>
      <c r="M837" s="64" t="s">
        <v>77</v>
      </c>
      <c r="N837" s="1"/>
      <c r="O837" s="12">
        <f t="shared" ref="O837:O900" si="143">(B837/B836)-1</f>
        <v>-6.0053100845657292E-3</v>
      </c>
      <c r="P837" s="12">
        <f t="shared" ref="P837:P900" si="144">(C837/C836)-1</f>
        <v>-4.1138719763040843E-3</v>
      </c>
      <c r="Q837" s="12">
        <f t="shared" ref="Q837:Q900" si="145">(D837/D836)-1</f>
        <v>-2.2383287145597897E-2</v>
      </c>
      <c r="R837" s="12">
        <f t="shared" ref="R837:R900" si="146">(E837/E836)-1</f>
        <v>-3.1430975597682709E-3</v>
      </c>
      <c r="S837" s="12">
        <f t="shared" ref="S837:S900" si="147">(F837/F836)-1</f>
        <v>-9.3950723804048231E-4</v>
      </c>
      <c r="T837" s="12">
        <f t="shared" ref="T837:T900" si="148">(G837/G836)-1</f>
        <v>8.3679335675503896E-3</v>
      </c>
      <c r="U837" s="12">
        <f t="shared" ref="U837:U900" si="149">(H837/H836)-1</f>
        <v>-1.2241527857553169E-2</v>
      </c>
      <c r="V837" s="12">
        <f t="shared" ref="V837:V900" si="150">(I837/I836)-1</f>
        <v>-3.2931878057962383E-4</v>
      </c>
      <c r="W837" s="12">
        <f t="shared" ref="W837:W900" si="151">(J837/J836)-1</f>
        <v>-2.5503948207366012E-3</v>
      </c>
      <c r="X837" s="12">
        <f t="shared" ref="X837:X900" si="152">(K837/K836)-1</f>
        <v>3.2223983095615472E-2</v>
      </c>
      <c r="Y837" s="12">
        <f t="shared" ref="Y837:Y900" si="153">(L837/L836)-1</f>
        <v>-2.537976453045887E-2</v>
      </c>
    </row>
    <row r="838" spans="1:25" x14ac:dyDescent="0.35">
      <c r="A838" s="6">
        <v>45343</v>
      </c>
      <c r="B838" s="8">
        <v>4981.8</v>
      </c>
      <c r="C838" s="2">
        <v>182.32</v>
      </c>
      <c r="D838" s="2">
        <v>179.7</v>
      </c>
      <c r="E838" s="2">
        <v>402.18</v>
      </c>
      <c r="F838" s="2">
        <v>521.97</v>
      </c>
      <c r="G838" s="2">
        <v>158.68</v>
      </c>
      <c r="H838" s="2">
        <v>276.76</v>
      </c>
      <c r="I838" s="2">
        <v>210.89</v>
      </c>
      <c r="J838" s="2">
        <v>201.57</v>
      </c>
      <c r="K838" s="2">
        <v>57.9</v>
      </c>
      <c r="L838" s="2">
        <v>317.14</v>
      </c>
      <c r="M838" s="64" t="s">
        <v>77</v>
      </c>
      <c r="N838" s="1"/>
      <c r="O838" s="12">
        <f t="shared" si="143"/>
        <v>1.2641920124771833E-3</v>
      </c>
      <c r="P838" s="12">
        <f t="shared" si="144"/>
        <v>4.1859440405374038E-3</v>
      </c>
      <c r="Q838" s="12">
        <f t="shared" si="145"/>
        <v>-2.0388137810728346E-2</v>
      </c>
      <c r="R838" s="12">
        <f t="shared" si="146"/>
        <v>-1.5144368032969924E-3</v>
      </c>
      <c r="S838" s="12">
        <f t="shared" si="147"/>
        <v>1.7464399493340999E-3</v>
      </c>
      <c r="T838" s="12">
        <f t="shared" si="148"/>
        <v>5.1944761180793275E-3</v>
      </c>
      <c r="U838" s="12">
        <f t="shared" si="149"/>
        <v>5.8513538070144033E-3</v>
      </c>
      <c r="V838" s="12">
        <f t="shared" si="150"/>
        <v>-7.5297661066404675E-3</v>
      </c>
      <c r="W838" s="12">
        <f t="shared" si="151"/>
        <v>-8.8508629591386168E-3</v>
      </c>
      <c r="X838" s="12">
        <f t="shared" si="152"/>
        <v>-1.2282497441146401E-2</v>
      </c>
      <c r="Y838" s="12">
        <f t="shared" si="153"/>
        <v>1.0836998788805952E-2</v>
      </c>
    </row>
    <row r="839" spans="1:25" x14ac:dyDescent="0.35">
      <c r="A839" s="6">
        <v>45344</v>
      </c>
      <c r="B839" s="8">
        <v>5087.03</v>
      </c>
      <c r="C839" s="2">
        <v>184.37</v>
      </c>
      <c r="D839" s="2">
        <v>184.21</v>
      </c>
      <c r="E839" s="2">
        <v>411.65</v>
      </c>
      <c r="F839" s="2">
        <v>526.5</v>
      </c>
      <c r="G839" s="2">
        <v>160.44999999999999</v>
      </c>
      <c r="H839" s="2">
        <v>283.75</v>
      </c>
      <c r="I839" s="2">
        <v>213.99</v>
      </c>
      <c r="J839" s="2">
        <v>201.5</v>
      </c>
      <c r="K839" s="2">
        <v>58.47</v>
      </c>
      <c r="L839" s="2">
        <v>322.08999999999997</v>
      </c>
      <c r="M839" s="64" t="s">
        <v>77</v>
      </c>
      <c r="N839" s="1"/>
      <c r="O839" s="12">
        <f t="shared" si="143"/>
        <v>2.1122887309807714E-2</v>
      </c>
      <c r="P839" s="12">
        <f t="shared" si="144"/>
        <v>1.1243966652040527E-2</v>
      </c>
      <c r="Q839" s="12">
        <f t="shared" si="145"/>
        <v>2.5097384529771949E-2</v>
      </c>
      <c r="R839" s="12">
        <f t="shared" si="146"/>
        <v>2.3546670644984724E-2</v>
      </c>
      <c r="S839" s="12">
        <f t="shared" si="147"/>
        <v>8.6786596930856774E-3</v>
      </c>
      <c r="T839" s="12">
        <f t="shared" si="148"/>
        <v>1.1154524829846135E-2</v>
      </c>
      <c r="U839" s="12">
        <f t="shared" si="149"/>
        <v>2.5256539962422275E-2</v>
      </c>
      <c r="V839" s="12">
        <f t="shared" si="150"/>
        <v>1.4699606429892542E-2</v>
      </c>
      <c r="W839" s="12">
        <f t="shared" si="151"/>
        <v>-3.4727389988586932E-4</v>
      </c>
      <c r="X839" s="12">
        <f t="shared" si="152"/>
        <v>9.8445595854921297E-3</v>
      </c>
      <c r="Y839" s="12">
        <f t="shared" si="153"/>
        <v>1.5608248722961404E-2</v>
      </c>
    </row>
    <row r="840" spans="1:25" x14ac:dyDescent="0.35">
      <c r="A840" s="6">
        <v>45345</v>
      </c>
      <c r="B840" s="8">
        <v>5088.8</v>
      </c>
      <c r="C840" s="2">
        <v>182.52</v>
      </c>
      <c r="D840" s="2">
        <v>185.72</v>
      </c>
      <c r="E840" s="2">
        <v>410.34</v>
      </c>
      <c r="F840" s="2">
        <v>527.24</v>
      </c>
      <c r="G840" s="2">
        <v>161.84</v>
      </c>
      <c r="H840" s="2">
        <v>283.60000000000002</v>
      </c>
      <c r="I840" s="2">
        <v>214.56</v>
      </c>
      <c r="J840" s="2">
        <v>200.83</v>
      </c>
      <c r="K840" s="2">
        <v>58.52</v>
      </c>
      <c r="L840" s="2">
        <v>323.88</v>
      </c>
      <c r="M840" s="64">
        <v>11.09</v>
      </c>
      <c r="N840" s="1"/>
      <c r="O840" s="12">
        <f t="shared" si="143"/>
        <v>3.4794369209545373E-4</v>
      </c>
      <c r="P840" s="12">
        <f t="shared" si="144"/>
        <v>-1.0034170418180777E-2</v>
      </c>
      <c r="Q840" s="12">
        <f t="shared" si="145"/>
        <v>8.1971662776179066E-3</v>
      </c>
      <c r="R840" s="12">
        <f t="shared" si="146"/>
        <v>-3.1823150734847649E-3</v>
      </c>
      <c r="S840" s="12">
        <f t="shared" si="147"/>
        <v>1.4055080721746549E-3</v>
      </c>
      <c r="T840" s="12">
        <f t="shared" si="148"/>
        <v>8.6631349330010821E-3</v>
      </c>
      <c r="U840" s="12">
        <f t="shared" si="149"/>
        <v>-5.2863436123340435E-4</v>
      </c>
      <c r="V840" s="12">
        <f t="shared" si="150"/>
        <v>2.6636758727043297E-3</v>
      </c>
      <c r="W840" s="12">
        <f t="shared" si="151"/>
        <v>-3.3250620347393678E-3</v>
      </c>
      <c r="X840" s="12">
        <f t="shared" si="152"/>
        <v>8.5513938772030507E-4</v>
      </c>
      <c r="Y840" s="12">
        <f t="shared" si="153"/>
        <v>5.5574528858395311E-3</v>
      </c>
    </row>
    <row r="841" spans="1:25" x14ac:dyDescent="0.35">
      <c r="A841" s="6">
        <v>45348</v>
      </c>
      <c r="B841" s="8">
        <v>5069.53</v>
      </c>
      <c r="C841" s="2">
        <v>181.16</v>
      </c>
      <c r="D841" s="2">
        <v>184.13</v>
      </c>
      <c r="E841" s="2">
        <v>407.54</v>
      </c>
      <c r="F841" s="2">
        <v>525.32000000000005</v>
      </c>
      <c r="G841" s="2">
        <v>160.79</v>
      </c>
      <c r="H841" s="2">
        <v>284.14999999999998</v>
      </c>
      <c r="I841" s="2">
        <v>216.96</v>
      </c>
      <c r="J841" s="2">
        <v>200.54</v>
      </c>
      <c r="K841" s="2">
        <v>59.6</v>
      </c>
      <c r="L841" s="2">
        <v>325.38</v>
      </c>
      <c r="M841" s="64" t="s">
        <v>77</v>
      </c>
      <c r="N841" s="1"/>
      <c r="O841" s="12">
        <f t="shared" si="143"/>
        <v>-3.7867473667663187E-3</v>
      </c>
      <c r="P841" s="12">
        <f t="shared" si="144"/>
        <v>-7.4512382204691141E-3</v>
      </c>
      <c r="Q841" s="12">
        <f t="shared" si="145"/>
        <v>-8.5612750376912183E-3</v>
      </c>
      <c r="R841" s="12">
        <f t="shared" si="146"/>
        <v>-6.823609689525667E-3</v>
      </c>
      <c r="S841" s="12">
        <f t="shared" si="147"/>
        <v>-3.6416053410210925E-3</v>
      </c>
      <c r="T841" s="12">
        <f t="shared" si="148"/>
        <v>-6.4878892733564175E-3</v>
      </c>
      <c r="U841" s="12">
        <f t="shared" si="149"/>
        <v>1.9393511988714529E-3</v>
      </c>
      <c r="V841" s="12">
        <f t="shared" si="150"/>
        <v>1.1185682326621871E-2</v>
      </c>
      <c r="W841" s="12">
        <f t="shared" si="151"/>
        <v>-1.4440073694169664E-3</v>
      </c>
      <c r="X841" s="12">
        <f t="shared" si="152"/>
        <v>1.8455228981544725E-2</v>
      </c>
      <c r="Y841" s="12">
        <f t="shared" si="153"/>
        <v>4.631344942571225E-3</v>
      </c>
    </row>
    <row r="842" spans="1:25" x14ac:dyDescent="0.35">
      <c r="A842" s="6">
        <v>45349</v>
      </c>
      <c r="B842" s="8">
        <v>5078.18</v>
      </c>
      <c r="C842" s="2">
        <v>182.63</v>
      </c>
      <c r="D842" s="2">
        <v>184.87</v>
      </c>
      <c r="E842" s="2">
        <v>407.48</v>
      </c>
      <c r="F842" s="2">
        <v>513.41999999999996</v>
      </c>
      <c r="G842" s="2">
        <v>160.97999999999999</v>
      </c>
      <c r="H842" s="2">
        <v>283.17</v>
      </c>
      <c r="I842" s="2">
        <v>217.98</v>
      </c>
      <c r="J842" s="2">
        <v>201.4</v>
      </c>
      <c r="K842" s="2">
        <v>59.59</v>
      </c>
      <c r="L842" s="2">
        <v>327.63</v>
      </c>
      <c r="M842" s="64" t="s">
        <v>77</v>
      </c>
      <c r="N842" s="1"/>
      <c r="O842" s="12">
        <f t="shared" si="143"/>
        <v>1.7062725735916828E-3</v>
      </c>
      <c r="P842" s="12">
        <f t="shared" si="144"/>
        <v>8.1143740340030579E-3</v>
      </c>
      <c r="Q842" s="12">
        <f t="shared" si="145"/>
        <v>4.0188996904362284E-3</v>
      </c>
      <c r="R842" s="12">
        <f t="shared" si="146"/>
        <v>-1.4722481228834905E-4</v>
      </c>
      <c r="S842" s="12">
        <f t="shared" si="147"/>
        <v>-2.2652859209624787E-2</v>
      </c>
      <c r="T842" s="12">
        <f t="shared" si="148"/>
        <v>1.1816655264631493E-3</v>
      </c>
      <c r="U842" s="12">
        <f t="shared" si="149"/>
        <v>-3.4488826324122757E-3</v>
      </c>
      <c r="V842" s="12">
        <f t="shared" si="150"/>
        <v>4.7013274336282773E-3</v>
      </c>
      <c r="W842" s="12">
        <f t="shared" si="151"/>
        <v>4.2884212625911022E-3</v>
      </c>
      <c r="X842" s="12">
        <f t="shared" si="152"/>
        <v>-1.6778523489924257E-4</v>
      </c>
      <c r="Y842" s="12">
        <f t="shared" si="153"/>
        <v>6.9149917020099316E-3</v>
      </c>
    </row>
    <row r="843" spans="1:25" x14ac:dyDescent="0.35">
      <c r="A843" s="6">
        <v>45350</v>
      </c>
      <c r="B843" s="8">
        <v>5069.76</v>
      </c>
      <c r="C843" s="2">
        <v>181.42</v>
      </c>
      <c r="D843" s="2">
        <v>185.3</v>
      </c>
      <c r="E843" s="2">
        <v>407.72</v>
      </c>
      <c r="F843" s="2">
        <v>498.28</v>
      </c>
      <c r="G843" s="2">
        <v>161.55000000000001</v>
      </c>
      <c r="H843" s="2">
        <v>285.63</v>
      </c>
      <c r="I843" s="2">
        <v>218.03</v>
      </c>
      <c r="J843" s="2">
        <v>207</v>
      </c>
      <c r="K843" s="2">
        <v>59.62</v>
      </c>
      <c r="L843" s="2">
        <v>329.56</v>
      </c>
      <c r="M843" s="64" t="s">
        <v>77</v>
      </c>
      <c r="N843" s="1"/>
      <c r="O843" s="12">
        <f t="shared" si="143"/>
        <v>-1.6580743494716277E-3</v>
      </c>
      <c r="P843" s="12">
        <f t="shared" si="144"/>
        <v>-6.6254175108142466E-3</v>
      </c>
      <c r="Q843" s="12">
        <f t="shared" si="145"/>
        <v>2.3259587818467153E-3</v>
      </c>
      <c r="R843" s="12">
        <f t="shared" si="146"/>
        <v>5.889859625012317E-4</v>
      </c>
      <c r="S843" s="12">
        <f t="shared" si="147"/>
        <v>-2.9488527910872198E-2</v>
      </c>
      <c r="T843" s="12">
        <f t="shared" si="148"/>
        <v>3.5408125232949672E-3</v>
      </c>
      <c r="U843" s="12">
        <f t="shared" si="149"/>
        <v>8.6873609492530424E-3</v>
      </c>
      <c r="V843" s="12">
        <f t="shared" si="150"/>
        <v>2.2937884209572879E-4</v>
      </c>
      <c r="W843" s="12">
        <f t="shared" si="151"/>
        <v>2.7805362462760552E-2</v>
      </c>
      <c r="X843" s="12">
        <f t="shared" si="152"/>
        <v>5.0344017452585987E-4</v>
      </c>
      <c r="Y843" s="12">
        <f t="shared" si="153"/>
        <v>5.8907914415651241E-3</v>
      </c>
    </row>
    <row r="844" spans="1:25" x14ac:dyDescent="0.35">
      <c r="A844" s="6">
        <v>45351</v>
      </c>
      <c r="B844" s="8">
        <v>5096.2700000000004</v>
      </c>
      <c r="C844" s="2">
        <v>180.75</v>
      </c>
      <c r="D844" s="2">
        <v>185.03</v>
      </c>
      <c r="E844" s="2">
        <v>413.64</v>
      </c>
      <c r="F844" s="2">
        <v>493.6</v>
      </c>
      <c r="G844" s="2">
        <v>161.38</v>
      </c>
      <c r="H844" s="2">
        <v>282.64</v>
      </c>
      <c r="I844" s="2">
        <v>219.42</v>
      </c>
      <c r="J844" s="2">
        <v>203.72</v>
      </c>
      <c r="K844" s="2">
        <v>58.61</v>
      </c>
      <c r="L844" s="2">
        <v>333.96</v>
      </c>
      <c r="M844" s="64" t="s">
        <v>77</v>
      </c>
      <c r="N844" s="1"/>
      <c r="O844" s="12">
        <f t="shared" si="143"/>
        <v>5.229044372909275E-3</v>
      </c>
      <c r="P844" s="12">
        <f t="shared" si="144"/>
        <v>-3.6930878624186203E-3</v>
      </c>
      <c r="Q844" s="12">
        <f t="shared" si="145"/>
        <v>-1.4570966001079544E-3</v>
      </c>
      <c r="R844" s="12">
        <f t="shared" si="146"/>
        <v>1.4519768468556737E-2</v>
      </c>
      <c r="S844" s="12">
        <f t="shared" si="147"/>
        <v>-9.3923095448341654E-3</v>
      </c>
      <c r="T844" s="12">
        <f t="shared" si="148"/>
        <v>-1.0523057876818953E-3</v>
      </c>
      <c r="U844" s="12">
        <f t="shared" si="149"/>
        <v>-1.0468088085985428E-2</v>
      </c>
      <c r="V844" s="12">
        <f t="shared" si="150"/>
        <v>6.3752694583314451E-3</v>
      </c>
      <c r="W844" s="12">
        <f t="shared" si="151"/>
        <v>-1.5845410628019363E-2</v>
      </c>
      <c r="X844" s="12">
        <f t="shared" si="152"/>
        <v>-1.6940623951694045E-2</v>
      </c>
      <c r="Y844" s="12">
        <f t="shared" si="153"/>
        <v>1.3351134846461887E-2</v>
      </c>
    </row>
    <row r="845" spans="1:25" x14ac:dyDescent="0.35">
      <c r="A845" s="6">
        <v>45352</v>
      </c>
      <c r="B845" s="8">
        <v>5137.08</v>
      </c>
      <c r="C845" s="2">
        <v>179.66</v>
      </c>
      <c r="D845" s="2">
        <v>188.2</v>
      </c>
      <c r="E845" s="2">
        <v>415.5</v>
      </c>
      <c r="F845" s="2">
        <v>489.53</v>
      </c>
      <c r="G845" s="2">
        <v>162.12</v>
      </c>
      <c r="H845" s="2">
        <v>283.16000000000003</v>
      </c>
      <c r="I845" s="2">
        <v>219.66</v>
      </c>
      <c r="J845" s="2">
        <v>200</v>
      </c>
      <c r="K845" s="2">
        <v>58.76</v>
      </c>
      <c r="L845" s="2">
        <v>336.7</v>
      </c>
      <c r="M845" s="64">
        <v>11.02</v>
      </c>
      <c r="N845" s="1"/>
      <c r="O845" s="12">
        <f t="shared" si="143"/>
        <v>8.0078174821975878E-3</v>
      </c>
      <c r="P845" s="12">
        <f t="shared" si="144"/>
        <v>-6.030428769018048E-3</v>
      </c>
      <c r="Q845" s="12">
        <f t="shared" si="145"/>
        <v>1.7132356915094737E-2</v>
      </c>
      <c r="R845" s="12">
        <f t="shared" si="146"/>
        <v>4.4966637655932118E-3</v>
      </c>
      <c r="S845" s="12">
        <f t="shared" si="147"/>
        <v>-8.2455429497569899E-3</v>
      </c>
      <c r="T845" s="12">
        <f t="shared" si="148"/>
        <v>4.5854504895279646E-3</v>
      </c>
      <c r="U845" s="12">
        <f t="shared" si="149"/>
        <v>1.8397962071894369E-3</v>
      </c>
      <c r="V845" s="12">
        <f t="shared" si="150"/>
        <v>1.0937927262784086E-3</v>
      </c>
      <c r="W845" s="12">
        <f t="shared" si="151"/>
        <v>-1.826035735322995E-2</v>
      </c>
      <c r="X845" s="12">
        <f t="shared" si="152"/>
        <v>2.5592902235114234E-3</v>
      </c>
      <c r="Y845" s="12">
        <f t="shared" si="153"/>
        <v>8.2045753982513681E-3</v>
      </c>
    </row>
    <row r="846" spans="1:25" x14ac:dyDescent="0.35">
      <c r="A846" s="6">
        <v>45355</v>
      </c>
      <c r="B846" s="8">
        <v>5130.95</v>
      </c>
      <c r="C846" s="2">
        <v>175.1</v>
      </c>
      <c r="D846" s="2">
        <v>193.06</v>
      </c>
      <c r="E846" s="2">
        <v>414.92</v>
      </c>
      <c r="F846" s="2">
        <v>481.87</v>
      </c>
      <c r="G846" s="2">
        <v>159.84</v>
      </c>
      <c r="H846" s="2">
        <v>280.52999999999997</v>
      </c>
      <c r="I846" s="2">
        <v>218.91</v>
      </c>
      <c r="J846" s="2">
        <v>200.54</v>
      </c>
      <c r="K846" s="2">
        <v>59.3</v>
      </c>
      <c r="L846" s="2">
        <v>338.65</v>
      </c>
      <c r="M846" s="64" t="s">
        <v>77</v>
      </c>
      <c r="N846" s="1"/>
      <c r="O846" s="12">
        <f t="shared" si="143"/>
        <v>-1.1932849011501157E-3</v>
      </c>
      <c r="P846" s="12">
        <f t="shared" si="144"/>
        <v>-2.5381275743070253E-2</v>
      </c>
      <c r="Q846" s="12">
        <f t="shared" si="145"/>
        <v>2.5823591923485711E-2</v>
      </c>
      <c r="R846" s="12">
        <f t="shared" si="146"/>
        <v>-1.395908543922908E-3</v>
      </c>
      <c r="S846" s="12">
        <f t="shared" si="147"/>
        <v>-1.5647662043184241E-2</v>
      </c>
      <c r="T846" s="12">
        <f t="shared" si="148"/>
        <v>-1.4063656550703185E-2</v>
      </c>
      <c r="U846" s="12">
        <f t="shared" si="149"/>
        <v>-9.288035033196973E-3</v>
      </c>
      <c r="V846" s="12">
        <f t="shared" si="150"/>
        <v>-3.4143676591095184E-3</v>
      </c>
      <c r="W846" s="12">
        <f t="shared" si="151"/>
        <v>2.6999999999999247E-3</v>
      </c>
      <c r="X846" s="12">
        <f t="shared" si="152"/>
        <v>9.1899251191287501E-3</v>
      </c>
      <c r="Y846" s="12">
        <f t="shared" si="153"/>
        <v>5.7915057915056689E-3</v>
      </c>
    </row>
    <row r="847" spans="1:25" x14ac:dyDescent="0.35">
      <c r="A847" s="6">
        <v>45356</v>
      </c>
      <c r="B847" s="8">
        <v>5078.6499999999996</v>
      </c>
      <c r="C847" s="2">
        <v>170.12</v>
      </c>
      <c r="D847" s="2">
        <v>191.95</v>
      </c>
      <c r="E847" s="2">
        <v>402.65</v>
      </c>
      <c r="F847" s="2">
        <v>473.15</v>
      </c>
      <c r="G847" s="2">
        <v>159.97</v>
      </c>
      <c r="H847" s="2">
        <v>279.38</v>
      </c>
      <c r="I847" s="2">
        <v>217.2</v>
      </c>
      <c r="J847" s="2">
        <v>201.14</v>
      </c>
      <c r="K847" s="2">
        <v>60.04</v>
      </c>
      <c r="L847" s="2">
        <v>333.53</v>
      </c>
      <c r="M847" s="64" t="s">
        <v>77</v>
      </c>
      <c r="N847" s="1"/>
      <c r="O847" s="12">
        <f t="shared" si="143"/>
        <v>-1.0193044173106403E-2</v>
      </c>
      <c r="P847" s="12">
        <f t="shared" si="144"/>
        <v>-2.8440890919474549E-2</v>
      </c>
      <c r="Q847" s="12">
        <f t="shared" si="145"/>
        <v>-5.7495079249975101E-3</v>
      </c>
      <c r="R847" s="12">
        <f t="shared" si="146"/>
        <v>-2.9571965680131207E-2</v>
      </c>
      <c r="S847" s="12">
        <f t="shared" si="147"/>
        <v>-1.8096167016000253E-2</v>
      </c>
      <c r="T847" s="12">
        <f t="shared" si="148"/>
        <v>8.1331331331324641E-4</v>
      </c>
      <c r="U847" s="12">
        <f t="shared" si="149"/>
        <v>-4.0993833101627963E-3</v>
      </c>
      <c r="V847" s="12">
        <f t="shared" si="150"/>
        <v>-7.8114293545292757E-3</v>
      </c>
      <c r="W847" s="12">
        <f t="shared" si="151"/>
        <v>2.9919218111100765E-3</v>
      </c>
      <c r="X847" s="12">
        <f t="shared" si="152"/>
        <v>1.2478920741989974E-2</v>
      </c>
      <c r="Y847" s="12">
        <f t="shared" si="153"/>
        <v>-1.5118854274324578E-2</v>
      </c>
    </row>
    <row r="848" spans="1:25" x14ac:dyDescent="0.35">
      <c r="A848" s="6">
        <v>45357</v>
      </c>
      <c r="B848" s="8">
        <v>5104.76</v>
      </c>
      <c r="C848" s="2">
        <v>169.12</v>
      </c>
      <c r="D848" s="2">
        <v>196.16</v>
      </c>
      <c r="E848" s="2">
        <v>402.09</v>
      </c>
      <c r="F848" s="2">
        <v>472.6</v>
      </c>
      <c r="G848" s="2">
        <v>159.34</v>
      </c>
      <c r="H848" s="2">
        <v>280.43</v>
      </c>
      <c r="I848" s="2">
        <v>218.45</v>
      </c>
      <c r="J848" s="2">
        <v>201</v>
      </c>
      <c r="K848" s="2">
        <v>60.57</v>
      </c>
      <c r="L848" s="2">
        <v>335.63</v>
      </c>
      <c r="M848" s="64" t="s">
        <v>77</v>
      </c>
      <c r="N848" s="1"/>
      <c r="O848" s="12">
        <f t="shared" si="143"/>
        <v>5.1411300247115044E-3</v>
      </c>
      <c r="P848" s="12">
        <f t="shared" si="144"/>
        <v>-5.8782036209734656E-3</v>
      </c>
      <c r="Q848" s="12">
        <f t="shared" si="145"/>
        <v>2.1932794998697602E-2</v>
      </c>
      <c r="R848" s="12">
        <f t="shared" si="146"/>
        <v>-1.3907860424686724E-3</v>
      </c>
      <c r="S848" s="12">
        <f t="shared" si="147"/>
        <v>-1.1624220648841499E-3</v>
      </c>
      <c r="T848" s="12">
        <f t="shared" si="148"/>
        <v>-3.9382384197036435E-3</v>
      </c>
      <c r="U848" s="12">
        <f t="shared" si="149"/>
        <v>3.7583219987114003E-3</v>
      </c>
      <c r="V848" s="12">
        <f t="shared" si="150"/>
        <v>5.7550644567219145E-3</v>
      </c>
      <c r="W848" s="12">
        <f t="shared" si="151"/>
        <v>-6.9603261409956207E-4</v>
      </c>
      <c r="X848" s="12">
        <f t="shared" si="152"/>
        <v>8.8274483677548421E-3</v>
      </c>
      <c r="Y848" s="12">
        <f t="shared" si="153"/>
        <v>6.2962851917369722E-3</v>
      </c>
    </row>
    <row r="849" spans="1:25" x14ac:dyDescent="0.35">
      <c r="A849" s="6">
        <v>45358</v>
      </c>
      <c r="B849" s="8">
        <v>5157.3599999999997</v>
      </c>
      <c r="C849" s="2">
        <v>169</v>
      </c>
      <c r="D849" s="2">
        <v>196.54</v>
      </c>
      <c r="E849" s="2">
        <v>409.14</v>
      </c>
      <c r="F849" s="2">
        <v>478.78</v>
      </c>
      <c r="G849" s="2">
        <v>158.87</v>
      </c>
      <c r="H849" s="2">
        <v>278.26</v>
      </c>
      <c r="I849" s="2">
        <v>223.42</v>
      </c>
      <c r="J849" s="2">
        <v>203.03</v>
      </c>
      <c r="K849" s="2">
        <v>60.36</v>
      </c>
      <c r="L849" s="2">
        <v>340.22</v>
      </c>
      <c r="M849" s="64" t="s">
        <v>77</v>
      </c>
      <c r="N849" s="1"/>
      <c r="O849" s="12">
        <f t="shared" si="143"/>
        <v>1.0304108322428451E-2</v>
      </c>
      <c r="P849" s="12">
        <f t="shared" si="144"/>
        <v>-7.0955534531691455E-4</v>
      </c>
      <c r="Q849" s="12">
        <f t="shared" si="145"/>
        <v>1.9371941272430249E-3</v>
      </c>
      <c r="R849" s="12">
        <f t="shared" si="146"/>
        <v>1.7533388047452192E-2</v>
      </c>
      <c r="S849" s="12">
        <f t="shared" si="147"/>
        <v>1.3076597545492952E-2</v>
      </c>
      <c r="T849" s="12">
        <f t="shared" si="148"/>
        <v>-2.9496673779340066E-3</v>
      </c>
      <c r="U849" s="12">
        <f t="shared" si="149"/>
        <v>-7.7381164640017985E-3</v>
      </c>
      <c r="V849" s="12">
        <f t="shared" si="150"/>
        <v>2.2751201647974284E-2</v>
      </c>
      <c r="W849" s="12">
        <f t="shared" si="151"/>
        <v>1.0099502487562084E-2</v>
      </c>
      <c r="X849" s="12">
        <f t="shared" si="152"/>
        <v>-3.4670629024269317E-3</v>
      </c>
      <c r="Y849" s="12">
        <f t="shared" si="153"/>
        <v>1.3675773917707135E-2</v>
      </c>
    </row>
    <row r="850" spans="1:25" x14ac:dyDescent="0.35">
      <c r="A850" s="6">
        <v>45359</v>
      </c>
      <c r="B850" s="8">
        <v>5123.6899999999996</v>
      </c>
      <c r="C850" s="2">
        <v>170.73</v>
      </c>
      <c r="D850" s="2">
        <v>195.95</v>
      </c>
      <c r="E850" s="2">
        <v>406.22</v>
      </c>
      <c r="F850" s="2">
        <v>476.57</v>
      </c>
      <c r="G850" s="2">
        <v>159.52000000000001</v>
      </c>
      <c r="H850" s="2">
        <v>280.04000000000002</v>
      </c>
      <c r="I850" s="2">
        <v>223.37</v>
      </c>
      <c r="J850" s="2">
        <v>198.49</v>
      </c>
      <c r="K850" s="2">
        <v>60.12</v>
      </c>
      <c r="L850" s="2">
        <v>339.19</v>
      </c>
      <c r="M850" s="64">
        <v>11.3</v>
      </c>
      <c r="N850" s="1"/>
      <c r="O850" s="12">
        <f t="shared" si="143"/>
        <v>-6.5285339786247398E-3</v>
      </c>
      <c r="P850" s="12">
        <f t="shared" si="144"/>
        <v>1.0236686390532546E-2</v>
      </c>
      <c r="Q850" s="12">
        <f t="shared" si="145"/>
        <v>-3.0019334486618421E-3</v>
      </c>
      <c r="R850" s="12">
        <f t="shared" si="146"/>
        <v>-7.1369213472159965E-3</v>
      </c>
      <c r="S850" s="12">
        <f t="shared" si="147"/>
        <v>-4.6158987426374587E-3</v>
      </c>
      <c r="T850" s="12">
        <f t="shared" si="148"/>
        <v>4.0913954805816832E-3</v>
      </c>
      <c r="U850" s="12">
        <f t="shared" si="149"/>
        <v>6.3968949902970529E-3</v>
      </c>
      <c r="V850" s="12">
        <f t="shared" si="150"/>
        <v>-2.2379375167835835E-4</v>
      </c>
      <c r="W850" s="12">
        <f t="shared" si="151"/>
        <v>-2.2361227404816941E-2</v>
      </c>
      <c r="X850" s="12">
        <f t="shared" si="152"/>
        <v>-3.9761431411531323E-3</v>
      </c>
      <c r="Y850" s="12">
        <f t="shared" si="153"/>
        <v>-3.0274528246430066E-3</v>
      </c>
    </row>
    <row r="851" spans="1:25" x14ac:dyDescent="0.35">
      <c r="A851" s="6">
        <v>45362</v>
      </c>
      <c r="B851" s="8">
        <v>5117.9399999999996</v>
      </c>
      <c r="C851" s="2">
        <v>172.75</v>
      </c>
      <c r="D851" s="2">
        <v>191.73</v>
      </c>
      <c r="E851" s="2">
        <v>404.52</v>
      </c>
      <c r="F851" s="2">
        <v>489.15</v>
      </c>
      <c r="G851" s="2">
        <v>161.22999999999999</v>
      </c>
      <c r="H851" s="2">
        <v>280.56</v>
      </c>
      <c r="I851" s="2">
        <v>220.19</v>
      </c>
      <c r="J851" s="2">
        <v>192.49</v>
      </c>
      <c r="K851" s="2">
        <v>60.66</v>
      </c>
      <c r="L851" s="2">
        <v>334.97</v>
      </c>
      <c r="M851" s="64" t="s">
        <v>77</v>
      </c>
      <c r="N851" s="1"/>
      <c r="O851" s="12">
        <f t="shared" si="143"/>
        <v>-1.1222380745127269E-3</v>
      </c>
      <c r="P851" s="12">
        <f t="shared" si="144"/>
        <v>1.183154688689747E-2</v>
      </c>
      <c r="Q851" s="12">
        <f t="shared" si="145"/>
        <v>-2.1536106149527945E-2</v>
      </c>
      <c r="R851" s="12">
        <f t="shared" si="146"/>
        <v>-4.1849244251884743E-3</v>
      </c>
      <c r="S851" s="12">
        <f t="shared" si="147"/>
        <v>2.6396961621587556E-2</v>
      </c>
      <c r="T851" s="12">
        <f t="shared" si="148"/>
        <v>1.0719658976930724E-2</v>
      </c>
      <c r="U851" s="12">
        <f t="shared" si="149"/>
        <v>1.8568775889158395E-3</v>
      </c>
      <c r="V851" s="12">
        <f t="shared" si="150"/>
        <v>-1.423646863947714E-2</v>
      </c>
      <c r="W851" s="12">
        <f t="shared" si="151"/>
        <v>-3.022822308428641E-2</v>
      </c>
      <c r="X851" s="12">
        <f t="shared" si="152"/>
        <v>8.9820359281436168E-3</v>
      </c>
      <c r="Y851" s="12">
        <f t="shared" si="153"/>
        <v>-1.2441404522538946E-2</v>
      </c>
    </row>
    <row r="852" spans="1:25" x14ac:dyDescent="0.35">
      <c r="A852" s="6">
        <v>45363</v>
      </c>
      <c r="B852" s="8">
        <v>5175.2700000000004</v>
      </c>
      <c r="C852" s="2">
        <v>173.23</v>
      </c>
      <c r="D852" s="2">
        <v>197.78</v>
      </c>
      <c r="E852" s="2">
        <v>415.28</v>
      </c>
      <c r="F852" s="2">
        <v>489.35</v>
      </c>
      <c r="G852" s="2">
        <v>162.74</v>
      </c>
      <c r="H852" s="2">
        <v>283.92</v>
      </c>
      <c r="I852" s="2">
        <v>222.65</v>
      </c>
      <c r="J852" s="2">
        <v>184.24</v>
      </c>
      <c r="K852" s="2">
        <v>61.41</v>
      </c>
      <c r="L852" s="2">
        <v>337.24</v>
      </c>
      <c r="M852" s="64" t="s">
        <v>77</v>
      </c>
      <c r="N852" s="1"/>
      <c r="O852" s="12">
        <f t="shared" si="143"/>
        <v>1.1201772588189884E-2</v>
      </c>
      <c r="P852" s="12">
        <f t="shared" si="144"/>
        <v>2.7785817655570089E-3</v>
      </c>
      <c r="Q852" s="12">
        <f t="shared" si="145"/>
        <v>3.1554790590935244E-2</v>
      </c>
      <c r="R852" s="12">
        <f t="shared" si="146"/>
        <v>2.6599426480767407E-2</v>
      </c>
      <c r="S852" s="12">
        <f t="shared" si="147"/>
        <v>4.0887253398769197E-4</v>
      </c>
      <c r="T852" s="12">
        <f t="shared" si="148"/>
        <v>9.365502698009065E-3</v>
      </c>
      <c r="U852" s="12">
        <f t="shared" si="149"/>
        <v>1.1976047904191711E-2</v>
      </c>
      <c r="V852" s="12">
        <f t="shared" si="150"/>
        <v>1.1172169489986006E-2</v>
      </c>
      <c r="W852" s="12">
        <f t="shared" si="151"/>
        <v>-4.2859369317886586E-2</v>
      </c>
      <c r="X852" s="12">
        <f t="shared" si="152"/>
        <v>1.2363996043521341E-2</v>
      </c>
      <c r="Y852" s="12">
        <f t="shared" si="153"/>
        <v>6.7767262739946155E-3</v>
      </c>
    </row>
    <row r="853" spans="1:25" x14ac:dyDescent="0.35">
      <c r="A853" s="6">
        <v>45364</v>
      </c>
      <c r="B853" s="8">
        <v>5165.3100000000004</v>
      </c>
      <c r="C853" s="2">
        <v>171.13</v>
      </c>
      <c r="D853" s="2">
        <v>196.7</v>
      </c>
      <c r="E853" s="2">
        <v>415.1</v>
      </c>
      <c r="F853" s="2">
        <v>488</v>
      </c>
      <c r="G853" s="2">
        <v>161.1</v>
      </c>
      <c r="H853" s="2">
        <v>285.14</v>
      </c>
      <c r="I853" s="2">
        <v>222.81</v>
      </c>
      <c r="J853" s="2">
        <v>182.35</v>
      </c>
      <c r="K853" s="2">
        <v>61.28</v>
      </c>
      <c r="L853" s="2">
        <v>341.52</v>
      </c>
      <c r="M853" s="64" t="s">
        <v>77</v>
      </c>
      <c r="N853" s="1"/>
      <c r="O853" s="12">
        <f t="shared" si="143"/>
        <v>-1.9245372705192221E-3</v>
      </c>
      <c r="P853" s="12">
        <f t="shared" si="144"/>
        <v>-1.2122611556889651E-2</v>
      </c>
      <c r="Q853" s="12">
        <f t="shared" si="145"/>
        <v>-5.460612802103415E-3</v>
      </c>
      <c r="R853" s="12">
        <f t="shared" si="146"/>
        <v>-4.3344249662868872E-4</v>
      </c>
      <c r="S853" s="12">
        <f t="shared" si="147"/>
        <v>-2.7587616225606126E-3</v>
      </c>
      <c r="T853" s="12">
        <f t="shared" si="148"/>
        <v>-1.007742411208068E-2</v>
      </c>
      <c r="U853" s="12">
        <f t="shared" si="149"/>
        <v>4.296985066215786E-3</v>
      </c>
      <c r="V853" s="12">
        <f t="shared" si="150"/>
        <v>7.1861666292383219E-4</v>
      </c>
      <c r="W853" s="12">
        <f t="shared" si="151"/>
        <v>-1.0258358662614042E-2</v>
      </c>
      <c r="X853" s="12">
        <f t="shared" si="152"/>
        <v>-2.1169190685554895E-3</v>
      </c>
      <c r="Y853" s="12">
        <f t="shared" si="153"/>
        <v>1.2691258450954646E-2</v>
      </c>
    </row>
    <row r="854" spans="1:25" x14ac:dyDescent="0.35">
      <c r="A854" s="6">
        <v>45365</v>
      </c>
      <c r="B854" s="8">
        <v>5150.4799999999996</v>
      </c>
      <c r="C854" s="2">
        <v>173</v>
      </c>
      <c r="D854" s="2">
        <v>193.43</v>
      </c>
      <c r="E854" s="2">
        <v>425.22</v>
      </c>
      <c r="F854" s="2">
        <v>489</v>
      </c>
      <c r="G854" s="2">
        <v>159.21</v>
      </c>
      <c r="H854" s="2">
        <v>286.41000000000003</v>
      </c>
      <c r="I854" s="2">
        <v>220.47</v>
      </c>
      <c r="J854" s="2">
        <v>181.15</v>
      </c>
      <c r="K854" s="2">
        <v>61.02</v>
      </c>
      <c r="L854" s="2">
        <v>341.92</v>
      </c>
      <c r="M854" s="64" t="s">
        <v>77</v>
      </c>
      <c r="N854" s="1"/>
      <c r="O854" s="12">
        <f t="shared" si="143"/>
        <v>-2.871076469757039E-3</v>
      </c>
      <c r="P854" s="12">
        <f t="shared" si="144"/>
        <v>1.0927365160988689E-2</v>
      </c>
      <c r="Q854" s="12">
        <f t="shared" si="145"/>
        <v>-1.6624300965937922E-2</v>
      </c>
      <c r="R854" s="12">
        <f t="shared" si="146"/>
        <v>2.4379667549987882E-2</v>
      </c>
      <c r="S854" s="12">
        <f t="shared" si="147"/>
        <v>2.049180327868827E-3</v>
      </c>
      <c r="T854" s="12">
        <f t="shared" si="148"/>
        <v>-1.1731843575418899E-2</v>
      </c>
      <c r="U854" s="12">
        <f t="shared" si="149"/>
        <v>4.4539524444133782E-3</v>
      </c>
      <c r="V854" s="12">
        <f t="shared" si="150"/>
        <v>-1.0502221623805097E-2</v>
      </c>
      <c r="W854" s="12">
        <f t="shared" si="151"/>
        <v>-6.5807513024402908E-3</v>
      </c>
      <c r="X854" s="12">
        <f t="shared" si="152"/>
        <v>-4.2428198433419606E-3</v>
      </c>
      <c r="Y854" s="12">
        <f t="shared" si="153"/>
        <v>1.1712344811432018E-3</v>
      </c>
    </row>
    <row r="855" spans="1:25" x14ac:dyDescent="0.35">
      <c r="A855" s="6">
        <v>45366</v>
      </c>
      <c r="B855" s="8">
        <v>5117.09</v>
      </c>
      <c r="C855" s="2">
        <v>172.62</v>
      </c>
      <c r="D855" s="2">
        <v>191.07</v>
      </c>
      <c r="E855" s="2">
        <v>416.42</v>
      </c>
      <c r="F855" s="2">
        <v>490.82</v>
      </c>
      <c r="G855" s="2">
        <v>158.18</v>
      </c>
      <c r="H855" s="2">
        <v>283.04000000000002</v>
      </c>
      <c r="I855" s="2">
        <v>218.46</v>
      </c>
      <c r="J855" s="2">
        <v>182.53</v>
      </c>
      <c r="K855" s="2">
        <v>60.68</v>
      </c>
      <c r="L855" s="2">
        <v>346.97</v>
      </c>
      <c r="M855" s="64">
        <v>11.29</v>
      </c>
      <c r="N855" s="1"/>
      <c r="O855" s="12">
        <f t="shared" si="143"/>
        <v>-6.4828909150214109E-3</v>
      </c>
      <c r="P855" s="12">
        <f t="shared" si="144"/>
        <v>-2.1965317919074856E-3</v>
      </c>
      <c r="Q855" s="12">
        <f t="shared" si="145"/>
        <v>-1.2200796153647331E-2</v>
      </c>
      <c r="R855" s="12">
        <f t="shared" si="146"/>
        <v>-2.0695169559286963E-2</v>
      </c>
      <c r="S855" s="12">
        <f t="shared" si="147"/>
        <v>3.7218813905930404E-3</v>
      </c>
      <c r="T855" s="12">
        <f t="shared" si="148"/>
        <v>-6.4694428741913779E-3</v>
      </c>
      <c r="U855" s="12">
        <f t="shared" si="149"/>
        <v>-1.1766348940330351E-2</v>
      </c>
      <c r="V855" s="12">
        <f t="shared" si="150"/>
        <v>-9.1168866512449931E-3</v>
      </c>
      <c r="W855" s="12">
        <f t="shared" si="151"/>
        <v>7.6179961357989434E-3</v>
      </c>
      <c r="X855" s="12">
        <f t="shared" si="152"/>
        <v>-5.5719436250409871E-3</v>
      </c>
      <c r="Y855" s="12">
        <f t="shared" si="153"/>
        <v>1.4769536733738819E-2</v>
      </c>
    </row>
    <row r="856" spans="1:25" x14ac:dyDescent="0.35">
      <c r="A856" s="6">
        <v>45369</v>
      </c>
      <c r="B856" s="8">
        <v>5149.42</v>
      </c>
      <c r="C856" s="2">
        <v>173.72</v>
      </c>
      <c r="D856" s="2">
        <v>191.69</v>
      </c>
      <c r="E856" s="2">
        <v>417.32</v>
      </c>
      <c r="F856" s="2">
        <v>487.05</v>
      </c>
      <c r="G856" s="2">
        <v>156.76</v>
      </c>
      <c r="H856" s="2">
        <v>285.05</v>
      </c>
      <c r="I856" s="2">
        <v>220.97</v>
      </c>
      <c r="J856" s="2">
        <v>179.84</v>
      </c>
      <c r="K856" s="2">
        <v>60.86</v>
      </c>
      <c r="L856" s="2">
        <v>351.9</v>
      </c>
      <c r="M856" s="64" t="s">
        <v>77</v>
      </c>
      <c r="N856" s="1"/>
      <c r="O856" s="12">
        <f t="shared" si="143"/>
        <v>6.3180440445644859E-3</v>
      </c>
      <c r="P856" s="12">
        <f t="shared" si="144"/>
        <v>6.372378635152387E-3</v>
      </c>
      <c r="Q856" s="12">
        <f t="shared" si="145"/>
        <v>3.2448840738996676E-3</v>
      </c>
      <c r="R856" s="12">
        <f t="shared" si="146"/>
        <v>2.161279477450595E-3</v>
      </c>
      <c r="S856" s="12">
        <f t="shared" si="147"/>
        <v>-7.6810235931705773E-3</v>
      </c>
      <c r="T856" s="12">
        <f t="shared" si="148"/>
        <v>-8.9771146794791479E-3</v>
      </c>
      <c r="U856" s="12">
        <f t="shared" si="149"/>
        <v>7.1014697569247165E-3</v>
      </c>
      <c r="V856" s="12">
        <f t="shared" si="150"/>
        <v>1.1489517531813487E-2</v>
      </c>
      <c r="W856" s="12">
        <f t="shared" si="151"/>
        <v>-1.4737303456966E-2</v>
      </c>
      <c r="X856" s="12">
        <f t="shared" si="152"/>
        <v>2.9663810151614456E-3</v>
      </c>
      <c r="Y856" s="12">
        <f t="shared" si="153"/>
        <v>1.4208721215090536E-2</v>
      </c>
    </row>
    <row r="857" spans="1:25" x14ac:dyDescent="0.35">
      <c r="A857" s="6">
        <v>45370</v>
      </c>
      <c r="B857" s="8">
        <v>5178.51</v>
      </c>
      <c r="C857" s="2">
        <v>176.08</v>
      </c>
      <c r="D857" s="2">
        <v>193.34</v>
      </c>
      <c r="E857" s="2">
        <v>421.41</v>
      </c>
      <c r="F857" s="2">
        <v>493.32</v>
      </c>
      <c r="G857" s="2">
        <v>156.21</v>
      </c>
      <c r="H857" s="2">
        <v>287.35000000000002</v>
      </c>
      <c r="I857" s="2">
        <v>221.69</v>
      </c>
      <c r="J857" s="2">
        <v>181.14</v>
      </c>
      <c r="K857" s="2">
        <v>60.87</v>
      </c>
      <c r="L857" s="2">
        <v>353.9</v>
      </c>
      <c r="M857" s="64" t="s">
        <v>77</v>
      </c>
      <c r="N857" s="1"/>
      <c r="O857" s="12">
        <f t="shared" si="143"/>
        <v>5.6491799076401339E-3</v>
      </c>
      <c r="P857" s="12">
        <f t="shared" si="144"/>
        <v>1.3585079438176439E-2</v>
      </c>
      <c r="Q857" s="12">
        <f t="shared" si="145"/>
        <v>8.6076477646199745E-3</v>
      </c>
      <c r="R857" s="12">
        <f t="shared" si="146"/>
        <v>9.8006326080706252E-3</v>
      </c>
      <c r="S857" s="12">
        <f t="shared" si="147"/>
        <v>1.287342161995686E-2</v>
      </c>
      <c r="T857" s="12">
        <f t="shared" si="148"/>
        <v>-3.5085480990046936E-3</v>
      </c>
      <c r="U857" s="12">
        <f t="shared" si="149"/>
        <v>8.0687598666902005E-3</v>
      </c>
      <c r="V857" s="12">
        <f t="shared" si="150"/>
        <v>3.258360863465537E-3</v>
      </c>
      <c r="W857" s="12">
        <f t="shared" si="151"/>
        <v>7.2286476868326233E-3</v>
      </c>
      <c r="X857" s="12">
        <f t="shared" si="152"/>
        <v>1.6431153466966997E-4</v>
      </c>
      <c r="Y857" s="12">
        <f t="shared" si="153"/>
        <v>5.6834327934072171E-3</v>
      </c>
    </row>
    <row r="858" spans="1:25" x14ac:dyDescent="0.35">
      <c r="A858" s="6">
        <v>45371</v>
      </c>
      <c r="B858" s="8">
        <v>5224.62</v>
      </c>
      <c r="C858" s="2">
        <v>178.67</v>
      </c>
      <c r="D858" s="2">
        <v>193.96</v>
      </c>
      <c r="E858" s="2">
        <v>425.23</v>
      </c>
      <c r="F858" s="2">
        <v>494.23</v>
      </c>
      <c r="G858" s="2">
        <v>155.76</v>
      </c>
      <c r="H858" s="2">
        <v>289.27999999999997</v>
      </c>
      <c r="I858" s="2">
        <v>227.91</v>
      </c>
      <c r="J858" s="2">
        <v>187.78</v>
      </c>
      <c r="K858" s="2">
        <v>61.25</v>
      </c>
      <c r="L858" s="2">
        <v>356.45</v>
      </c>
      <c r="M858" s="64" t="s">
        <v>77</v>
      </c>
      <c r="N858" s="1"/>
      <c r="O858" s="12">
        <f t="shared" si="143"/>
        <v>8.9041056211149883E-3</v>
      </c>
      <c r="P858" s="12">
        <f t="shared" si="144"/>
        <v>1.4709223080417777E-2</v>
      </c>
      <c r="Q858" s="12">
        <f t="shared" si="145"/>
        <v>3.2067859728974746E-3</v>
      </c>
      <c r="R858" s="12">
        <f t="shared" si="146"/>
        <v>9.064806245699053E-3</v>
      </c>
      <c r="S858" s="12">
        <f t="shared" si="147"/>
        <v>1.844644449850108E-3</v>
      </c>
      <c r="T858" s="12">
        <f t="shared" si="148"/>
        <v>-2.8807374687921383E-3</v>
      </c>
      <c r="U858" s="12">
        <f t="shared" si="149"/>
        <v>6.7165477640507287E-3</v>
      </c>
      <c r="V858" s="12">
        <f t="shared" si="150"/>
        <v>2.8057196986783328E-2</v>
      </c>
      <c r="W858" s="12">
        <f t="shared" si="151"/>
        <v>3.6656729601413307E-2</v>
      </c>
      <c r="X858" s="12">
        <f t="shared" si="152"/>
        <v>6.242812551338961E-3</v>
      </c>
      <c r="Y858" s="12">
        <f t="shared" si="153"/>
        <v>7.2054252613733549E-3</v>
      </c>
    </row>
    <row r="859" spans="1:25" x14ac:dyDescent="0.35">
      <c r="A859" s="6">
        <v>45372</v>
      </c>
      <c r="B859" s="8">
        <v>5241.53</v>
      </c>
      <c r="C859" s="2">
        <v>171.37</v>
      </c>
      <c r="D859" s="2">
        <v>191.9</v>
      </c>
      <c r="E859" s="2">
        <v>429.37</v>
      </c>
      <c r="F859" s="2">
        <v>491.69</v>
      </c>
      <c r="G859" s="2">
        <v>155.75</v>
      </c>
      <c r="H859" s="2">
        <v>290.37</v>
      </c>
      <c r="I859" s="2">
        <v>229.12</v>
      </c>
      <c r="J859" s="2">
        <v>187.7</v>
      </c>
      <c r="K859" s="2">
        <v>61.45</v>
      </c>
      <c r="L859" s="2">
        <v>364.56</v>
      </c>
      <c r="M859" s="64" t="s">
        <v>77</v>
      </c>
      <c r="N859" s="1"/>
      <c r="O859" s="12">
        <f t="shared" si="143"/>
        <v>3.2365990253835353E-3</v>
      </c>
      <c r="P859" s="12">
        <f t="shared" si="144"/>
        <v>-4.0857446689427368E-2</v>
      </c>
      <c r="Q859" s="12">
        <f t="shared" si="145"/>
        <v>-1.0620746545679571E-2</v>
      </c>
      <c r="R859" s="12">
        <f t="shared" si="146"/>
        <v>9.7359076264609268E-3</v>
      </c>
      <c r="S859" s="12">
        <f t="shared" si="147"/>
        <v>-5.1393076098172896E-3</v>
      </c>
      <c r="T859" s="12">
        <f t="shared" si="148"/>
        <v>-6.4201335387759073E-5</v>
      </c>
      <c r="U859" s="12">
        <f t="shared" si="149"/>
        <v>3.7679756637170048E-3</v>
      </c>
      <c r="V859" s="12">
        <f t="shared" si="150"/>
        <v>5.3091132464568869E-3</v>
      </c>
      <c r="W859" s="12">
        <f t="shared" si="151"/>
        <v>-4.2603046117806187E-4</v>
      </c>
      <c r="X859" s="12">
        <f t="shared" si="152"/>
        <v>3.2653061224490187E-3</v>
      </c>
      <c r="Y859" s="12">
        <f t="shared" si="153"/>
        <v>2.2752139149951001E-2</v>
      </c>
    </row>
    <row r="860" spans="1:25" x14ac:dyDescent="0.35">
      <c r="A860" s="6">
        <v>45373</v>
      </c>
      <c r="B860" s="8">
        <v>5234.18</v>
      </c>
      <c r="C860" s="2">
        <v>172.28</v>
      </c>
      <c r="D860" s="2">
        <v>190.84</v>
      </c>
      <c r="E860" s="2">
        <v>428.74</v>
      </c>
      <c r="F860" s="2">
        <v>490.07</v>
      </c>
      <c r="G860" s="2">
        <v>155.22999999999999</v>
      </c>
      <c r="H860" s="2">
        <v>283.26</v>
      </c>
      <c r="I860" s="2">
        <v>225.96</v>
      </c>
      <c r="J860" s="2">
        <v>188.85</v>
      </c>
      <c r="K860" s="2">
        <v>60.87</v>
      </c>
      <c r="L860" s="2">
        <v>358.11</v>
      </c>
      <c r="M860" s="64">
        <v>11.18</v>
      </c>
      <c r="N860" s="1"/>
      <c r="O860" s="12">
        <f t="shared" si="143"/>
        <v>-1.4022623165372838E-3</v>
      </c>
      <c r="P860" s="12">
        <f t="shared" si="144"/>
        <v>5.3101476337749087E-3</v>
      </c>
      <c r="Q860" s="12">
        <f t="shared" si="145"/>
        <v>-5.5237102657634818E-3</v>
      </c>
      <c r="R860" s="12">
        <f t="shared" si="146"/>
        <v>-1.4672659943638644E-3</v>
      </c>
      <c r="S860" s="12">
        <f t="shared" si="147"/>
        <v>-3.2947588927982885E-3</v>
      </c>
      <c r="T860" s="12">
        <f t="shared" si="148"/>
        <v>-3.3386837881220766E-3</v>
      </c>
      <c r="U860" s="12">
        <f t="shared" si="149"/>
        <v>-2.4486000619898807E-2</v>
      </c>
      <c r="V860" s="12">
        <f t="shared" si="150"/>
        <v>-1.3791899441340738E-2</v>
      </c>
      <c r="W860" s="12">
        <f t="shared" si="151"/>
        <v>6.126798082045859E-3</v>
      </c>
      <c r="X860" s="12">
        <f t="shared" si="152"/>
        <v>-9.438567941415843E-3</v>
      </c>
      <c r="Y860" s="12">
        <f t="shared" si="153"/>
        <v>-1.7692560895325893E-2</v>
      </c>
    </row>
    <row r="861" spans="1:25" x14ac:dyDescent="0.35">
      <c r="A861" s="6">
        <v>45376</v>
      </c>
      <c r="B861" s="8">
        <v>5218.1899999999996</v>
      </c>
      <c r="C861" s="2">
        <v>170.85</v>
      </c>
      <c r="D861" s="2">
        <v>188.79</v>
      </c>
      <c r="E861" s="2">
        <v>422.86</v>
      </c>
      <c r="F861" s="2">
        <v>485.88</v>
      </c>
      <c r="G861" s="2">
        <v>155.22</v>
      </c>
      <c r="H861" s="2">
        <v>281.20999999999998</v>
      </c>
      <c r="I861" s="2">
        <v>226.03</v>
      </c>
      <c r="J861" s="2">
        <v>191.41</v>
      </c>
      <c r="K861" s="2">
        <v>60.57</v>
      </c>
      <c r="L861" s="2">
        <v>355.95</v>
      </c>
      <c r="M861" s="64" t="s">
        <v>77</v>
      </c>
      <c r="N861" s="1"/>
      <c r="O861" s="12">
        <f t="shared" si="143"/>
        <v>-3.0549197773100945E-3</v>
      </c>
      <c r="P861" s="12">
        <f t="shared" si="144"/>
        <v>-8.3004411423265312E-3</v>
      </c>
      <c r="Q861" s="12">
        <f t="shared" si="145"/>
        <v>-1.0741982812827566E-2</v>
      </c>
      <c r="R861" s="12">
        <f t="shared" si="146"/>
        <v>-1.3714605588468487E-2</v>
      </c>
      <c r="S861" s="12">
        <f t="shared" si="147"/>
        <v>-8.5497990083048814E-3</v>
      </c>
      <c r="T861" s="12">
        <f t="shared" si="148"/>
        <v>-6.4420537267184663E-5</v>
      </c>
      <c r="U861" s="12">
        <f t="shared" si="149"/>
        <v>-7.2371672668219977E-3</v>
      </c>
      <c r="V861" s="12">
        <f t="shared" si="150"/>
        <v>3.0978934324665808E-4</v>
      </c>
      <c r="W861" s="12">
        <f t="shared" si="151"/>
        <v>1.3555732062483505E-2</v>
      </c>
      <c r="X861" s="12">
        <f t="shared" si="152"/>
        <v>-4.928536224741209E-3</v>
      </c>
      <c r="Y861" s="12">
        <f t="shared" si="153"/>
        <v>-6.0316662478010485E-3</v>
      </c>
    </row>
    <row r="862" spans="1:25" x14ac:dyDescent="0.35">
      <c r="A862" s="6">
        <v>45377</v>
      </c>
      <c r="B862" s="8">
        <v>5203.58</v>
      </c>
      <c r="C862" s="2">
        <v>169.71</v>
      </c>
      <c r="D862" s="2">
        <v>188.5</v>
      </c>
      <c r="E862" s="2">
        <v>421.65</v>
      </c>
      <c r="F862" s="2">
        <v>492.31</v>
      </c>
      <c r="G862" s="2">
        <v>155.77000000000001</v>
      </c>
      <c r="H862" s="2">
        <v>280.60000000000002</v>
      </c>
      <c r="I862" s="2">
        <v>224.46</v>
      </c>
      <c r="J862" s="2">
        <v>187.5</v>
      </c>
      <c r="K862" s="2">
        <v>60.51</v>
      </c>
      <c r="L862" s="2">
        <v>356.39</v>
      </c>
      <c r="M862" s="64" t="s">
        <v>77</v>
      </c>
      <c r="N862" s="1"/>
      <c r="O862" s="12">
        <f t="shared" si="143"/>
        <v>-2.7998213940082506E-3</v>
      </c>
      <c r="P862" s="12">
        <f t="shared" si="144"/>
        <v>-6.6725197541702697E-3</v>
      </c>
      <c r="Q862" s="12">
        <f t="shared" si="145"/>
        <v>-1.536098310291778E-3</v>
      </c>
      <c r="R862" s="12">
        <f t="shared" si="146"/>
        <v>-2.8614671522491086E-3</v>
      </c>
      <c r="S862" s="12">
        <f t="shared" si="147"/>
        <v>1.3233720260146464E-2</v>
      </c>
      <c r="T862" s="12">
        <f t="shared" si="148"/>
        <v>3.5433578147145983E-3</v>
      </c>
      <c r="U862" s="12">
        <f t="shared" si="149"/>
        <v>-2.1691973969629741E-3</v>
      </c>
      <c r="V862" s="12">
        <f t="shared" si="150"/>
        <v>-6.9459806220413256E-3</v>
      </c>
      <c r="W862" s="12">
        <f t="shared" si="151"/>
        <v>-2.0427354892638805E-2</v>
      </c>
      <c r="X862" s="12">
        <f t="shared" si="152"/>
        <v>-9.9058940069340906E-4</v>
      </c>
      <c r="Y862" s="12">
        <f t="shared" si="153"/>
        <v>1.2361286697570861E-3</v>
      </c>
    </row>
    <row r="863" spans="1:25" x14ac:dyDescent="0.35">
      <c r="A863" s="6">
        <v>45378</v>
      </c>
      <c r="B863" s="8">
        <v>5248.49</v>
      </c>
      <c r="C863" s="2">
        <v>173.31</v>
      </c>
      <c r="D863" s="2">
        <v>190.8</v>
      </c>
      <c r="E863" s="2">
        <v>421.43</v>
      </c>
      <c r="F863" s="2">
        <v>493.1</v>
      </c>
      <c r="G863" s="2">
        <v>157.96</v>
      </c>
      <c r="H863" s="2">
        <v>279.02</v>
      </c>
      <c r="I863" s="2">
        <v>227.75</v>
      </c>
      <c r="J863" s="2">
        <v>191.95</v>
      </c>
      <c r="K863" s="2">
        <v>60.72</v>
      </c>
      <c r="L863" s="2">
        <v>364.65</v>
      </c>
      <c r="M863" s="64" t="s">
        <v>77</v>
      </c>
      <c r="N863" s="1"/>
      <c r="O863" s="12">
        <f t="shared" si="143"/>
        <v>8.6305966277062662E-3</v>
      </c>
      <c r="P863" s="12">
        <f t="shared" si="144"/>
        <v>2.121265688527485E-2</v>
      </c>
      <c r="Q863" s="12">
        <f t="shared" si="145"/>
        <v>1.2201591511936449E-2</v>
      </c>
      <c r="R863" s="12">
        <f t="shared" si="146"/>
        <v>-5.21759753349893E-4</v>
      </c>
      <c r="S863" s="12">
        <f t="shared" si="147"/>
        <v>1.6046799780626841E-3</v>
      </c>
      <c r="T863" s="12">
        <f t="shared" si="148"/>
        <v>1.4059189831161278E-2</v>
      </c>
      <c r="U863" s="12">
        <f t="shared" si="149"/>
        <v>-5.6307911617963224E-3</v>
      </c>
      <c r="V863" s="12">
        <f t="shared" si="150"/>
        <v>1.465739998217952E-2</v>
      </c>
      <c r="W863" s="12">
        <f t="shared" si="151"/>
        <v>2.3733333333333162E-2</v>
      </c>
      <c r="X863" s="12">
        <f t="shared" si="152"/>
        <v>3.4705007436788282E-3</v>
      </c>
      <c r="Y863" s="12">
        <f t="shared" si="153"/>
        <v>2.3176856814164148E-2</v>
      </c>
    </row>
    <row r="864" spans="1:25" x14ac:dyDescent="0.35">
      <c r="A864" s="6">
        <v>45379</v>
      </c>
      <c r="B864" s="8">
        <v>5254.35</v>
      </c>
      <c r="C864" s="2">
        <v>171.48</v>
      </c>
      <c r="D864" s="2">
        <v>190.96</v>
      </c>
      <c r="E864" s="2">
        <v>420.72</v>
      </c>
      <c r="F864" s="2">
        <v>494.7</v>
      </c>
      <c r="G864" s="2">
        <v>158.19</v>
      </c>
      <c r="H864" s="2">
        <v>279.08</v>
      </c>
      <c r="I864" s="2">
        <v>227.69</v>
      </c>
      <c r="J864" s="2">
        <v>192.99</v>
      </c>
      <c r="K864" s="2">
        <v>60.17</v>
      </c>
      <c r="L864" s="2">
        <v>366.43</v>
      </c>
      <c r="M864" s="64" t="s">
        <v>77</v>
      </c>
      <c r="N864" s="1"/>
      <c r="O864" s="12">
        <f t="shared" si="143"/>
        <v>1.1165116061955249E-3</v>
      </c>
      <c r="P864" s="12">
        <f t="shared" si="144"/>
        <v>-1.0559113726847924E-2</v>
      </c>
      <c r="Q864" s="12">
        <f t="shared" si="145"/>
        <v>8.3857442348000966E-4</v>
      </c>
      <c r="R864" s="12">
        <f t="shared" si="146"/>
        <v>-1.6847400517285838E-3</v>
      </c>
      <c r="S864" s="12">
        <f t="shared" si="147"/>
        <v>3.2447779355100348E-3</v>
      </c>
      <c r="T864" s="12">
        <f t="shared" si="148"/>
        <v>1.4560648265382614E-3</v>
      </c>
      <c r="U864" s="12">
        <f t="shared" si="149"/>
        <v>2.1503834850555847E-4</v>
      </c>
      <c r="V864" s="12">
        <f t="shared" si="150"/>
        <v>-2.6344676180023452E-4</v>
      </c>
      <c r="W864" s="12">
        <f t="shared" si="151"/>
        <v>5.4180776243815121E-3</v>
      </c>
      <c r="X864" s="12">
        <f t="shared" si="152"/>
        <v>-9.0579710144926828E-3</v>
      </c>
      <c r="Y864" s="12">
        <f t="shared" si="153"/>
        <v>4.8813931166873381E-3</v>
      </c>
    </row>
    <row r="865" spans="1:25" x14ac:dyDescent="0.35">
      <c r="A865" s="6">
        <v>45383</v>
      </c>
      <c r="B865" s="8">
        <v>5243.77</v>
      </c>
      <c r="C865" s="2">
        <v>170.03</v>
      </c>
      <c r="D865" s="2">
        <v>189.83</v>
      </c>
      <c r="E865" s="2">
        <v>424.57</v>
      </c>
      <c r="F865" s="2">
        <v>489.7</v>
      </c>
      <c r="G865" s="2">
        <v>157.78</v>
      </c>
      <c r="H865" s="2">
        <v>278.27999999999997</v>
      </c>
      <c r="I865" s="2">
        <v>227.61</v>
      </c>
      <c r="J865" s="2">
        <v>189.5</v>
      </c>
      <c r="K865" s="2">
        <v>60</v>
      </c>
      <c r="L865" s="2">
        <v>363.74</v>
      </c>
      <c r="M865" s="64">
        <v>11.09</v>
      </c>
      <c r="N865" s="1"/>
      <c r="O865" s="12">
        <f t="shared" si="143"/>
        <v>-2.0135697089078697E-3</v>
      </c>
      <c r="P865" s="12">
        <f t="shared" si="144"/>
        <v>-8.455796594354914E-3</v>
      </c>
      <c r="Q865" s="12">
        <f t="shared" si="145"/>
        <v>-5.9174696271470095E-3</v>
      </c>
      <c r="R865" s="12">
        <f t="shared" si="146"/>
        <v>9.1509792736261808E-3</v>
      </c>
      <c r="S865" s="12">
        <f t="shared" si="147"/>
        <v>-1.0107135637760223E-2</v>
      </c>
      <c r="T865" s="12">
        <f t="shared" si="148"/>
        <v>-2.5918199633352401E-3</v>
      </c>
      <c r="U865" s="12">
        <f t="shared" si="149"/>
        <v>-2.8665615594095639E-3</v>
      </c>
      <c r="V865" s="12">
        <f t="shared" si="150"/>
        <v>-3.5135491238080796E-4</v>
      </c>
      <c r="W865" s="12">
        <f t="shared" si="151"/>
        <v>-1.8083838540857045E-2</v>
      </c>
      <c r="X865" s="12">
        <f t="shared" si="152"/>
        <v>-2.8253282366628163E-3</v>
      </c>
      <c r="Y865" s="12">
        <f t="shared" si="153"/>
        <v>-7.3411019840078362E-3</v>
      </c>
    </row>
    <row r="866" spans="1:25" x14ac:dyDescent="0.35">
      <c r="A866" s="6">
        <v>45384</v>
      </c>
      <c r="B866" s="8">
        <v>5205.8100000000004</v>
      </c>
      <c r="C866" s="2">
        <v>168.84</v>
      </c>
      <c r="D866" s="2">
        <v>188.88</v>
      </c>
      <c r="E866" s="2">
        <v>421.44</v>
      </c>
      <c r="F866" s="2">
        <v>458.14</v>
      </c>
      <c r="G866" s="2">
        <v>157.72999999999999</v>
      </c>
      <c r="H866" s="2">
        <v>278.44</v>
      </c>
      <c r="I866" s="2">
        <v>225.53</v>
      </c>
      <c r="J866" s="2">
        <v>188.04</v>
      </c>
      <c r="K866" s="2">
        <v>59.16</v>
      </c>
      <c r="L866" s="2">
        <v>364.83</v>
      </c>
      <c r="M866" s="64" t="s">
        <v>77</v>
      </c>
      <c r="N866" s="1"/>
      <c r="O866" s="12">
        <f t="shared" si="143"/>
        <v>-7.2390665494481699E-3</v>
      </c>
      <c r="P866" s="12">
        <f t="shared" si="144"/>
        <v>-6.9987649238369976E-3</v>
      </c>
      <c r="Q866" s="12">
        <f t="shared" si="145"/>
        <v>-5.0044776905653343E-3</v>
      </c>
      <c r="R866" s="12">
        <f t="shared" si="146"/>
        <v>-7.3721647784817934E-3</v>
      </c>
      <c r="S866" s="12">
        <f t="shared" si="147"/>
        <v>-6.4447620992444388E-2</v>
      </c>
      <c r="T866" s="12">
        <f t="shared" si="148"/>
        <v>-3.1689694511349842E-4</v>
      </c>
      <c r="U866" s="12">
        <f t="shared" si="149"/>
        <v>5.7496047146776696E-4</v>
      </c>
      <c r="V866" s="12">
        <f t="shared" si="150"/>
        <v>-9.1384385571812166E-3</v>
      </c>
      <c r="W866" s="12">
        <f t="shared" si="151"/>
        <v>-7.7044854881267444E-3</v>
      </c>
      <c r="X866" s="12">
        <f t="shared" si="152"/>
        <v>-1.4000000000000012E-2</v>
      </c>
      <c r="Y866" s="12">
        <f t="shared" si="153"/>
        <v>2.9966459559025438E-3</v>
      </c>
    </row>
    <row r="867" spans="1:25" x14ac:dyDescent="0.35">
      <c r="A867" s="6">
        <v>45385</v>
      </c>
      <c r="B867" s="8">
        <v>5211.49</v>
      </c>
      <c r="C867" s="2">
        <v>169.65</v>
      </c>
      <c r="D867" s="2">
        <v>190.9</v>
      </c>
      <c r="E867" s="2">
        <v>420.45</v>
      </c>
      <c r="F867" s="2">
        <v>459.74</v>
      </c>
      <c r="G867" s="2">
        <v>154.26</v>
      </c>
      <c r="H867" s="2">
        <v>276.95999999999998</v>
      </c>
      <c r="I867" s="2">
        <v>226.63</v>
      </c>
      <c r="J867" s="2">
        <v>184.92</v>
      </c>
      <c r="K867" s="2">
        <v>59.43</v>
      </c>
      <c r="L867" s="2">
        <v>375.79</v>
      </c>
      <c r="M867" s="64" t="s">
        <v>77</v>
      </c>
      <c r="N867" s="1"/>
      <c r="O867" s="12">
        <f t="shared" si="143"/>
        <v>1.0910886106099138E-3</v>
      </c>
      <c r="P867" s="12">
        <f t="shared" si="144"/>
        <v>4.7974413646054703E-3</v>
      </c>
      <c r="Q867" s="12">
        <f t="shared" si="145"/>
        <v>1.0694620923337617E-2</v>
      </c>
      <c r="R867" s="12">
        <f t="shared" si="146"/>
        <v>-2.3490888382687869E-3</v>
      </c>
      <c r="S867" s="12">
        <f t="shared" si="147"/>
        <v>3.4923822412362693E-3</v>
      </c>
      <c r="T867" s="12">
        <f t="shared" si="148"/>
        <v>-2.1999619603119247E-2</v>
      </c>
      <c r="U867" s="12">
        <f t="shared" si="149"/>
        <v>-5.3153282574343041E-3</v>
      </c>
      <c r="V867" s="12">
        <f t="shared" si="150"/>
        <v>4.877399902452062E-3</v>
      </c>
      <c r="W867" s="12">
        <f t="shared" si="151"/>
        <v>-1.6592214422463281E-2</v>
      </c>
      <c r="X867" s="12">
        <f t="shared" si="152"/>
        <v>4.563894523326617E-3</v>
      </c>
      <c r="Y867" s="12">
        <f t="shared" si="153"/>
        <v>3.0041389140147645E-2</v>
      </c>
    </row>
    <row r="868" spans="1:25" x14ac:dyDescent="0.35">
      <c r="A868" s="6">
        <v>45386</v>
      </c>
      <c r="B868" s="8">
        <v>5147.21</v>
      </c>
      <c r="C868" s="2">
        <v>168.82</v>
      </c>
      <c r="D868" s="2">
        <v>187.94</v>
      </c>
      <c r="E868" s="2">
        <v>417.88</v>
      </c>
      <c r="F868" s="2">
        <v>455.38</v>
      </c>
      <c r="G868" s="2">
        <v>152.5</v>
      </c>
      <c r="H868" s="2">
        <v>274</v>
      </c>
      <c r="I868" s="2">
        <v>219.59</v>
      </c>
      <c r="J868" s="2">
        <v>183.29</v>
      </c>
      <c r="K868" s="2">
        <v>59.5</v>
      </c>
      <c r="L868" s="2">
        <v>369.79</v>
      </c>
      <c r="M868" s="64" t="s">
        <v>77</v>
      </c>
      <c r="N868" s="1"/>
      <c r="O868" s="12">
        <f t="shared" si="143"/>
        <v>-1.2334284436888443E-2</v>
      </c>
      <c r="P868" s="12">
        <f t="shared" si="144"/>
        <v>-4.892425582080806E-3</v>
      </c>
      <c r="Q868" s="12">
        <f t="shared" si="145"/>
        <v>-1.5505500261917327E-2</v>
      </c>
      <c r="R868" s="12">
        <f t="shared" si="146"/>
        <v>-6.1124985134973775E-3</v>
      </c>
      <c r="S868" s="12">
        <f t="shared" si="147"/>
        <v>-9.4836211771871515E-3</v>
      </c>
      <c r="T868" s="12">
        <f t="shared" si="148"/>
        <v>-1.1409308958900466E-2</v>
      </c>
      <c r="U868" s="12">
        <f t="shared" si="149"/>
        <v>-1.0687463893703009E-2</v>
      </c>
      <c r="V868" s="12">
        <f t="shared" si="150"/>
        <v>-3.1063848563738228E-2</v>
      </c>
      <c r="W868" s="12">
        <f t="shared" si="151"/>
        <v>-8.8146225394765132E-3</v>
      </c>
      <c r="X868" s="12">
        <f t="shared" si="152"/>
        <v>1.1778563015312216E-3</v>
      </c>
      <c r="Y868" s="12">
        <f t="shared" si="153"/>
        <v>-1.5966364192767202E-2</v>
      </c>
    </row>
    <row r="869" spans="1:25" x14ac:dyDescent="0.35">
      <c r="A869" s="6">
        <v>45387</v>
      </c>
      <c r="B869" s="8">
        <v>5204.34</v>
      </c>
      <c r="C869" s="2">
        <v>169.58</v>
      </c>
      <c r="D869" s="2">
        <v>189.14</v>
      </c>
      <c r="E869" s="2">
        <v>425.52</v>
      </c>
      <c r="F869" s="2">
        <v>455.74</v>
      </c>
      <c r="G869" s="2">
        <v>152.38999999999999</v>
      </c>
      <c r="H869" s="2">
        <v>277.14</v>
      </c>
      <c r="I869" s="2">
        <v>222.46</v>
      </c>
      <c r="J869" s="2">
        <v>183.14</v>
      </c>
      <c r="K869" s="2">
        <v>59.85</v>
      </c>
      <c r="L869" s="2">
        <v>379.3</v>
      </c>
      <c r="M869" s="64" t="s">
        <v>77</v>
      </c>
      <c r="N869" s="1"/>
      <c r="O869" s="12">
        <f t="shared" si="143"/>
        <v>1.1099216857287653E-2</v>
      </c>
      <c r="P869" s="12">
        <f t="shared" si="144"/>
        <v>4.5018362753228569E-3</v>
      </c>
      <c r="Q869" s="12">
        <f t="shared" si="145"/>
        <v>6.3850164946259724E-3</v>
      </c>
      <c r="R869" s="12">
        <f t="shared" si="146"/>
        <v>1.8282760601129544E-2</v>
      </c>
      <c r="S869" s="12">
        <f t="shared" si="147"/>
        <v>7.9054855285698444E-4</v>
      </c>
      <c r="T869" s="12">
        <f t="shared" si="148"/>
        <v>-7.2131147540988039E-4</v>
      </c>
      <c r="U869" s="12">
        <f t="shared" si="149"/>
        <v>1.1459854014598481E-2</v>
      </c>
      <c r="V869" s="12">
        <f t="shared" si="150"/>
        <v>1.3069811922218788E-2</v>
      </c>
      <c r="W869" s="12">
        <f t="shared" si="151"/>
        <v>-8.1837525233241504E-4</v>
      </c>
      <c r="X869" s="12">
        <f t="shared" si="152"/>
        <v>5.8823529411764497E-3</v>
      </c>
      <c r="Y869" s="12">
        <f t="shared" si="153"/>
        <v>2.5717299007544714E-2</v>
      </c>
    </row>
    <row r="870" spans="1:25" x14ac:dyDescent="0.35">
      <c r="A870" s="6">
        <v>45390</v>
      </c>
      <c r="B870" s="8">
        <v>5202.3900000000003</v>
      </c>
      <c r="C870" s="2">
        <v>168.45</v>
      </c>
      <c r="D870" s="2">
        <v>189.82</v>
      </c>
      <c r="E870" s="2">
        <v>424.59</v>
      </c>
      <c r="F870" s="2">
        <v>456</v>
      </c>
      <c r="G870" s="2">
        <v>151.59</v>
      </c>
      <c r="H870" s="2">
        <v>277.76</v>
      </c>
      <c r="I870" s="2">
        <v>224.11</v>
      </c>
      <c r="J870" s="2">
        <v>181.56</v>
      </c>
      <c r="K870" s="2">
        <v>59.78</v>
      </c>
      <c r="L870" s="2">
        <v>373.47</v>
      </c>
      <c r="M870" s="64">
        <v>11.28</v>
      </c>
      <c r="N870" s="1"/>
      <c r="O870" s="12">
        <f t="shared" si="143"/>
        <v>-3.7468728023148934E-4</v>
      </c>
      <c r="P870" s="12">
        <f t="shared" si="144"/>
        <v>-6.6635216417031407E-3</v>
      </c>
      <c r="Q870" s="12">
        <f t="shared" si="145"/>
        <v>3.595220471608318E-3</v>
      </c>
      <c r="R870" s="12">
        <f t="shared" si="146"/>
        <v>-2.185561195713448E-3</v>
      </c>
      <c r="S870" s="12">
        <f t="shared" si="147"/>
        <v>5.705007240970339E-4</v>
      </c>
      <c r="T870" s="12">
        <f t="shared" si="148"/>
        <v>-5.2496882997571381E-3</v>
      </c>
      <c r="U870" s="12">
        <f t="shared" si="149"/>
        <v>2.2371364653244186E-3</v>
      </c>
      <c r="V870" s="12">
        <f t="shared" si="150"/>
        <v>7.4170637417962926E-3</v>
      </c>
      <c r="W870" s="12">
        <f t="shared" si="151"/>
        <v>-8.6272796767499216E-3</v>
      </c>
      <c r="X870" s="12">
        <f t="shared" si="152"/>
        <v>-1.1695906432748204E-3</v>
      </c>
      <c r="Y870" s="12">
        <f t="shared" si="153"/>
        <v>-1.5370419193250662E-2</v>
      </c>
    </row>
    <row r="871" spans="1:25" x14ac:dyDescent="0.35">
      <c r="A871" s="6">
        <v>45391</v>
      </c>
      <c r="B871" s="8">
        <v>5209.91</v>
      </c>
      <c r="C871" s="2">
        <v>169.67</v>
      </c>
      <c r="D871" s="2">
        <v>189.31</v>
      </c>
      <c r="E871" s="2">
        <v>426.28</v>
      </c>
      <c r="F871" s="2">
        <v>459.72</v>
      </c>
      <c r="G871" s="2">
        <v>152.29</v>
      </c>
      <c r="H871" s="2">
        <v>276.72000000000003</v>
      </c>
      <c r="I871" s="2">
        <v>219.84</v>
      </c>
      <c r="J871" s="2">
        <v>178.12</v>
      </c>
      <c r="K871" s="2">
        <v>59.79</v>
      </c>
      <c r="L871" s="2">
        <v>371.9</v>
      </c>
      <c r="M871" s="64" t="s">
        <v>77</v>
      </c>
      <c r="N871" s="1"/>
      <c r="O871" s="12">
        <f t="shared" si="143"/>
        <v>1.4454894769517779E-3</v>
      </c>
      <c r="P871" s="12">
        <f t="shared" si="144"/>
        <v>7.2425051944196017E-3</v>
      </c>
      <c r="Q871" s="12">
        <f t="shared" si="145"/>
        <v>-2.6867558739858133E-3</v>
      </c>
      <c r="R871" s="12">
        <f t="shared" si="146"/>
        <v>3.9803104171083348E-3</v>
      </c>
      <c r="S871" s="12">
        <f t="shared" si="147"/>
        <v>8.1578947368421417E-3</v>
      </c>
      <c r="T871" s="12">
        <f t="shared" si="148"/>
        <v>4.6177188468896624E-3</v>
      </c>
      <c r="U871" s="12">
        <f t="shared" si="149"/>
        <v>-3.7442396313362991E-3</v>
      </c>
      <c r="V871" s="12">
        <f t="shared" si="150"/>
        <v>-1.9053143545580298E-2</v>
      </c>
      <c r="W871" s="12">
        <f t="shared" si="151"/>
        <v>-1.8946904604538406E-2</v>
      </c>
      <c r="X871" s="12">
        <f t="shared" si="152"/>
        <v>1.6728002676469345E-4</v>
      </c>
      <c r="Y871" s="12">
        <f t="shared" si="153"/>
        <v>-4.2038182451068495E-3</v>
      </c>
    </row>
    <row r="872" spans="1:25" x14ac:dyDescent="0.35">
      <c r="A872" s="6">
        <v>45392</v>
      </c>
      <c r="B872" s="8">
        <v>5160.6400000000003</v>
      </c>
      <c r="C872" s="2">
        <v>167.78</v>
      </c>
      <c r="D872" s="2">
        <v>186.04</v>
      </c>
      <c r="E872" s="2">
        <v>423.26</v>
      </c>
      <c r="F872" s="2">
        <v>450.05</v>
      </c>
      <c r="G872" s="2">
        <v>150.19999999999999</v>
      </c>
      <c r="H872" s="2">
        <v>274.48</v>
      </c>
      <c r="I872" s="2">
        <v>217.65</v>
      </c>
      <c r="J872" s="2">
        <v>174.63</v>
      </c>
      <c r="K872" s="2">
        <v>60.62</v>
      </c>
      <c r="L872" s="2">
        <v>372.07</v>
      </c>
      <c r="M872" s="64" t="s">
        <v>77</v>
      </c>
      <c r="N872" s="1"/>
      <c r="O872" s="12">
        <f t="shared" si="143"/>
        <v>-9.4569771838668437E-3</v>
      </c>
      <c r="P872" s="12">
        <f t="shared" si="144"/>
        <v>-1.1139270348323183E-2</v>
      </c>
      <c r="Q872" s="12">
        <f t="shared" si="145"/>
        <v>-1.7273255506840668E-2</v>
      </c>
      <c r="R872" s="12">
        <f t="shared" si="146"/>
        <v>-7.0845453692408578E-3</v>
      </c>
      <c r="S872" s="12">
        <f t="shared" si="147"/>
        <v>-2.1034542765161479E-2</v>
      </c>
      <c r="T872" s="12">
        <f t="shared" si="148"/>
        <v>-1.3723816402915534E-2</v>
      </c>
      <c r="U872" s="12">
        <f t="shared" si="149"/>
        <v>-8.0948250939578692E-3</v>
      </c>
      <c r="V872" s="12">
        <f t="shared" si="150"/>
        <v>-9.9617903930130369E-3</v>
      </c>
      <c r="W872" s="12">
        <f t="shared" si="151"/>
        <v>-1.9593532450033702E-2</v>
      </c>
      <c r="X872" s="12">
        <f t="shared" si="152"/>
        <v>1.3881920053520735E-2</v>
      </c>
      <c r="Y872" s="12">
        <f t="shared" si="153"/>
        <v>4.5711212691590397E-4</v>
      </c>
    </row>
    <row r="873" spans="1:25" x14ac:dyDescent="0.35">
      <c r="A873" s="6">
        <v>45393</v>
      </c>
      <c r="B873" s="8">
        <v>5199.0600000000004</v>
      </c>
      <c r="C873" s="2">
        <v>175.04</v>
      </c>
      <c r="D873" s="2">
        <v>185.9</v>
      </c>
      <c r="E873" s="2">
        <v>427.93</v>
      </c>
      <c r="F873" s="2">
        <v>441.72</v>
      </c>
      <c r="G873" s="2">
        <v>148.79</v>
      </c>
      <c r="H873" s="2">
        <v>275.68</v>
      </c>
      <c r="I873" s="2">
        <v>218.2</v>
      </c>
      <c r="J873" s="2">
        <v>173.36</v>
      </c>
      <c r="K873" s="2">
        <v>60.09</v>
      </c>
      <c r="L873" s="2">
        <v>371.98</v>
      </c>
      <c r="M873" s="64" t="s">
        <v>77</v>
      </c>
      <c r="N873" s="1"/>
      <c r="O873" s="12">
        <f t="shared" si="143"/>
        <v>7.4448130464439544E-3</v>
      </c>
      <c r="P873" s="12">
        <f t="shared" si="144"/>
        <v>4.3270950053641677E-2</v>
      </c>
      <c r="Q873" s="12">
        <f t="shared" si="145"/>
        <v>-7.5252633842182171E-4</v>
      </c>
      <c r="R873" s="12">
        <f t="shared" si="146"/>
        <v>1.1033407361905168E-2</v>
      </c>
      <c r="S873" s="12">
        <f t="shared" si="147"/>
        <v>-1.8509054549494475E-2</v>
      </c>
      <c r="T873" s="12">
        <f t="shared" si="148"/>
        <v>-9.3874833555259718E-3</v>
      </c>
      <c r="U873" s="12">
        <f t="shared" si="149"/>
        <v>4.3719032352083076E-3</v>
      </c>
      <c r="V873" s="12">
        <f t="shared" si="150"/>
        <v>2.5269928784745765E-3</v>
      </c>
      <c r="W873" s="12">
        <f t="shared" si="151"/>
        <v>-7.2725190402563866E-3</v>
      </c>
      <c r="X873" s="12">
        <f t="shared" si="152"/>
        <v>-8.7429891125040404E-3</v>
      </c>
      <c r="Y873" s="12">
        <f t="shared" si="153"/>
        <v>-2.4188996694163301E-4</v>
      </c>
    </row>
    <row r="874" spans="1:25" x14ac:dyDescent="0.35">
      <c r="A874" s="6">
        <v>45394</v>
      </c>
      <c r="B874" s="8">
        <v>5123.41</v>
      </c>
      <c r="C874" s="2">
        <v>176.55</v>
      </c>
      <c r="D874" s="2">
        <v>182.27</v>
      </c>
      <c r="E874" s="2">
        <v>421.9</v>
      </c>
      <c r="F874" s="2">
        <v>439.2</v>
      </c>
      <c r="G874" s="2">
        <v>147.52000000000001</v>
      </c>
      <c r="H874" s="2">
        <v>275.95999999999998</v>
      </c>
      <c r="I874" s="2">
        <v>218.2</v>
      </c>
      <c r="J874" s="2">
        <v>169.55</v>
      </c>
      <c r="K874" s="2">
        <v>60.14</v>
      </c>
      <c r="L874" s="2">
        <v>365.63</v>
      </c>
      <c r="M874" s="64" t="s">
        <v>77</v>
      </c>
      <c r="N874" s="1"/>
      <c r="O874" s="12">
        <f t="shared" si="143"/>
        <v>-1.4550707243232486E-2</v>
      </c>
      <c r="P874" s="12">
        <f t="shared" si="144"/>
        <v>8.6265996343692919E-3</v>
      </c>
      <c r="Q874" s="12">
        <f t="shared" si="145"/>
        <v>-1.9526627218934833E-2</v>
      </c>
      <c r="R874" s="12">
        <f t="shared" si="146"/>
        <v>-1.4091089664197476E-2</v>
      </c>
      <c r="S874" s="12">
        <f t="shared" si="147"/>
        <v>-5.7049714751427061E-3</v>
      </c>
      <c r="T874" s="12">
        <f t="shared" si="148"/>
        <v>-8.5355198602055093E-3</v>
      </c>
      <c r="U874" s="12">
        <f t="shared" si="149"/>
        <v>1.0156703424260005E-3</v>
      </c>
      <c r="V874" s="12">
        <f t="shared" si="150"/>
        <v>0</v>
      </c>
      <c r="W874" s="12">
        <f t="shared" si="151"/>
        <v>-2.1977388094139405E-2</v>
      </c>
      <c r="X874" s="12">
        <f t="shared" si="152"/>
        <v>8.3208520552502385E-4</v>
      </c>
      <c r="Y874" s="12">
        <f t="shared" si="153"/>
        <v>-1.707081025861612E-2</v>
      </c>
    </row>
    <row r="875" spans="1:25" x14ac:dyDescent="0.35">
      <c r="A875" s="6">
        <v>45397</v>
      </c>
      <c r="B875" s="8">
        <v>5061.82</v>
      </c>
      <c r="C875" s="2">
        <v>172.69</v>
      </c>
      <c r="D875" s="2">
        <v>181.25</v>
      </c>
      <c r="E875" s="2">
        <v>413.64</v>
      </c>
      <c r="F875" s="2">
        <v>445.63</v>
      </c>
      <c r="G875" s="2">
        <v>147.59</v>
      </c>
      <c r="H875" s="2">
        <v>271.27999999999997</v>
      </c>
      <c r="I875" s="2">
        <v>218.4</v>
      </c>
      <c r="J875" s="2">
        <v>167.82</v>
      </c>
      <c r="K875" s="2">
        <v>59.93</v>
      </c>
      <c r="L875" s="2">
        <v>363.91</v>
      </c>
      <c r="M875" s="64">
        <v>11.25</v>
      </c>
      <c r="N875" s="1"/>
      <c r="O875" s="12">
        <f t="shared" si="143"/>
        <v>-1.2021290507689297E-2</v>
      </c>
      <c r="P875" s="12">
        <f t="shared" si="144"/>
        <v>-2.1863494760691049E-2</v>
      </c>
      <c r="Q875" s="12">
        <f t="shared" si="145"/>
        <v>-5.5960937071378725E-3</v>
      </c>
      <c r="R875" s="12">
        <f t="shared" si="146"/>
        <v>-1.9578099075610367E-2</v>
      </c>
      <c r="S875" s="12">
        <f t="shared" si="147"/>
        <v>1.4640255009107594E-2</v>
      </c>
      <c r="T875" s="12">
        <f t="shared" si="148"/>
        <v>4.7451193058556385E-4</v>
      </c>
      <c r="U875" s="12">
        <f t="shared" si="149"/>
        <v>-1.695897956225545E-2</v>
      </c>
      <c r="V875" s="12">
        <f t="shared" si="150"/>
        <v>9.1659028414303734E-4</v>
      </c>
      <c r="W875" s="12">
        <f t="shared" si="151"/>
        <v>-1.0203479799469339E-2</v>
      </c>
      <c r="X875" s="12">
        <f t="shared" si="152"/>
        <v>-3.4918523445294225E-3</v>
      </c>
      <c r="Y875" s="12">
        <f t="shared" si="153"/>
        <v>-4.7042091732077962E-3</v>
      </c>
    </row>
    <row r="876" spans="1:25" x14ac:dyDescent="0.35">
      <c r="A876" s="6">
        <v>45398</v>
      </c>
      <c r="B876" s="8">
        <v>5051.41</v>
      </c>
      <c r="C876" s="2">
        <v>169.38</v>
      </c>
      <c r="D876" s="2">
        <v>183.75</v>
      </c>
      <c r="E876" s="2">
        <v>414.58</v>
      </c>
      <c r="F876" s="2">
        <v>468.89</v>
      </c>
      <c r="G876" s="2">
        <v>144.44999999999999</v>
      </c>
      <c r="H876" s="2">
        <v>271.35000000000002</v>
      </c>
      <c r="I876" s="2">
        <v>218.34</v>
      </c>
      <c r="J876" s="2">
        <v>170.55</v>
      </c>
      <c r="K876" s="2">
        <v>59.84</v>
      </c>
      <c r="L876" s="2">
        <v>359.88</v>
      </c>
      <c r="M876" s="64" t="s">
        <v>77</v>
      </c>
      <c r="N876" s="1"/>
      <c r="O876" s="12">
        <f t="shared" si="143"/>
        <v>-2.056572537150636E-3</v>
      </c>
      <c r="P876" s="12">
        <f t="shared" si="144"/>
        <v>-1.916729399502004E-2</v>
      </c>
      <c r="Q876" s="12">
        <f t="shared" si="145"/>
        <v>1.379310344827589E-2</v>
      </c>
      <c r="R876" s="12">
        <f t="shared" si="146"/>
        <v>2.2725074944396351E-3</v>
      </c>
      <c r="S876" s="12">
        <f t="shared" si="147"/>
        <v>5.2195767789421588E-2</v>
      </c>
      <c r="T876" s="12">
        <f t="shared" si="148"/>
        <v>-2.1275154143234776E-2</v>
      </c>
      <c r="U876" s="12">
        <f t="shared" si="149"/>
        <v>2.5803597758788932E-4</v>
      </c>
      <c r="V876" s="12">
        <f t="shared" si="150"/>
        <v>-2.7472527472527375E-4</v>
      </c>
      <c r="W876" s="12">
        <f t="shared" si="151"/>
        <v>1.6267429388630683E-2</v>
      </c>
      <c r="X876" s="12">
        <f t="shared" si="152"/>
        <v>-1.501752044051341E-3</v>
      </c>
      <c r="Y876" s="12">
        <f t="shared" si="153"/>
        <v>-1.1074166689566178E-2</v>
      </c>
    </row>
    <row r="877" spans="1:25" x14ac:dyDescent="0.35">
      <c r="A877" s="6">
        <v>45399</v>
      </c>
      <c r="B877" s="8">
        <v>5022.21</v>
      </c>
      <c r="C877" s="2">
        <v>168</v>
      </c>
      <c r="D877" s="2">
        <v>183.1</v>
      </c>
      <c r="E877" s="2">
        <v>411.84</v>
      </c>
      <c r="F877" s="2">
        <v>478.99</v>
      </c>
      <c r="G877" s="2">
        <v>144.77000000000001</v>
      </c>
      <c r="H877" s="2">
        <v>272.69</v>
      </c>
      <c r="I877" s="2">
        <v>217.67</v>
      </c>
      <c r="J877" s="2">
        <v>170.21</v>
      </c>
      <c r="K877" s="2">
        <v>59.65</v>
      </c>
      <c r="L877" s="2">
        <v>358.32</v>
      </c>
      <c r="M877" s="64" t="s">
        <v>77</v>
      </c>
      <c r="N877" s="1"/>
      <c r="O877" s="12">
        <f t="shared" si="143"/>
        <v>-5.780564238499708E-3</v>
      </c>
      <c r="P877" s="12">
        <f t="shared" si="144"/>
        <v>-8.1473609635139832E-3</v>
      </c>
      <c r="Q877" s="12">
        <f t="shared" si="145"/>
        <v>-3.537414965986474E-3</v>
      </c>
      <c r="R877" s="12">
        <f t="shared" si="146"/>
        <v>-6.6090983646099888E-3</v>
      </c>
      <c r="S877" s="12">
        <f t="shared" si="147"/>
        <v>2.1540233316982738E-2</v>
      </c>
      <c r="T877" s="12">
        <f t="shared" si="148"/>
        <v>2.2152994115611779E-3</v>
      </c>
      <c r="U877" s="12">
        <f t="shared" si="149"/>
        <v>4.9382716049382047E-3</v>
      </c>
      <c r="V877" s="12">
        <f t="shared" si="150"/>
        <v>-3.0686085921041162E-3</v>
      </c>
      <c r="W877" s="12">
        <f t="shared" si="151"/>
        <v>-1.9935502785106696E-3</v>
      </c>
      <c r="X877" s="12">
        <f t="shared" si="152"/>
        <v>-3.175133689839682E-3</v>
      </c>
      <c r="Y877" s="12">
        <f t="shared" si="153"/>
        <v>-4.3347782594198581E-3</v>
      </c>
    </row>
    <row r="878" spans="1:25" x14ac:dyDescent="0.35">
      <c r="A878" s="6">
        <v>45400</v>
      </c>
      <c r="B878" s="8">
        <v>5011.12</v>
      </c>
      <c r="C878" s="2">
        <v>167.04</v>
      </c>
      <c r="D878" s="2">
        <v>181.47</v>
      </c>
      <c r="E878" s="2">
        <v>404.27</v>
      </c>
      <c r="F878" s="2">
        <v>493.18</v>
      </c>
      <c r="G878" s="2">
        <v>145.74</v>
      </c>
      <c r="H878" s="2">
        <v>271.37</v>
      </c>
      <c r="I878" s="2">
        <v>217.5</v>
      </c>
      <c r="J878" s="2">
        <v>170.23</v>
      </c>
      <c r="K878" s="2">
        <v>59.26</v>
      </c>
      <c r="L878" s="2">
        <v>357.93</v>
      </c>
      <c r="M878" s="64" t="s">
        <v>77</v>
      </c>
      <c r="N878" s="1"/>
      <c r="O878" s="12">
        <f t="shared" si="143"/>
        <v>-2.2081912146246774E-3</v>
      </c>
      <c r="P878" s="12">
        <f t="shared" si="144"/>
        <v>-5.7142857142857828E-3</v>
      </c>
      <c r="Q878" s="12">
        <f t="shared" si="145"/>
        <v>-8.9022392135444939E-3</v>
      </c>
      <c r="R878" s="12">
        <f t="shared" si="146"/>
        <v>-1.8380924630924667E-2</v>
      </c>
      <c r="S878" s="12">
        <f t="shared" si="147"/>
        <v>2.9624835591557153E-2</v>
      </c>
      <c r="T878" s="12">
        <f t="shared" si="148"/>
        <v>6.7002832078468799E-3</v>
      </c>
      <c r="U878" s="12">
        <f t="shared" si="149"/>
        <v>-4.8406615570794065E-3</v>
      </c>
      <c r="V878" s="12">
        <f t="shared" si="150"/>
        <v>-7.8099875959014575E-4</v>
      </c>
      <c r="W878" s="12">
        <f t="shared" si="151"/>
        <v>1.1750190940595928E-4</v>
      </c>
      <c r="X878" s="12">
        <f t="shared" si="152"/>
        <v>-6.5381391450125559E-3</v>
      </c>
      <c r="Y878" s="12">
        <f t="shared" si="153"/>
        <v>-1.088412592096466E-3</v>
      </c>
    </row>
    <row r="879" spans="1:25" x14ac:dyDescent="0.35">
      <c r="A879" s="6">
        <v>45401</v>
      </c>
      <c r="B879" s="8">
        <v>4967.2299999999996</v>
      </c>
      <c r="C879" s="2">
        <v>165</v>
      </c>
      <c r="D879" s="2">
        <v>181.58</v>
      </c>
      <c r="E879" s="2">
        <v>399.12</v>
      </c>
      <c r="F879" s="2">
        <v>501.13</v>
      </c>
      <c r="G879" s="2">
        <v>147.91</v>
      </c>
      <c r="H879" s="2">
        <v>269.77999999999997</v>
      </c>
      <c r="I879" s="2">
        <v>231.04</v>
      </c>
      <c r="J879" s="2">
        <v>169.82</v>
      </c>
      <c r="K879" s="2">
        <v>59.53</v>
      </c>
      <c r="L879" s="2">
        <v>354.66</v>
      </c>
      <c r="M879" s="64" t="s">
        <v>77</v>
      </c>
      <c r="N879" s="1"/>
      <c r="O879" s="12">
        <f t="shared" si="143"/>
        <v>-8.7585210491867294E-3</v>
      </c>
      <c r="P879" s="12">
        <f t="shared" si="144"/>
        <v>-1.2212643678160884E-2</v>
      </c>
      <c r="Q879" s="12">
        <f t="shared" si="145"/>
        <v>6.0616079792819022E-4</v>
      </c>
      <c r="R879" s="12">
        <f t="shared" si="146"/>
        <v>-1.2739011056966842E-2</v>
      </c>
      <c r="S879" s="12">
        <f t="shared" si="147"/>
        <v>1.6119875096313629E-2</v>
      </c>
      <c r="T879" s="12">
        <f t="shared" si="148"/>
        <v>1.4889529298751203E-2</v>
      </c>
      <c r="U879" s="12">
        <f t="shared" si="149"/>
        <v>-5.8591590816966521E-3</v>
      </c>
      <c r="V879" s="12">
        <f t="shared" si="150"/>
        <v>6.2252873563218403E-2</v>
      </c>
      <c r="W879" s="12">
        <f t="shared" si="151"/>
        <v>-2.4085061387534301E-3</v>
      </c>
      <c r="X879" s="12">
        <f t="shared" si="152"/>
        <v>4.5561930475870316E-3</v>
      </c>
      <c r="Y879" s="12">
        <f t="shared" si="153"/>
        <v>-9.1358645545217554E-3</v>
      </c>
    </row>
    <row r="880" spans="1:25" x14ac:dyDescent="0.35">
      <c r="A880" s="6">
        <v>45404</v>
      </c>
      <c r="B880" s="8">
        <v>5010.6000000000004</v>
      </c>
      <c r="C880" s="2">
        <v>165.84</v>
      </c>
      <c r="D880" s="2">
        <v>181.9</v>
      </c>
      <c r="E880" s="2">
        <v>400.96</v>
      </c>
      <c r="F880" s="2">
        <v>491.23</v>
      </c>
      <c r="G880" s="2">
        <v>149.12</v>
      </c>
      <c r="H880" s="2">
        <v>272.33</v>
      </c>
      <c r="I880" s="2">
        <v>233</v>
      </c>
      <c r="J880" s="2">
        <v>170.48</v>
      </c>
      <c r="K880" s="2">
        <v>60.14</v>
      </c>
      <c r="L880" s="2">
        <v>357.61</v>
      </c>
      <c r="M880" s="64">
        <v>11.26</v>
      </c>
      <c r="N880" s="1"/>
      <c r="O880" s="12">
        <f t="shared" si="143"/>
        <v>8.7312244450128418E-3</v>
      </c>
      <c r="P880" s="12">
        <f t="shared" si="144"/>
        <v>5.0909090909090349E-3</v>
      </c>
      <c r="Q880" s="12">
        <f t="shared" si="145"/>
        <v>1.7623086242977148E-3</v>
      </c>
      <c r="R880" s="12">
        <f t="shared" si="146"/>
        <v>4.6101423130886499E-3</v>
      </c>
      <c r="S880" s="12">
        <f t="shared" si="147"/>
        <v>-1.9755352902440459E-2</v>
      </c>
      <c r="T880" s="12">
        <f t="shared" si="148"/>
        <v>8.1806503955108578E-3</v>
      </c>
      <c r="U880" s="12">
        <f t="shared" si="149"/>
        <v>9.452146193194455E-3</v>
      </c>
      <c r="V880" s="12">
        <f t="shared" si="150"/>
        <v>8.4833795013850022E-3</v>
      </c>
      <c r="W880" s="12">
        <f t="shared" si="151"/>
        <v>3.8864680249675043E-3</v>
      </c>
      <c r="X880" s="12">
        <f t="shared" si="152"/>
        <v>1.0246934318830725E-2</v>
      </c>
      <c r="Y880" s="12">
        <f t="shared" si="153"/>
        <v>8.3178255230360598E-3</v>
      </c>
    </row>
    <row r="881" spans="1:25" x14ac:dyDescent="0.35">
      <c r="A881" s="6">
        <v>45405</v>
      </c>
      <c r="B881" s="8">
        <v>5070.55</v>
      </c>
      <c r="C881" s="2">
        <v>166.9</v>
      </c>
      <c r="D881" s="2">
        <v>182.19</v>
      </c>
      <c r="E881" s="2">
        <v>407.57</v>
      </c>
      <c r="F881" s="2">
        <v>486.18</v>
      </c>
      <c r="G881" s="2">
        <v>149.56</v>
      </c>
      <c r="H881" s="2">
        <v>274.11</v>
      </c>
      <c r="I881" s="2">
        <v>238.96</v>
      </c>
      <c r="J881" s="2">
        <v>169.18</v>
      </c>
      <c r="K881" s="2">
        <v>59.09</v>
      </c>
      <c r="L881" s="2">
        <v>363.25</v>
      </c>
      <c r="M881" s="64" t="s">
        <v>77</v>
      </c>
      <c r="N881" s="1"/>
      <c r="O881" s="12">
        <f t="shared" si="143"/>
        <v>1.1964634973855359E-2</v>
      </c>
      <c r="P881" s="12">
        <f t="shared" si="144"/>
        <v>6.3917028461166758E-3</v>
      </c>
      <c r="Q881" s="12">
        <f t="shared" si="145"/>
        <v>1.5942825728421095E-3</v>
      </c>
      <c r="R881" s="12">
        <f t="shared" si="146"/>
        <v>1.6485434956105438E-2</v>
      </c>
      <c r="S881" s="12">
        <f t="shared" si="147"/>
        <v>-1.0280316755898466E-2</v>
      </c>
      <c r="T881" s="12">
        <f t="shared" si="148"/>
        <v>2.9506437768240801E-3</v>
      </c>
      <c r="U881" s="12">
        <f t="shared" si="149"/>
        <v>6.5361877134360036E-3</v>
      </c>
      <c r="V881" s="12">
        <f t="shared" si="150"/>
        <v>2.5579399141630876E-2</v>
      </c>
      <c r="W881" s="12">
        <f t="shared" si="151"/>
        <v>-7.6255279211636662E-3</v>
      </c>
      <c r="X881" s="12">
        <f t="shared" si="152"/>
        <v>-1.7459261722647113E-2</v>
      </c>
      <c r="Y881" s="12">
        <f t="shared" si="153"/>
        <v>1.5771371046670923E-2</v>
      </c>
    </row>
    <row r="882" spans="1:25" x14ac:dyDescent="0.35">
      <c r="A882" s="6">
        <v>45406</v>
      </c>
      <c r="B882" s="8">
        <v>5071.63</v>
      </c>
      <c r="C882" s="2">
        <v>169.02</v>
      </c>
      <c r="D882" s="2">
        <v>184.1</v>
      </c>
      <c r="E882" s="2">
        <v>409.06</v>
      </c>
      <c r="F882" s="2">
        <v>487.3</v>
      </c>
      <c r="G882" s="2">
        <v>148.53</v>
      </c>
      <c r="H882" s="2">
        <v>275.02</v>
      </c>
      <c r="I882" s="2">
        <v>239.12</v>
      </c>
      <c r="J882" s="2">
        <v>164.33</v>
      </c>
      <c r="K882" s="2">
        <v>59.87</v>
      </c>
      <c r="L882" s="2">
        <v>363.52</v>
      </c>
      <c r="M882" s="64" t="s">
        <v>77</v>
      </c>
      <c r="N882" s="1"/>
      <c r="O882" s="12">
        <f t="shared" si="143"/>
        <v>2.129946455513565E-4</v>
      </c>
      <c r="P882" s="12">
        <f t="shared" si="144"/>
        <v>1.2702216896345098E-2</v>
      </c>
      <c r="Q882" s="12">
        <f t="shared" si="145"/>
        <v>1.0483561117514695E-2</v>
      </c>
      <c r="R882" s="12">
        <f t="shared" si="146"/>
        <v>3.6558137252495904E-3</v>
      </c>
      <c r="S882" s="12">
        <f t="shared" si="147"/>
        <v>2.3036735365502548E-3</v>
      </c>
      <c r="T882" s="12">
        <f t="shared" si="148"/>
        <v>-6.886868146563252E-3</v>
      </c>
      <c r="U882" s="12">
        <f t="shared" si="149"/>
        <v>3.3198351026959561E-3</v>
      </c>
      <c r="V882" s="12">
        <f t="shared" si="150"/>
        <v>6.6956812855711867E-4</v>
      </c>
      <c r="W882" s="12">
        <f t="shared" si="151"/>
        <v>-2.8667691216455848E-2</v>
      </c>
      <c r="X882" s="12">
        <f t="shared" si="152"/>
        <v>1.3200203080047324E-2</v>
      </c>
      <c r="Y882" s="12">
        <f t="shared" si="153"/>
        <v>7.4328974535431414E-4</v>
      </c>
    </row>
    <row r="883" spans="1:25" x14ac:dyDescent="0.35">
      <c r="A883" s="6">
        <v>45407</v>
      </c>
      <c r="B883" s="8">
        <v>5048.42</v>
      </c>
      <c r="C883" s="2">
        <v>169.89</v>
      </c>
      <c r="D883" s="2">
        <v>168.91</v>
      </c>
      <c r="E883" s="2">
        <v>399.04</v>
      </c>
      <c r="F883" s="2">
        <v>493.86</v>
      </c>
      <c r="G883" s="2">
        <v>146.82</v>
      </c>
      <c r="H883" s="2">
        <v>275.16000000000003</v>
      </c>
      <c r="I883" s="2">
        <v>237.1</v>
      </c>
      <c r="J883" s="2">
        <v>166.81</v>
      </c>
      <c r="K883" s="2">
        <v>60.21</v>
      </c>
      <c r="L883" s="2">
        <v>338</v>
      </c>
      <c r="M883" s="64" t="s">
        <v>77</v>
      </c>
      <c r="N883" s="1"/>
      <c r="O883" s="12">
        <f t="shared" si="143"/>
        <v>-4.5764379499293462E-3</v>
      </c>
      <c r="P883" s="12">
        <f t="shared" si="144"/>
        <v>5.1473198438052314E-3</v>
      </c>
      <c r="Q883" s="12">
        <f t="shared" si="145"/>
        <v>-8.2509505703422081E-2</v>
      </c>
      <c r="R883" s="12">
        <f t="shared" si="146"/>
        <v>-2.4495184080574939E-2</v>
      </c>
      <c r="S883" s="12">
        <f t="shared" si="147"/>
        <v>1.3461933100759271E-2</v>
      </c>
      <c r="T883" s="12">
        <f t="shared" si="148"/>
        <v>-1.1512825691779471E-2</v>
      </c>
      <c r="U883" s="12">
        <f t="shared" si="149"/>
        <v>5.0905388699029608E-4</v>
      </c>
      <c r="V883" s="12">
        <f t="shared" si="150"/>
        <v>-8.4476413516226811E-3</v>
      </c>
      <c r="W883" s="12">
        <f t="shared" si="151"/>
        <v>1.5091584007789205E-2</v>
      </c>
      <c r="X883" s="12">
        <f t="shared" si="152"/>
        <v>5.6789711040587942E-3</v>
      </c>
      <c r="Y883" s="12">
        <f t="shared" si="153"/>
        <v>-7.0202464788732377E-2</v>
      </c>
    </row>
    <row r="884" spans="1:25" x14ac:dyDescent="0.35">
      <c r="A884" s="6">
        <v>45408</v>
      </c>
      <c r="B884" s="8">
        <v>5099.96</v>
      </c>
      <c r="C884" s="2">
        <v>169.3</v>
      </c>
      <c r="D884" s="2">
        <v>167.13</v>
      </c>
      <c r="E884" s="2">
        <v>406.32</v>
      </c>
      <c r="F884" s="2">
        <v>495.35</v>
      </c>
      <c r="G884" s="2">
        <v>146.13999999999999</v>
      </c>
      <c r="H884" s="2">
        <v>274.52</v>
      </c>
      <c r="I884" s="2">
        <v>235.64</v>
      </c>
      <c r="J884" s="2">
        <v>167.22</v>
      </c>
      <c r="K884" s="2">
        <v>60.16</v>
      </c>
      <c r="L884" s="2">
        <v>343.38</v>
      </c>
      <c r="M884" s="64" t="s">
        <v>77</v>
      </c>
      <c r="N884" s="1"/>
      <c r="O884" s="12">
        <f t="shared" si="143"/>
        <v>1.0209134739185721E-2</v>
      </c>
      <c r="P884" s="12">
        <f t="shared" si="144"/>
        <v>-3.4728353640589571E-3</v>
      </c>
      <c r="Q884" s="12">
        <f t="shared" si="145"/>
        <v>-1.0538156414658717E-2</v>
      </c>
      <c r="R884" s="12">
        <f t="shared" si="146"/>
        <v>1.8243785084202102E-2</v>
      </c>
      <c r="S884" s="12">
        <f t="shared" si="147"/>
        <v>3.0170493662171616E-3</v>
      </c>
      <c r="T884" s="12">
        <f t="shared" si="148"/>
        <v>-4.6315215910639473E-3</v>
      </c>
      <c r="U884" s="12">
        <f t="shared" si="149"/>
        <v>-2.3259194650386839E-3</v>
      </c>
      <c r="V884" s="12">
        <f t="shared" si="150"/>
        <v>-6.1577393504850253E-3</v>
      </c>
      <c r="W884" s="12">
        <f t="shared" si="151"/>
        <v>2.4578862178525895E-3</v>
      </c>
      <c r="X884" s="12">
        <f t="shared" si="152"/>
        <v>-8.3042683939549278E-4</v>
      </c>
      <c r="Y884" s="12">
        <f t="shared" si="153"/>
        <v>1.5917159763313649E-2</v>
      </c>
    </row>
    <row r="885" spans="1:25" x14ac:dyDescent="0.35">
      <c r="A885" s="6">
        <v>45411</v>
      </c>
      <c r="B885" s="8">
        <v>5116.17</v>
      </c>
      <c r="C885" s="2">
        <v>173.5</v>
      </c>
      <c r="D885" s="2">
        <v>167.43</v>
      </c>
      <c r="E885" s="2">
        <v>402.25</v>
      </c>
      <c r="F885" s="2">
        <v>489.03</v>
      </c>
      <c r="G885" s="2">
        <v>146.82</v>
      </c>
      <c r="H885" s="2">
        <v>271.83999999999997</v>
      </c>
      <c r="I885" s="2">
        <v>238.92</v>
      </c>
      <c r="J885" s="2">
        <v>173.49</v>
      </c>
      <c r="K885" s="2">
        <v>60.24</v>
      </c>
      <c r="L885" s="2">
        <v>349.8</v>
      </c>
      <c r="M885" s="64">
        <v>10.96</v>
      </c>
      <c r="N885" s="1"/>
      <c r="O885" s="12">
        <f t="shared" si="143"/>
        <v>3.178456301617949E-3</v>
      </c>
      <c r="P885" s="12">
        <f t="shared" si="144"/>
        <v>2.4808033077377445E-2</v>
      </c>
      <c r="Q885" s="12">
        <f t="shared" si="145"/>
        <v>1.7950098725543207E-3</v>
      </c>
      <c r="R885" s="12">
        <f t="shared" si="146"/>
        <v>-1.001673557786964E-2</v>
      </c>
      <c r="S885" s="12">
        <f t="shared" si="147"/>
        <v>-1.2758655496113991E-2</v>
      </c>
      <c r="T885" s="12">
        <f t="shared" si="148"/>
        <v>4.6530723963322806E-3</v>
      </c>
      <c r="U885" s="12">
        <f t="shared" si="149"/>
        <v>-9.7624945359172655E-3</v>
      </c>
      <c r="V885" s="12">
        <f t="shared" si="150"/>
        <v>1.391953827873027E-2</v>
      </c>
      <c r="W885" s="12">
        <f t="shared" si="151"/>
        <v>3.7495514890563353E-2</v>
      </c>
      <c r="X885" s="12">
        <f t="shared" si="152"/>
        <v>1.3297872340425343E-3</v>
      </c>
      <c r="Y885" s="12">
        <f t="shared" si="153"/>
        <v>1.8696487856019628E-2</v>
      </c>
    </row>
    <row r="886" spans="1:25" x14ac:dyDescent="0.35">
      <c r="A886" s="6">
        <v>45412</v>
      </c>
      <c r="B886" s="8">
        <v>5035.6899999999996</v>
      </c>
      <c r="C886" s="2">
        <v>170.33</v>
      </c>
      <c r="D886" s="2">
        <v>166.2</v>
      </c>
      <c r="E886" s="2">
        <v>389.33</v>
      </c>
      <c r="F886" s="2">
        <v>483.7</v>
      </c>
      <c r="G886" s="2">
        <v>144.59</v>
      </c>
      <c r="H886" s="2">
        <v>268.61</v>
      </c>
      <c r="I886" s="2">
        <v>234.03</v>
      </c>
      <c r="J886" s="2">
        <v>167.84</v>
      </c>
      <c r="K886" s="2">
        <v>59.35</v>
      </c>
      <c r="L886" s="2">
        <v>334.57</v>
      </c>
      <c r="M886" s="64" t="s">
        <v>77</v>
      </c>
      <c r="N886" s="1"/>
      <c r="O886" s="12">
        <f t="shared" si="143"/>
        <v>-1.5730517164206925E-2</v>
      </c>
      <c r="P886" s="12">
        <f t="shared" si="144"/>
        <v>-1.8270893371757801E-2</v>
      </c>
      <c r="Q886" s="12">
        <f t="shared" si="145"/>
        <v>-7.3463537000538759E-3</v>
      </c>
      <c r="R886" s="12">
        <f t="shared" si="146"/>
        <v>-3.2119328775637057E-2</v>
      </c>
      <c r="S886" s="12">
        <f t="shared" si="147"/>
        <v>-1.0899126842933926E-2</v>
      </c>
      <c r="T886" s="12">
        <f t="shared" si="148"/>
        <v>-1.5188666394224115E-2</v>
      </c>
      <c r="U886" s="12">
        <f t="shared" si="149"/>
        <v>-1.1881989405532534E-2</v>
      </c>
      <c r="V886" s="12">
        <f t="shared" si="150"/>
        <v>-2.0467101958814626E-2</v>
      </c>
      <c r="W886" s="12">
        <f t="shared" si="151"/>
        <v>-3.2566718542855533E-2</v>
      </c>
      <c r="X886" s="12">
        <f t="shared" si="152"/>
        <v>-1.4774236387782191E-2</v>
      </c>
      <c r="Y886" s="12">
        <f t="shared" si="153"/>
        <v>-4.3539165237278521E-2</v>
      </c>
    </row>
    <row r="887" spans="1:25" x14ac:dyDescent="0.35">
      <c r="A887" s="6">
        <v>45413</v>
      </c>
      <c r="B887" s="8">
        <v>5018.3900000000003</v>
      </c>
      <c r="C887" s="2">
        <v>169.3</v>
      </c>
      <c r="D887" s="2">
        <v>164.43</v>
      </c>
      <c r="E887" s="2">
        <v>394.94</v>
      </c>
      <c r="F887" s="2">
        <v>484.11</v>
      </c>
      <c r="G887" s="2">
        <v>151.18</v>
      </c>
      <c r="H887" s="2">
        <v>267.32</v>
      </c>
      <c r="I887" s="2">
        <v>231.46</v>
      </c>
      <c r="J887" s="2">
        <v>171.46</v>
      </c>
      <c r="K887" s="2">
        <v>58.85</v>
      </c>
      <c r="L887" s="2">
        <v>331.07</v>
      </c>
      <c r="M887" s="64" t="s">
        <v>77</v>
      </c>
      <c r="N887" s="1"/>
      <c r="O887" s="12">
        <f t="shared" si="143"/>
        <v>-3.4354775611682431E-3</v>
      </c>
      <c r="P887" s="12">
        <f t="shared" si="144"/>
        <v>-6.0470850701579426E-3</v>
      </c>
      <c r="Q887" s="12">
        <f t="shared" si="145"/>
        <v>-1.0649819494584767E-2</v>
      </c>
      <c r="R887" s="12">
        <f t="shared" si="146"/>
        <v>1.4409369943235939E-2</v>
      </c>
      <c r="S887" s="12">
        <f t="shared" si="147"/>
        <v>8.476328302666758E-4</v>
      </c>
      <c r="T887" s="12">
        <f t="shared" si="148"/>
        <v>4.5577149180441312E-2</v>
      </c>
      <c r="U887" s="12">
        <f t="shared" si="149"/>
        <v>-4.8025017683631654E-3</v>
      </c>
      <c r="V887" s="12">
        <f t="shared" si="150"/>
        <v>-1.0981498098534326E-2</v>
      </c>
      <c r="W887" s="12">
        <f t="shared" si="151"/>
        <v>2.1568160152526161E-2</v>
      </c>
      <c r="X887" s="12">
        <f t="shared" si="152"/>
        <v>-8.4245998315080062E-3</v>
      </c>
      <c r="Y887" s="12">
        <f t="shared" si="153"/>
        <v>-1.04611889888514E-2</v>
      </c>
    </row>
    <row r="888" spans="1:25" x14ac:dyDescent="0.35">
      <c r="A888" s="6">
        <v>45414</v>
      </c>
      <c r="B888" s="8">
        <v>5064.2</v>
      </c>
      <c r="C888" s="2">
        <v>173.03</v>
      </c>
      <c r="D888" s="2">
        <v>164.69</v>
      </c>
      <c r="E888" s="2">
        <v>397.84</v>
      </c>
      <c r="F888" s="2">
        <v>492.97</v>
      </c>
      <c r="G888" s="2">
        <v>149.91999999999999</v>
      </c>
      <c r="H888" s="2">
        <v>267.61</v>
      </c>
      <c r="I888" s="2">
        <v>232.5</v>
      </c>
      <c r="J888" s="2">
        <v>178.85</v>
      </c>
      <c r="K888" s="2">
        <v>59.71</v>
      </c>
      <c r="L888" s="2">
        <v>335.44</v>
      </c>
      <c r="M888" s="64" t="s">
        <v>77</v>
      </c>
      <c r="N888" s="1"/>
      <c r="O888" s="12">
        <f t="shared" si="143"/>
        <v>9.1284256504575723E-3</v>
      </c>
      <c r="P888" s="12">
        <f t="shared" si="144"/>
        <v>2.2031896042528087E-2</v>
      </c>
      <c r="Q888" s="12">
        <f t="shared" si="145"/>
        <v>1.581219972024428E-3</v>
      </c>
      <c r="R888" s="12">
        <f t="shared" si="146"/>
        <v>7.3428875272192329E-3</v>
      </c>
      <c r="S888" s="12">
        <f t="shared" si="147"/>
        <v>1.8301625663588839E-2</v>
      </c>
      <c r="T888" s="12">
        <f t="shared" si="148"/>
        <v>-8.3344357719276063E-3</v>
      </c>
      <c r="U888" s="12">
        <f t="shared" si="149"/>
        <v>1.084842136765074E-3</v>
      </c>
      <c r="V888" s="12">
        <f t="shared" si="150"/>
        <v>4.4932169705347302E-3</v>
      </c>
      <c r="W888" s="12">
        <f t="shared" si="151"/>
        <v>4.3100431587542287E-2</v>
      </c>
      <c r="X888" s="12">
        <f t="shared" si="152"/>
        <v>1.4613423959218386E-2</v>
      </c>
      <c r="Y888" s="12">
        <f t="shared" si="153"/>
        <v>1.3199625456852049E-2</v>
      </c>
    </row>
    <row r="889" spans="1:25" x14ac:dyDescent="0.35">
      <c r="A889" s="6">
        <v>45415</v>
      </c>
      <c r="B889" s="8">
        <v>5127.79</v>
      </c>
      <c r="C889" s="2">
        <v>183.38</v>
      </c>
      <c r="D889" s="2">
        <v>165.71</v>
      </c>
      <c r="E889" s="2">
        <v>406.66</v>
      </c>
      <c r="F889" s="2">
        <v>492.45</v>
      </c>
      <c r="G889" s="2">
        <v>149.27000000000001</v>
      </c>
      <c r="H889" s="2">
        <v>268.49</v>
      </c>
      <c r="I889" s="2">
        <v>230.77</v>
      </c>
      <c r="J889" s="2">
        <v>179.79</v>
      </c>
      <c r="K889" s="2">
        <v>59.82</v>
      </c>
      <c r="L889" s="2">
        <v>336.75</v>
      </c>
      <c r="M889" s="64" t="s">
        <v>77</v>
      </c>
      <c r="N889" s="1"/>
      <c r="O889" s="12">
        <f t="shared" si="143"/>
        <v>1.2556771059594851E-2</v>
      </c>
      <c r="P889" s="12">
        <f t="shared" si="144"/>
        <v>5.9816216841010128E-2</v>
      </c>
      <c r="Q889" s="12">
        <f t="shared" si="145"/>
        <v>6.193454368814244E-3</v>
      </c>
      <c r="R889" s="12">
        <f t="shared" si="146"/>
        <v>2.2169716468932288E-2</v>
      </c>
      <c r="S889" s="12">
        <f t="shared" si="147"/>
        <v>-1.0548309227742525E-3</v>
      </c>
      <c r="T889" s="12">
        <f t="shared" si="148"/>
        <v>-4.3356456776946217E-3</v>
      </c>
      <c r="U889" s="12">
        <f t="shared" si="149"/>
        <v>3.2883674003214569E-3</v>
      </c>
      <c r="V889" s="12">
        <f t="shared" si="150"/>
        <v>-7.4408602150537462E-3</v>
      </c>
      <c r="W889" s="12">
        <f t="shared" si="151"/>
        <v>5.2558009505172532E-3</v>
      </c>
      <c r="X889" s="12">
        <f t="shared" si="152"/>
        <v>1.8422374811588593E-3</v>
      </c>
      <c r="Y889" s="12">
        <f t="shared" si="153"/>
        <v>3.9053183877890696E-3</v>
      </c>
    </row>
    <row r="890" spans="1:25" x14ac:dyDescent="0.35">
      <c r="A890" s="6">
        <v>45418</v>
      </c>
      <c r="B890" s="8">
        <v>5180.74</v>
      </c>
      <c r="C890" s="2">
        <v>181.71</v>
      </c>
      <c r="D890" s="2">
        <v>168.61</v>
      </c>
      <c r="E890" s="2">
        <v>413.54</v>
      </c>
      <c r="F890" s="2">
        <v>494.38</v>
      </c>
      <c r="G890" s="2">
        <v>148.58000000000001</v>
      </c>
      <c r="H890" s="2">
        <v>272.67</v>
      </c>
      <c r="I890" s="2">
        <v>234.33</v>
      </c>
      <c r="J890" s="2">
        <v>178.35</v>
      </c>
      <c r="K890" s="2">
        <v>59.87</v>
      </c>
      <c r="L890" s="2">
        <v>342.1</v>
      </c>
      <c r="M890" s="64">
        <v>11.07</v>
      </c>
      <c r="N890" s="1"/>
      <c r="O890" s="12">
        <f t="shared" si="143"/>
        <v>1.0326085896653403E-2</v>
      </c>
      <c r="P890" s="12">
        <f t="shared" si="144"/>
        <v>-9.1067728214635491E-3</v>
      </c>
      <c r="Q890" s="12">
        <f t="shared" si="145"/>
        <v>1.7500452597912108E-2</v>
      </c>
      <c r="R890" s="12">
        <f t="shared" si="146"/>
        <v>1.6918310136231796E-2</v>
      </c>
      <c r="S890" s="12">
        <f t="shared" si="147"/>
        <v>3.9191796121433864E-3</v>
      </c>
      <c r="T890" s="12">
        <f t="shared" si="148"/>
        <v>-4.6224961479198745E-3</v>
      </c>
      <c r="U890" s="12">
        <f t="shared" si="149"/>
        <v>1.556855003910762E-2</v>
      </c>
      <c r="V890" s="12">
        <f t="shared" si="150"/>
        <v>1.542661524461586E-2</v>
      </c>
      <c r="W890" s="12">
        <f t="shared" si="151"/>
        <v>-8.0093442349407074E-3</v>
      </c>
      <c r="X890" s="12">
        <f t="shared" si="152"/>
        <v>8.3584085590104884E-4</v>
      </c>
      <c r="Y890" s="12">
        <f t="shared" si="153"/>
        <v>1.5887156644394995E-2</v>
      </c>
    </row>
    <row r="891" spans="1:25" x14ac:dyDescent="0.35">
      <c r="A891" s="6">
        <v>45419</v>
      </c>
      <c r="B891" s="8">
        <v>5187.7</v>
      </c>
      <c r="C891" s="2">
        <v>182.4</v>
      </c>
      <c r="D891" s="2">
        <v>168.38</v>
      </c>
      <c r="E891" s="2">
        <v>409.34</v>
      </c>
      <c r="F891" s="2">
        <v>500.96</v>
      </c>
      <c r="G891" s="2">
        <v>148.72</v>
      </c>
      <c r="H891" s="2">
        <v>276.45999999999998</v>
      </c>
      <c r="I891" s="2">
        <v>234.66</v>
      </c>
      <c r="J891" s="2">
        <v>176.71</v>
      </c>
      <c r="K891" s="2">
        <v>60.62</v>
      </c>
      <c r="L891" s="2">
        <v>345</v>
      </c>
      <c r="M891" s="64" t="s">
        <v>77</v>
      </c>
      <c r="N891" s="1"/>
      <c r="O891" s="12">
        <f t="shared" si="143"/>
        <v>1.3434374239973401E-3</v>
      </c>
      <c r="P891" s="12">
        <f t="shared" si="144"/>
        <v>3.7972593693247347E-3</v>
      </c>
      <c r="Q891" s="12">
        <f t="shared" si="145"/>
        <v>-1.3640946563076017E-3</v>
      </c>
      <c r="R891" s="12">
        <f t="shared" si="146"/>
        <v>-1.015621221647256E-2</v>
      </c>
      <c r="S891" s="12">
        <f t="shared" si="147"/>
        <v>1.3309599902908698E-2</v>
      </c>
      <c r="T891" s="12">
        <f t="shared" si="148"/>
        <v>9.4225333153841184E-4</v>
      </c>
      <c r="U891" s="12">
        <f t="shared" si="149"/>
        <v>1.3899585579638218E-2</v>
      </c>
      <c r="V891" s="12">
        <f t="shared" si="150"/>
        <v>1.4082703879143565E-3</v>
      </c>
      <c r="W891" s="12">
        <f t="shared" si="151"/>
        <v>-9.1954022988505191E-3</v>
      </c>
      <c r="X891" s="12">
        <f t="shared" si="152"/>
        <v>1.2527142141306236E-2</v>
      </c>
      <c r="Y891" s="12">
        <f t="shared" si="153"/>
        <v>8.4770534931306596E-3</v>
      </c>
    </row>
    <row r="892" spans="1:25" x14ac:dyDescent="0.35">
      <c r="A892" s="6">
        <v>45420</v>
      </c>
      <c r="B892" s="8">
        <v>5187.67</v>
      </c>
      <c r="C892" s="2">
        <v>182.74</v>
      </c>
      <c r="D892" s="2">
        <v>169.9</v>
      </c>
      <c r="E892" s="2">
        <v>410.54</v>
      </c>
      <c r="F892" s="2">
        <v>503.21</v>
      </c>
      <c r="G892" s="2">
        <v>148.94999999999999</v>
      </c>
      <c r="H892" s="2">
        <v>277.19</v>
      </c>
      <c r="I892" s="2">
        <v>236.24</v>
      </c>
      <c r="J892" s="2">
        <v>180.35</v>
      </c>
      <c r="K892" s="2">
        <v>60.3</v>
      </c>
      <c r="L892" s="2">
        <v>344.5</v>
      </c>
      <c r="M892" s="64" t="s">
        <v>77</v>
      </c>
      <c r="N892" s="1"/>
      <c r="O892" s="12">
        <f t="shared" si="143"/>
        <v>-5.7829095745365322E-6</v>
      </c>
      <c r="P892" s="12">
        <f t="shared" si="144"/>
        <v>1.8640350877192624E-3</v>
      </c>
      <c r="Q892" s="12">
        <f t="shared" si="145"/>
        <v>9.027200380092637E-3</v>
      </c>
      <c r="R892" s="12">
        <f t="shared" si="146"/>
        <v>2.9315483461183067E-3</v>
      </c>
      <c r="S892" s="12">
        <f t="shared" si="147"/>
        <v>4.4913765570104847E-3</v>
      </c>
      <c r="T892" s="12">
        <f t="shared" si="148"/>
        <v>1.5465303926842644E-3</v>
      </c>
      <c r="U892" s="12">
        <f t="shared" si="149"/>
        <v>2.6405266584679232E-3</v>
      </c>
      <c r="V892" s="12">
        <f t="shared" si="150"/>
        <v>6.7331458280064371E-3</v>
      </c>
      <c r="W892" s="12">
        <f t="shared" si="151"/>
        <v>2.0598721068417092E-2</v>
      </c>
      <c r="X892" s="12">
        <f t="shared" si="152"/>
        <v>-5.2787858792477937E-3</v>
      </c>
      <c r="Y892" s="12">
        <f t="shared" si="153"/>
        <v>-1.4492753623188692E-3</v>
      </c>
    </row>
    <row r="893" spans="1:25" x14ac:dyDescent="0.35">
      <c r="A893" s="6">
        <v>45421</v>
      </c>
      <c r="B893" s="8">
        <v>5214.08</v>
      </c>
      <c r="C893" s="2">
        <v>184.57</v>
      </c>
      <c r="D893" s="2">
        <v>166.27</v>
      </c>
      <c r="E893" s="2">
        <v>412.32</v>
      </c>
      <c r="F893" s="2">
        <v>507.03</v>
      </c>
      <c r="G893" s="2">
        <v>149.85</v>
      </c>
      <c r="H893" s="2">
        <v>278.54000000000002</v>
      </c>
      <c r="I893" s="2">
        <v>239.14</v>
      </c>
      <c r="J893" s="2">
        <v>181.25</v>
      </c>
      <c r="K893" s="2">
        <v>60.44</v>
      </c>
      <c r="L893" s="2">
        <v>351.78</v>
      </c>
      <c r="M893" s="64" t="s">
        <v>77</v>
      </c>
      <c r="N893" s="1"/>
      <c r="O893" s="12">
        <f t="shared" si="143"/>
        <v>5.0909175024624886E-3</v>
      </c>
      <c r="P893" s="12">
        <f t="shared" si="144"/>
        <v>1.0014227864725722E-2</v>
      </c>
      <c r="Q893" s="12">
        <f t="shared" si="145"/>
        <v>-2.1365509123013493E-2</v>
      </c>
      <c r="R893" s="12">
        <f t="shared" si="146"/>
        <v>4.3357529108003501E-3</v>
      </c>
      <c r="S893" s="12">
        <f t="shared" si="147"/>
        <v>7.5912640845769985E-3</v>
      </c>
      <c r="T893" s="12">
        <f t="shared" si="148"/>
        <v>6.0422960725075026E-3</v>
      </c>
      <c r="U893" s="12">
        <f t="shared" si="149"/>
        <v>4.8703055665788586E-3</v>
      </c>
      <c r="V893" s="12">
        <f t="shared" si="150"/>
        <v>1.227565187944446E-2</v>
      </c>
      <c r="W893" s="12">
        <f t="shared" si="151"/>
        <v>4.9902966454118403E-3</v>
      </c>
      <c r="X893" s="12">
        <f t="shared" si="152"/>
        <v>2.3217247097844229E-3</v>
      </c>
      <c r="Y893" s="12">
        <f t="shared" si="153"/>
        <v>2.1132075471697931E-2</v>
      </c>
    </row>
    <row r="894" spans="1:25" x14ac:dyDescent="0.35">
      <c r="A894" s="6">
        <v>45422</v>
      </c>
      <c r="B894" s="8">
        <v>5222.68</v>
      </c>
      <c r="C894" s="2">
        <v>183.05</v>
      </c>
      <c r="D894" s="2">
        <v>167.15</v>
      </c>
      <c r="E894" s="2">
        <v>414.74</v>
      </c>
      <c r="F894" s="2">
        <v>512.80999999999995</v>
      </c>
      <c r="G894" s="2">
        <v>149.91</v>
      </c>
      <c r="H894" s="2">
        <v>280.74</v>
      </c>
      <c r="I894" s="2">
        <v>242.3</v>
      </c>
      <c r="J894" s="2">
        <v>178.51</v>
      </c>
      <c r="K894" s="2">
        <v>60.48</v>
      </c>
      <c r="L894" s="2">
        <v>354.79</v>
      </c>
      <c r="M894" s="64" t="s">
        <v>77</v>
      </c>
      <c r="N894" s="1"/>
      <c r="O894" s="12">
        <f t="shared" si="143"/>
        <v>1.6493801399288799E-3</v>
      </c>
      <c r="P894" s="12">
        <f t="shared" si="144"/>
        <v>-8.2353578588069132E-3</v>
      </c>
      <c r="Q894" s="12">
        <f t="shared" si="145"/>
        <v>5.2925963793828412E-3</v>
      </c>
      <c r="R894" s="12">
        <f t="shared" si="146"/>
        <v>5.8692277842453677E-3</v>
      </c>
      <c r="S894" s="12">
        <f t="shared" si="147"/>
        <v>1.13997199376763E-2</v>
      </c>
      <c r="T894" s="12">
        <f t="shared" si="148"/>
        <v>4.0040040040034697E-4</v>
      </c>
      <c r="U894" s="12">
        <f t="shared" si="149"/>
        <v>7.8983269907373366E-3</v>
      </c>
      <c r="V894" s="12">
        <f t="shared" si="150"/>
        <v>1.3214016893869696E-2</v>
      </c>
      <c r="W894" s="12">
        <f t="shared" si="151"/>
        <v>-1.5117241379310364E-2</v>
      </c>
      <c r="X894" s="12">
        <f t="shared" si="152"/>
        <v>6.6181336863002649E-4</v>
      </c>
      <c r="Y894" s="12">
        <f t="shared" si="153"/>
        <v>8.5564841662404412E-3</v>
      </c>
    </row>
    <row r="895" spans="1:25" x14ac:dyDescent="0.35">
      <c r="A895" s="6">
        <v>45425</v>
      </c>
      <c r="B895" s="8">
        <v>5221.42</v>
      </c>
      <c r="C895" s="2">
        <v>186.28</v>
      </c>
      <c r="D895" s="2">
        <v>167.56</v>
      </c>
      <c r="E895" s="2">
        <v>413.72</v>
      </c>
      <c r="F895" s="2">
        <v>511.74</v>
      </c>
      <c r="G895" s="2">
        <v>151.22</v>
      </c>
      <c r="H895" s="2">
        <v>279.39</v>
      </c>
      <c r="I895" s="2">
        <v>238.65</v>
      </c>
      <c r="J895" s="2">
        <v>178.44</v>
      </c>
      <c r="K895" s="2">
        <v>60.41</v>
      </c>
      <c r="L895" s="2">
        <v>356.68</v>
      </c>
      <c r="M895" s="64">
        <v>11</v>
      </c>
      <c r="N895" s="1"/>
      <c r="O895" s="12">
        <f t="shared" si="143"/>
        <v>-2.4125544739483917E-4</v>
      </c>
      <c r="P895" s="12">
        <f t="shared" si="144"/>
        <v>1.7645452062277966E-2</v>
      </c>
      <c r="Q895" s="12">
        <f t="shared" si="145"/>
        <v>2.4528866287765183E-3</v>
      </c>
      <c r="R895" s="12">
        <f t="shared" si="146"/>
        <v>-2.459372136760285E-3</v>
      </c>
      <c r="S895" s="12">
        <f t="shared" si="147"/>
        <v>-2.0865427741267872E-3</v>
      </c>
      <c r="T895" s="12">
        <f t="shared" si="148"/>
        <v>8.7385764792209386E-3</v>
      </c>
      <c r="U895" s="12">
        <f t="shared" si="149"/>
        <v>-4.8087198119256547E-3</v>
      </c>
      <c r="V895" s="12">
        <f t="shared" si="150"/>
        <v>-1.5063970284771022E-2</v>
      </c>
      <c r="W895" s="12">
        <f t="shared" si="151"/>
        <v>-3.9213489440359517E-4</v>
      </c>
      <c r="X895" s="12">
        <f t="shared" si="152"/>
        <v>-1.1574074074074403E-3</v>
      </c>
      <c r="Y895" s="12">
        <f t="shared" si="153"/>
        <v>5.327094901209195E-3</v>
      </c>
    </row>
    <row r="896" spans="1:25" x14ac:dyDescent="0.35">
      <c r="A896" s="6">
        <v>45426</v>
      </c>
      <c r="B896" s="8">
        <v>5246.68</v>
      </c>
      <c r="C896" s="2">
        <v>187.43</v>
      </c>
      <c r="D896" s="2">
        <v>167.36</v>
      </c>
      <c r="E896" s="2">
        <v>416.56</v>
      </c>
      <c r="F896" s="2">
        <v>513.88</v>
      </c>
      <c r="G896" s="2">
        <v>151.38</v>
      </c>
      <c r="H896" s="2">
        <v>277.74</v>
      </c>
      <c r="I896" s="2">
        <v>241.53</v>
      </c>
      <c r="J896" s="2">
        <v>180.76</v>
      </c>
      <c r="K896" s="2">
        <v>59.86</v>
      </c>
      <c r="L896" s="2">
        <v>358.18</v>
      </c>
      <c r="M896" s="64" t="s">
        <v>77</v>
      </c>
      <c r="N896" s="1"/>
      <c r="O896" s="12">
        <f t="shared" si="143"/>
        <v>4.8377644395585229E-3</v>
      </c>
      <c r="P896" s="12">
        <f t="shared" si="144"/>
        <v>6.1735022546705043E-3</v>
      </c>
      <c r="Q896" s="12">
        <f t="shared" si="145"/>
        <v>-1.1936022917162781E-3</v>
      </c>
      <c r="R896" s="12">
        <f t="shared" si="146"/>
        <v>6.8645460698055771E-3</v>
      </c>
      <c r="S896" s="12">
        <f t="shared" si="147"/>
        <v>4.1818110759370697E-3</v>
      </c>
      <c r="T896" s="12">
        <f t="shared" si="148"/>
        <v>1.0580611030286402E-3</v>
      </c>
      <c r="U896" s="12">
        <f t="shared" si="149"/>
        <v>-5.9057231826478152E-3</v>
      </c>
      <c r="V896" s="12">
        <f t="shared" si="150"/>
        <v>1.2067881835323702E-2</v>
      </c>
      <c r="W896" s="12">
        <f t="shared" si="151"/>
        <v>1.3001569154897918E-2</v>
      </c>
      <c r="X896" s="12">
        <f t="shared" si="152"/>
        <v>-9.1044529051480527E-3</v>
      </c>
      <c r="Y896" s="12">
        <f t="shared" si="153"/>
        <v>4.2054502635415769E-3</v>
      </c>
    </row>
    <row r="897" spans="1:25" x14ac:dyDescent="0.35">
      <c r="A897" s="6">
        <v>45427</v>
      </c>
      <c r="B897" s="8">
        <v>5308.15</v>
      </c>
      <c r="C897" s="2">
        <v>189.72</v>
      </c>
      <c r="D897" s="2">
        <v>168.26</v>
      </c>
      <c r="E897" s="2">
        <v>423.08</v>
      </c>
      <c r="F897" s="2">
        <v>517.54999999999995</v>
      </c>
      <c r="G897" s="2">
        <v>152.66999999999999</v>
      </c>
      <c r="H897" s="2">
        <v>281.5</v>
      </c>
      <c r="I897" s="2">
        <v>241.7</v>
      </c>
      <c r="J897" s="2">
        <v>176.99</v>
      </c>
      <c r="K897" s="2">
        <v>59.83</v>
      </c>
      <c r="L897" s="2">
        <v>360.04</v>
      </c>
      <c r="M897" s="64" t="s">
        <v>77</v>
      </c>
      <c r="N897" s="1"/>
      <c r="O897" s="12">
        <f t="shared" si="143"/>
        <v>1.1715980391409309E-2</v>
      </c>
      <c r="P897" s="12">
        <f t="shared" si="144"/>
        <v>1.2217894680680796E-2</v>
      </c>
      <c r="Q897" s="12">
        <f t="shared" si="145"/>
        <v>5.3776290630973556E-3</v>
      </c>
      <c r="R897" s="12">
        <f t="shared" si="146"/>
        <v>1.5652006913769778E-2</v>
      </c>
      <c r="S897" s="12">
        <f t="shared" si="147"/>
        <v>7.1417451545106037E-3</v>
      </c>
      <c r="T897" s="12">
        <f t="shared" si="148"/>
        <v>8.5216012683313469E-3</v>
      </c>
      <c r="U897" s="12">
        <f t="shared" si="149"/>
        <v>1.3537841146395779E-2</v>
      </c>
      <c r="V897" s="12">
        <f t="shared" si="150"/>
        <v>7.0384631308728629E-4</v>
      </c>
      <c r="W897" s="12">
        <f t="shared" si="151"/>
        <v>-2.0856384155786611E-2</v>
      </c>
      <c r="X897" s="12">
        <f t="shared" si="152"/>
        <v>-5.0116939525557402E-4</v>
      </c>
      <c r="Y897" s="12">
        <f t="shared" si="153"/>
        <v>5.1929197610141031E-3</v>
      </c>
    </row>
    <row r="898" spans="1:25" x14ac:dyDescent="0.35">
      <c r="A898" s="6">
        <v>45428</v>
      </c>
      <c r="B898" s="8">
        <v>5297.1</v>
      </c>
      <c r="C898" s="2">
        <v>189.84</v>
      </c>
      <c r="D898" s="2">
        <v>168.97</v>
      </c>
      <c r="E898" s="2">
        <v>420.99</v>
      </c>
      <c r="F898" s="2">
        <v>521.27</v>
      </c>
      <c r="G898" s="2">
        <v>154.28</v>
      </c>
      <c r="H898" s="2">
        <v>279.83999999999997</v>
      </c>
      <c r="I898" s="2">
        <v>241.32</v>
      </c>
      <c r="J898" s="2">
        <v>182.96</v>
      </c>
      <c r="K898" s="2">
        <v>64.010000000000005</v>
      </c>
      <c r="L898" s="2">
        <v>350.72</v>
      </c>
      <c r="M898" s="64" t="s">
        <v>77</v>
      </c>
      <c r="N898" s="1"/>
      <c r="O898" s="12">
        <f t="shared" si="143"/>
        <v>-2.0817045486656305E-3</v>
      </c>
      <c r="P898" s="12">
        <f t="shared" si="144"/>
        <v>6.3251106894379738E-4</v>
      </c>
      <c r="Q898" s="12">
        <f t="shared" si="145"/>
        <v>4.2196600499226911E-3</v>
      </c>
      <c r="R898" s="12">
        <f t="shared" si="146"/>
        <v>-4.9399640729884675E-3</v>
      </c>
      <c r="S898" s="12">
        <f t="shared" si="147"/>
        <v>7.1877113322385E-3</v>
      </c>
      <c r="T898" s="12">
        <f t="shared" si="148"/>
        <v>1.0545621274644645E-2</v>
      </c>
      <c r="U898" s="12">
        <f t="shared" si="149"/>
        <v>-5.8969804618118626E-3</v>
      </c>
      <c r="V898" s="12">
        <f t="shared" si="150"/>
        <v>-1.5721969383533096E-3</v>
      </c>
      <c r="W898" s="12">
        <f t="shared" si="151"/>
        <v>3.373071924967519E-2</v>
      </c>
      <c r="X898" s="12">
        <f t="shared" si="152"/>
        <v>6.9864616413170877E-2</v>
      </c>
      <c r="Y898" s="12">
        <f t="shared" si="153"/>
        <v>-2.5886012665259361E-2</v>
      </c>
    </row>
    <row r="899" spans="1:25" x14ac:dyDescent="0.35">
      <c r="A899" s="6">
        <v>45429</v>
      </c>
      <c r="B899" s="8">
        <v>5303.27</v>
      </c>
      <c r="C899" s="2">
        <v>189.87</v>
      </c>
      <c r="D899" s="2">
        <v>169.03</v>
      </c>
      <c r="E899" s="2">
        <v>420.21</v>
      </c>
      <c r="F899" s="2">
        <v>524.63</v>
      </c>
      <c r="G899" s="2">
        <v>154.63999999999999</v>
      </c>
      <c r="H899" s="2">
        <v>280.10000000000002</v>
      </c>
      <c r="I899" s="2">
        <v>242.82</v>
      </c>
      <c r="J899" s="2">
        <v>184.95</v>
      </c>
      <c r="K899" s="2">
        <v>64.650000000000006</v>
      </c>
      <c r="L899" s="2">
        <v>356.27</v>
      </c>
      <c r="M899" s="64" t="s">
        <v>77</v>
      </c>
      <c r="N899" s="1"/>
      <c r="O899" s="12">
        <f t="shared" si="143"/>
        <v>1.1647882803798026E-3</v>
      </c>
      <c r="P899" s="12">
        <f t="shared" si="144"/>
        <v>1.5802781289497858E-4</v>
      </c>
      <c r="Q899" s="12">
        <f t="shared" si="145"/>
        <v>3.5509261999178143E-4</v>
      </c>
      <c r="R899" s="12">
        <f t="shared" si="146"/>
        <v>-1.8527756003706708E-3</v>
      </c>
      <c r="S899" s="12">
        <f t="shared" si="147"/>
        <v>6.4457958447636798E-3</v>
      </c>
      <c r="T899" s="12">
        <f t="shared" si="148"/>
        <v>2.3334197562872028E-3</v>
      </c>
      <c r="U899" s="12">
        <f t="shared" si="149"/>
        <v>9.2910234419685267E-4</v>
      </c>
      <c r="V899" s="12">
        <f t="shared" si="150"/>
        <v>6.2158130283440638E-3</v>
      </c>
      <c r="W899" s="12">
        <f t="shared" si="151"/>
        <v>1.0876694359422734E-2</v>
      </c>
      <c r="X899" s="12">
        <f t="shared" si="152"/>
        <v>9.998437744102473E-3</v>
      </c>
      <c r="Y899" s="12">
        <f t="shared" si="153"/>
        <v>1.5824589416058243E-2</v>
      </c>
    </row>
    <row r="900" spans="1:25" x14ac:dyDescent="0.35">
      <c r="A900" s="6">
        <v>45432</v>
      </c>
      <c r="B900" s="8">
        <v>5308.13</v>
      </c>
      <c r="C900" s="2">
        <v>191.04</v>
      </c>
      <c r="D900" s="2">
        <v>169.92</v>
      </c>
      <c r="E900" s="2">
        <v>425.34</v>
      </c>
      <c r="F900" s="2">
        <v>517.23</v>
      </c>
      <c r="G900" s="2">
        <v>151.27000000000001</v>
      </c>
      <c r="H900" s="2">
        <v>278.54000000000002</v>
      </c>
      <c r="I900" s="2">
        <v>242.3</v>
      </c>
      <c r="J900" s="2">
        <v>186.61</v>
      </c>
      <c r="K900" s="2">
        <v>64.180000000000007</v>
      </c>
      <c r="L900" s="2">
        <v>362.75</v>
      </c>
      <c r="M900" s="64">
        <v>11.25</v>
      </c>
      <c r="N900" s="1"/>
      <c r="O900" s="12">
        <f t="shared" si="143"/>
        <v>9.1641572086653689E-4</v>
      </c>
      <c r="P900" s="12">
        <f t="shared" si="144"/>
        <v>6.1621109179965661E-3</v>
      </c>
      <c r="Q900" s="12">
        <f t="shared" si="145"/>
        <v>5.265337514050783E-3</v>
      </c>
      <c r="R900" s="12">
        <f t="shared" si="146"/>
        <v>1.2208181623474035E-2</v>
      </c>
      <c r="S900" s="12">
        <f t="shared" si="147"/>
        <v>-1.4105178887978131E-2</v>
      </c>
      <c r="T900" s="12">
        <f t="shared" si="148"/>
        <v>-2.1792550439730829E-2</v>
      </c>
      <c r="U900" s="12">
        <f t="shared" si="149"/>
        <v>-5.5694394858979424E-3</v>
      </c>
      <c r="V900" s="12">
        <f t="shared" si="150"/>
        <v>-2.1415039947285663E-3</v>
      </c>
      <c r="W900" s="12">
        <f t="shared" si="151"/>
        <v>8.9753987564207272E-3</v>
      </c>
      <c r="X900" s="12">
        <f t="shared" si="152"/>
        <v>-7.2699149265273988E-3</v>
      </c>
      <c r="Y900" s="12">
        <f t="shared" si="153"/>
        <v>1.8188452578100867E-2</v>
      </c>
    </row>
    <row r="901" spans="1:25" x14ac:dyDescent="0.35">
      <c r="A901" s="6">
        <v>45433</v>
      </c>
      <c r="B901" s="8">
        <v>5321.41</v>
      </c>
      <c r="C901" s="2">
        <v>192.35</v>
      </c>
      <c r="D901" s="2">
        <v>173.47</v>
      </c>
      <c r="E901" s="2">
        <v>429.04</v>
      </c>
      <c r="F901" s="2">
        <v>523.54999999999995</v>
      </c>
      <c r="G901" s="2">
        <v>151.24</v>
      </c>
      <c r="H901" s="2">
        <v>275.95</v>
      </c>
      <c r="I901" s="2">
        <v>243.08</v>
      </c>
      <c r="J901" s="2">
        <v>184.78</v>
      </c>
      <c r="K901" s="2">
        <v>65.150000000000006</v>
      </c>
      <c r="L901" s="2">
        <v>359.07</v>
      </c>
      <c r="M901" s="64" t="s">
        <v>77</v>
      </c>
      <c r="N901" s="1"/>
      <c r="O901" s="12">
        <f t="shared" ref="O901:O964" si="154">(B901/B900)-1</f>
        <v>2.5018226757822504E-3</v>
      </c>
      <c r="P901" s="12">
        <f t="shared" ref="P901:P964" si="155">(C901/C900)-1</f>
        <v>6.8572026800670649E-3</v>
      </c>
      <c r="Q901" s="12">
        <f t="shared" ref="Q901:Q964" si="156">(D901/D900)-1</f>
        <v>2.0892184557438798E-2</v>
      </c>
      <c r="R901" s="12">
        <f t="shared" ref="R901:R964" si="157">(E901/E900)-1</f>
        <v>8.6989232143697137E-3</v>
      </c>
      <c r="S901" s="12">
        <f t="shared" ref="S901:S964" si="158">(F901/F900)-1</f>
        <v>1.2218935483247151E-2</v>
      </c>
      <c r="T901" s="12">
        <f t="shared" ref="T901:T964" si="159">(G901/G900)-1</f>
        <v>-1.983208831890515E-4</v>
      </c>
      <c r="U901" s="12">
        <f t="shared" ref="U901:U964" si="160">(H901/H900)-1</f>
        <v>-9.2984849572773642E-3</v>
      </c>
      <c r="V901" s="12">
        <f t="shared" ref="V901:V964" si="161">(I901/I900)-1</f>
        <v>3.2191498142797315E-3</v>
      </c>
      <c r="W901" s="12">
        <f t="shared" ref="W901:W964" si="162">(J901/J900)-1</f>
        <v>-9.8065484164836514E-3</v>
      </c>
      <c r="X901" s="12">
        <f t="shared" ref="X901:X964" si="163">(K901/K900)-1</f>
        <v>1.5113742598940494E-2</v>
      </c>
      <c r="Y901" s="12">
        <f t="shared" ref="Y901:Y964" si="164">(L901/L900)-1</f>
        <v>-1.0144727773949036E-2</v>
      </c>
    </row>
    <row r="902" spans="1:25" x14ac:dyDescent="0.35">
      <c r="A902" s="6">
        <v>45434</v>
      </c>
      <c r="B902" s="8">
        <v>5307.01</v>
      </c>
      <c r="C902" s="2">
        <v>190.9</v>
      </c>
      <c r="D902" s="2">
        <v>173.69</v>
      </c>
      <c r="E902" s="2">
        <v>430.52</v>
      </c>
      <c r="F902" s="2">
        <v>521.35</v>
      </c>
      <c r="G902" s="2">
        <v>153.5</v>
      </c>
      <c r="H902" s="2">
        <v>275.58</v>
      </c>
      <c r="I902" s="2">
        <v>240.09</v>
      </c>
      <c r="J902" s="2">
        <v>186.28</v>
      </c>
      <c r="K902" s="2">
        <v>65.25</v>
      </c>
      <c r="L902" s="2">
        <v>355.94</v>
      </c>
      <c r="M902" s="64" t="s">
        <v>77</v>
      </c>
      <c r="N902" s="1"/>
      <c r="O902" s="12">
        <f t="shared" si="154"/>
        <v>-2.7060497123881921E-3</v>
      </c>
      <c r="P902" s="12">
        <f t="shared" si="155"/>
        <v>-7.5383415648556662E-3</v>
      </c>
      <c r="Q902" s="12">
        <f t="shared" si="156"/>
        <v>1.2682308180089752E-3</v>
      </c>
      <c r="R902" s="12">
        <f t="shared" si="157"/>
        <v>3.4495618124184002E-3</v>
      </c>
      <c r="S902" s="12">
        <f t="shared" si="158"/>
        <v>-4.2020819405976795E-3</v>
      </c>
      <c r="T902" s="12">
        <f t="shared" si="159"/>
        <v>1.494313673631309E-2</v>
      </c>
      <c r="U902" s="12">
        <f t="shared" si="160"/>
        <v>-1.3408226127922251E-3</v>
      </c>
      <c r="V902" s="12">
        <f t="shared" si="161"/>
        <v>-1.2300477209149285E-2</v>
      </c>
      <c r="W902" s="12">
        <f t="shared" si="162"/>
        <v>8.117761662517653E-3</v>
      </c>
      <c r="X902" s="12">
        <f t="shared" si="163"/>
        <v>1.5349194167304514E-3</v>
      </c>
      <c r="Y902" s="12">
        <f t="shared" si="164"/>
        <v>-8.7169632662155161E-3</v>
      </c>
    </row>
    <row r="903" spans="1:25" x14ac:dyDescent="0.35">
      <c r="A903" s="6">
        <v>45435</v>
      </c>
      <c r="B903" s="8">
        <v>5267.84</v>
      </c>
      <c r="C903" s="2">
        <v>186.88</v>
      </c>
      <c r="D903" s="2">
        <v>170.67</v>
      </c>
      <c r="E903" s="2">
        <v>427</v>
      </c>
      <c r="F903" s="2">
        <v>516.83000000000004</v>
      </c>
      <c r="G903" s="2">
        <v>149.69999999999999</v>
      </c>
      <c r="H903" s="2">
        <v>274.23</v>
      </c>
      <c r="I903" s="2">
        <v>235.46</v>
      </c>
      <c r="J903" s="2">
        <v>172.21</v>
      </c>
      <c r="K903" s="2">
        <v>64.84</v>
      </c>
      <c r="L903" s="2">
        <v>350.7</v>
      </c>
      <c r="M903" s="64" t="s">
        <v>77</v>
      </c>
      <c r="N903" s="1"/>
      <c r="O903" s="12">
        <f t="shared" si="154"/>
        <v>-7.3808038801509435E-3</v>
      </c>
      <c r="P903" s="12">
        <f t="shared" si="155"/>
        <v>-2.1058145625982294E-2</v>
      </c>
      <c r="Q903" s="12">
        <f t="shared" si="156"/>
        <v>-1.7387299211238494E-2</v>
      </c>
      <c r="R903" s="12">
        <f t="shared" si="157"/>
        <v>-8.1761590634581438E-3</v>
      </c>
      <c r="S903" s="12">
        <f t="shared" si="158"/>
        <v>-8.6697995588376209E-3</v>
      </c>
      <c r="T903" s="12">
        <f t="shared" si="159"/>
        <v>-2.4755700325732932E-2</v>
      </c>
      <c r="U903" s="12">
        <f t="shared" si="160"/>
        <v>-4.8987589810579601E-3</v>
      </c>
      <c r="V903" s="12">
        <f t="shared" si="161"/>
        <v>-1.9284435003540268E-2</v>
      </c>
      <c r="W903" s="12">
        <f t="shared" si="162"/>
        <v>-7.5531458020184683E-2</v>
      </c>
      <c r="X903" s="12">
        <f t="shared" si="163"/>
        <v>-6.2835249042144659E-3</v>
      </c>
      <c r="Y903" s="12">
        <f t="shared" si="164"/>
        <v>-1.4721582289149882E-2</v>
      </c>
    </row>
    <row r="904" spans="1:25" x14ac:dyDescent="0.35">
      <c r="A904" s="6">
        <v>45436</v>
      </c>
      <c r="B904" s="8">
        <v>5304.72</v>
      </c>
      <c r="C904" s="2">
        <v>189.98</v>
      </c>
      <c r="D904" s="2">
        <v>170.89</v>
      </c>
      <c r="E904" s="2">
        <v>430.16</v>
      </c>
      <c r="F904" s="2">
        <v>508.17</v>
      </c>
      <c r="G904" s="2">
        <v>146.97</v>
      </c>
      <c r="H904" s="2">
        <v>274.49</v>
      </c>
      <c r="I904" s="2">
        <v>238.18</v>
      </c>
      <c r="J904" s="2">
        <v>174.52</v>
      </c>
      <c r="K904" s="2">
        <v>65.38</v>
      </c>
      <c r="L904" s="2">
        <v>348.9</v>
      </c>
      <c r="M904" s="64" t="s">
        <v>77</v>
      </c>
      <c r="N904" s="1"/>
      <c r="O904" s="12">
        <f t="shared" si="154"/>
        <v>7.0009719353663069E-3</v>
      </c>
      <c r="P904" s="12">
        <f t="shared" si="155"/>
        <v>1.6588184931506822E-2</v>
      </c>
      <c r="Q904" s="12">
        <f t="shared" si="156"/>
        <v>1.2890373234897279E-3</v>
      </c>
      <c r="R904" s="12">
        <f t="shared" si="157"/>
        <v>7.4004683840749319E-3</v>
      </c>
      <c r="S904" s="12">
        <f t="shared" si="158"/>
        <v>-1.6755993266644786E-2</v>
      </c>
      <c r="T904" s="12">
        <f t="shared" si="159"/>
        <v>-1.8236472945891702E-2</v>
      </c>
      <c r="U904" s="12">
        <f t="shared" si="160"/>
        <v>9.4810925135835333E-4</v>
      </c>
      <c r="V904" s="12">
        <f t="shared" si="161"/>
        <v>1.1551855941561273E-2</v>
      </c>
      <c r="W904" s="12">
        <f t="shared" si="162"/>
        <v>1.3413855176819034E-2</v>
      </c>
      <c r="X904" s="12">
        <f t="shared" si="163"/>
        <v>8.3281924737814705E-3</v>
      </c>
      <c r="Y904" s="12">
        <f t="shared" si="164"/>
        <v>-5.1325919589393365E-3</v>
      </c>
    </row>
    <row r="905" spans="1:25" x14ac:dyDescent="0.35">
      <c r="A905" s="6">
        <v>45440</v>
      </c>
      <c r="B905" s="8">
        <v>5306.04</v>
      </c>
      <c r="C905" s="2">
        <v>189.99</v>
      </c>
      <c r="D905" s="2">
        <v>169.66</v>
      </c>
      <c r="E905" s="2">
        <v>430.32</v>
      </c>
      <c r="F905" s="2">
        <v>503.68</v>
      </c>
      <c r="G905" s="2">
        <v>144.38</v>
      </c>
      <c r="H905" s="2">
        <v>270.98</v>
      </c>
      <c r="I905" s="2">
        <v>237.25</v>
      </c>
      <c r="J905" s="2">
        <v>175.08</v>
      </c>
      <c r="K905" s="2">
        <v>65.040000000000006</v>
      </c>
      <c r="L905" s="2">
        <v>346.47</v>
      </c>
      <c r="M905" s="64">
        <v>11</v>
      </c>
      <c r="N905" s="1"/>
      <c r="O905" s="12">
        <f t="shared" si="154"/>
        <v>2.4883499977379486E-4</v>
      </c>
      <c r="P905" s="12">
        <f t="shared" si="155"/>
        <v>5.263711969694107E-5</v>
      </c>
      <c r="Q905" s="12">
        <f t="shared" si="156"/>
        <v>-7.1976124992684243E-3</v>
      </c>
      <c r="R905" s="12">
        <f t="shared" si="157"/>
        <v>3.7195462153616354E-4</v>
      </c>
      <c r="S905" s="12">
        <f t="shared" si="158"/>
        <v>-8.8356258732313897E-3</v>
      </c>
      <c r="T905" s="12">
        <f t="shared" si="159"/>
        <v>-1.762264407702252E-2</v>
      </c>
      <c r="U905" s="12">
        <f t="shared" si="160"/>
        <v>-1.278735108747131E-2</v>
      </c>
      <c r="V905" s="12">
        <f t="shared" si="161"/>
        <v>-3.9046099588546657E-3</v>
      </c>
      <c r="W905" s="12">
        <f t="shared" si="162"/>
        <v>3.2088012835205237E-3</v>
      </c>
      <c r="X905" s="12">
        <f t="shared" si="163"/>
        <v>-5.2003670847352579E-3</v>
      </c>
      <c r="Y905" s="12">
        <f t="shared" si="164"/>
        <v>-6.9647463456576908E-3</v>
      </c>
    </row>
    <row r="906" spans="1:25" x14ac:dyDescent="0.35">
      <c r="A906" s="6">
        <v>45441</v>
      </c>
      <c r="B906" s="8">
        <v>5266.95</v>
      </c>
      <c r="C906" s="2">
        <v>190.29</v>
      </c>
      <c r="D906" s="2">
        <v>167.05</v>
      </c>
      <c r="E906" s="2">
        <v>429.17</v>
      </c>
      <c r="F906" s="2">
        <v>484.72</v>
      </c>
      <c r="G906" s="2">
        <v>144.44</v>
      </c>
      <c r="H906" s="2">
        <v>268.86</v>
      </c>
      <c r="I906" s="2">
        <v>235.94</v>
      </c>
      <c r="J906" s="2">
        <v>171.65</v>
      </c>
      <c r="K906" s="2">
        <v>64.92</v>
      </c>
      <c r="L906" s="2">
        <v>338.11</v>
      </c>
      <c r="M906" s="64" t="s">
        <v>77</v>
      </c>
      <c r="N906" s="1"/>
      <c r="O906" s="12">
        <f t="shared" si="154"/>
        <v>-7.3670760114887823E-3</v>
      </c>
      <c r="P906" s="12">
        <f t="shared" si="155"/>
        <v>1.5790304752880679E-3</v>
      </c>
      <c r="Q906" s="12">
        <f t="shared" si="156"/>
        <v>-1.5383708593657786E-2</v>
      </c>
      <c r="R906" s="12">
        <f t="shared" si="157"/>
        <v>-2.6724298196689755E-3</v>
      </c>
      <c r="S906" s="12">
        <f t="shared" si="158"/>
        <v>-3.7642947903430701E-2</v>
      </c>
      <c r="T906" s="12">
        <f t="shared" si="159"/>
        <v>4.1557002354908334E-4</v>
      </c>
      <c r="U906" s="12">
        <f t="shared" si="160"/>
        <v>-7.8234556055797322E-3</v>
      </c>
      <c r="V906" s="12">
        <f t="shared" si="161"/>
        <v>-5.5216016859852557E-3</v>
      </c>
      <c r="W906" s="12">
        <f t="shared" si="162"/>
        <v>-1.9591044094128485E-2</v>
      </c>
      <c r="X906" s="12">
        <f t="shared" si="163"/>
        <v>-1.8450184501845879E-3</v>
      </c>
      <c r="Y906" s="12">
        <f t="shared" si="164"/>
        <v>-2.4129073224232966E-2</v>
      </c>
    </row>
    <row r="907" spans="1:25" x14ac:dyDescent="0.35">
      <c r="A907" s="6">
        <v>45442</v>
      </c>
      <c r="B907" s="8">
        <v>5235.4799999999996</v>
      </c>
      <c r="C907" s="2">
        <v>191.29</v>
      </c>
      <c r="D907" s="2">
        <v>165.63</v>
      </c>
      <c r="E907" s="2">
        <v>414.67</v>
      </c>
      <c r="F907" s="2">
        <v>481.65</v>
      </c>
      <c r="G907" s="2">
        <v>145.28</v>
      </c>
      <c r="H907" s="2">
        <v>271.3</v>
      </c>
      <c r="I907" s="2">
        <v>237.22</v>
      </c>
      <c r="J907" s="2">
        <v>172.75</v>
      </c>
      <c r="K907" s="2">
        <v>64.89</v>
      </c>
      <c r="L907" s="2">
        <v>339.25</v>
      </c>
      <c r="M907" s="64" t="s">
        <v>77</v>
      </c>
      <c r="N907" s="1"/>
      <c r="O907" s="12">
        <f t="shared" si="154"/>
        <v>-5.9749950160910004E-3</v>
      </c>
      <c r="P907" s="12">
        <f t="shared" si="155"/>
        <v>5.2551368963160705E-3</v>
      </c>
      <c r="Q907" s="12">
        <f t="shared" si="156"/>
        <v>-8.5004489673751182E-3</v>
      </c>
      <c r="R907" s="12">
        <f t="shared" si="157"/>
        <v>-3.3786145350327423E-2</v>
      </c>
      <c r="S907" s="12">
        <f t="shared" si="158"/>
        <v>-6.3335533916488718E-3</v>
      </c>
      <c r="T907" s="12">
        <f t="shared" si="159"/>
        <v>5.815563555801706E-3</v>
      </c>
      <c r="U907" s="12">
        <f t="shared" si="160"/>
        <v>9.0753552034517071E-3</v>
      </c>
      <c r="V907" s="12">
        <f t="shared" si="161"/>
        <v>5.4251080783249694E-3</v>
      </c>
      <c r="W907" s="12">
        <f t="shared" si="162"/>
        <v>6.4083891639965529E-3</v>
      </c>
      <c r="X907" s="12">
        <f t="shared" si="163"/>
        <v>-4.6210720887251977E-4</v>
      </c>
      <c r="Y907" s="12">
        <f t="shared" si="164"/>
        <v>3.371683771553613E-3</v>
      </c>
    </row>
    <row r="908" spans="1:25" x14ac:dyDescent="0.35">
      <c r="A908" s="6">
        <v>45443</v>
      </c>
      <c r="B908" s="8">
        <v>5277.51</v>
      </c>
      <c r="C908" s="2">
        <v>192.25</v>
      </c>
      <c r="D908" s="2">
        <v>166.85</v>
      </c>
      <c r="E908" s="2">
        <v>415.13</v>
      </c>
      <c r="F908" s="2">
        <v>495.37</v>
      </c>
      <c r="G908" s="2">
        <v>146.66999999999999</v>
      </c>
      <c r="H908" s="2">
        <v>272.45999999999998</v>
      </c>
      <c r="I908" s="2">
        <v>240</v>
      </c>
      <c r="J908" s="2">
        <v>177.61</v>
      </c>
      <c r="K908" s="2">
        <v>65.760000000000005</v>
      </c>
      <c r="L908" s="2">
        <v>338.52</v>
      </c>
      <c r="M908" s="64" t="s">
        <v>77</v>
      </c>
      <c r="N908" s="1"/>
      <c r="O908" s="12">
        <f t="shared" si="154"/>
        <v>8.0279172110295782E-3</v>
      </c>
      <c r="P908" s="12">
        <f t="shared" si="155"/>
        <v>5.0185582100477077E-3</v>
      </c>
      <c r="Q908" s="12">
        <f t="shared" si="156"/>
        <v>7.3658153716114061E-3</v>
      </c>
      <c r="R908" s="12">
        <f t="shared" si="157"/>
        <v>1.1093158415125259E-3</v>
      </c>
      <c r="S908" s="12">
        <f t="shared" si="158"/>
        <v>2.8485414720232693E-2</v>
      </c>
      <c r="T908" s="12">
        <f t="shared" si="159"/>
        <v>9.5677312775328538E-3</v>
      </c>
      <c r="U908" s="12">
        <f t="shared" si="160"/>
        <v>4.2757095466272599E-3</v>
      </c>
      <c r="V908" s="12">
        <f t="shared" si="161"/>
        <v>1.1719079335637872E-2</v>
      </c>
      <c r="W908" s="12">
        <f t="shared" si="162"/>
        <v>2.8133140376266352E-2</v>
      </c>
      <c r="X908" s="12">
        <f t="shared" si="163"/>
        <v>1.3407304669440734E-2</v>
      </c>
      <c r="Y908" s="12">
        <f t="shared" si="164"/>
        <v>-2.1518054532057018E-3</v>
      </c>
    </row>
    <row r="909" spans="1:25" x14ac:dyDescent="0.35">
      <c r="A909" s="6">
        <v>45446</v>
      </c>
      <c r="B909" s="8">
        <v>5283.4</v>
      </c>
      <c r="C909" s="2">
        <v>194.03</v>
      </c>
      <c r="D909" s="2">
        <v>165.28</v>
      </c>
      <c r="E909" s="2">
        <v>413.52</v>
      </c>
      <c r="F909" s="2">
        <v>497.44</v>
      </c>
      <c r="G909" s="2">
        <v>147.74</v>
      </c>
      <c r="H909" s="2">
        <v>270.38</v>
      </c>
      <c r="I909" s="2">
        <v>236.88</v>
      </c>
      <c r="J909" s="2">
        <v>184.57</v>
      </c>
      <c r="K909" s="2">
        <v>65.819999999999993</v>
      </c>
      <c r="L909" s="2">
        <v>331.36</v>
      </c>
      <c r="M909" s="64" t="s">
        <v>77</v>
      </c>
      <c r="N909" s="1"/>
      <c r="O909" s="12">
        <f t="shared" si="154"/>
        <v>1.116056625188655E-3</v>
      </c>
      <c r="P909" s="12">
        <f t="shared" si="155"/>
        <v>9.2587776332899718E-3</v>
      </c>
      <c r="Q909" s="12">
        <f t="shared" si="156"/>
        <v>-9.409649385675678E-3</v>
      </c>
      <c r="R909" s="12">
        <f t="shared" si="157"/>
        <v>-3.8783031821357783E-3</v>
      </c>
      <c r="S909" s="12">
        <f t="shared" si="158"/>
        <v>4.1786947130426633E-3</v>
      </c>
      <c r="T909" s="12">
        <f t="shared" si="159"/>
        <v>7.2952887434378777E-3</v>
      </c>
      <c r="U909" s="12">
        <f t="shared" si="160"/>
        <v>-7.6341481318358273E-3</v>
      </c>
      <c r="V909" s="12">
        <f t="shared" si="161"/>
        <v>-1.3000000000000012E-2</v>
      </c>
      <c r="W909" s="12">
        <f t="shared" si="162"/>
        <v>3.9186982714937146E-2</v>
      </c>
      <c r="X909" s="12">
        <f t="shared" si="163"/>
        <v>9.1240875912390607E-4</v>
      </c>
      <c r="Y909" s="12">
        <f t="shared" si="164"/>
        <v>-2.1150892118633968E-2</v>
      </c>
    </row>
    <row r="910" spans="1:25" x14ac:dyDescent="0.35">
      <c r="A910" s="6">
        <v>45447</v>
      </c>
      <c r="B910" s="8">
        <v>5291.34</v>
      </c>
      <c r="C910" s="2">
        <v>194.35</v>
      </c>
      <c r="D910" s="2">
        <v>165.81</v>
      </c>
      <c r="E910" s="2">
        <v>416.07</v>
      </c>
      <c r="F910" s="2">
        <v>505.49</v>
      </c>
      <c r="G910" s="2">
        <v>147.80000000000001</v>
      </c>
      <c r="H910" s="2">
        <v>272.42</v>
      </c>
      <c r="I910" s="2">
        <v>237.25</v>
      </c>
      <c r="J910" s="2">
        <v>188.62</v>
      </c>
      <c r="K910" s="2">
        <v>66.599999999999994</v>
      </c>
      <c r="L910" s="2">
        <v>327.57</v>
      </c>
      <c r="M910" s="64">
        <v>11.05</v>
      </c>
      <c r="N910" s="1"/>
      <c r="O910" s="12">
        <f t="shared" si="154"/>
        <v>1.5028201536890773E-3</v>
      </c>
      <c r="P910" s="12">
        <f t="shared" si="155"/>
        <v>1.6492295005927637E-3</v>
      </c>
      <c r="Q910" s="12">
        <f t="shared" si="156"/>
        <v>3.2066795740561815E-3</v>
      </c>
      <c r="R910" s="12">
        <f t="shared" si="157"/>
        <v>6.1665699361579396E-3</v>
      </c>
      <c r="S910" s="12">
        <f t="shared" si="158"/>
        <v>1.6182856223866171E-2</v>
      </c>
      <c r="T910" s="12">
        <f t="shared" si="159"/>
        <v>4.061188574522312E-4</v>
      </c>
      <c r="U910" s="12">
        <f t="shared" si="160"/>
        <v>7.5449367556772451E-3</v>
      </c>
      <c r="V910" s="12">
        <f t="shared" si="161"/>
        <v>1.5619723066531144E-3</v>
      </c>
      <c r="W910" s="12">
        <f t="shared" si="162"/>
        <v>2.1942894294847637E-2</v>
      </c>
      <c r="X910" s="12">
        <f t="shared" si="163"/>
        <v>1.185050136736554E-2</v>
      </c>
      <c r="Y910" s="12">
        <f t="shared" si="164"/>
        <v>-1.1437711250603666E-2</v>
      </c>
    </row>
    <row r="911" spans="1:25" x14ac:dyDescent="0.35">
      <c r="A911" s="6">
        <v>45448</v>
      </c>
      <c r="B911" s="8">
        <v>5354.03</v>
      </c>
      <c r="C911" s="2">
        <v>195.87</v>
      </c>
      <c r="D911" s="2">
        <v>167.38</v>
      </c>
      <c r="E911" s="2">
        <v>424.01</v>
      </c>
      <c r="F911" s="2">
        <v>503.12</v>
      </c>
      <c r="G911" s="2">
        <v>145.97</v>
      </c>
      <c r="H911" s="2">
        <v>274.5</v>
      </c>
      <c r="I911" s="2">
        <v>234.69</v>
      </c>
      <c r="J911" s="2">
        <v>189.85</v>
      </c>
      <c r="K911" s="2">
        <v>67.09</v>
      </c>
      <c r="L911" s="2">
        <v>329.45</v>
      </c>
      <c r="M911" s="64" t="s">
        <v>77</v>
      </c>
      <c r="N911" s="1"/>
      <c r="O911" s="12">
        <f t="shared" si="154"/>
        <v>1.1847660516995706E-2</v>
      </c>
      <c r="P911" s="12">
        <f t="shared" si="155"/>
        <v>7.8209416002059662E-3</v>
      </c>
      <c r="Q911" s="12">
        <f t="shared" si="156"/>
        <v>9.4686689584464467E-3</v>
      </c>
      <c r="R911" s="12">
        <f t="shared" si="157"/>
        <v>1.908332732472906E-2</v>
      </c>
      <c r="S911" s="12">
        <f t="shared" si="158"/>
        <v>-4.6885200498526514E-3</v>
      </c>
      <c r="T911" s="12">
        <f t="shared" si="159"/>
        <v>-1.2381596752368162E-2</v>
      </c>
      <c r="U911" s="12">
        <f t="shared" si="160"/>
        <v>7.6352690698187065E-3</v>
      </c>
      <c r="V911" s="12">
        <f t="shared" si="161"/>
        <v>-1.0790305584826188E-2</v>
      </c>
      <c r="W911" s="12">
        <f t="shared" si="162"/>
        <v>6.5210476089492264E-3</v>
      </c>
      <c r="X911" s="12">
        <f t="shared" si="163"/>
        <v>7.3573573573575413E-3</v>
      </c>
      <c r="Y911" s="12">
        <f t="shared" si="164"/>
        <v>5.7392313093385106E-3</v>
      </c>
    </row>
    <row r="912" spans="1:25" x14ac:dyDescent="0.35">
      <c r="A912" s="6">
        <v>45449</v>
      </c>
      <c r="B912" s="8">
        <v>5352.96</v>
      </c>
      <c r="C912" s="2">
        <v>194.48</v>
      </c>
      <c r="D912" s="2">
        <v>168.2</v>
      </c>
      <c r="E912" s="2">
        <v>424.52</v>
      </c>
      <c r="F912" s="2">
        <v>501.92</v>
      </c>
      <c r="G912" s="2">
        <v>146.41999999999999</v>
      </c>
      <c r="H912" s="2">
        <v>277.04000000000002</v>
      </c>
      <c r="I912" s="2">
        <v>233.35</v>
      </c>
      <c r="J912" s="2">
        <v>191.42</v>
      </c>
      <c r="K912" s="2">
        <v>67.150000000000006</v>
      </c>
      <c r="L912" s="2">
        <v>328.29</v>
      </c>
      <c r="M912" s="64" t="s">
        <v>77</v>
      </c>
      <c r="N912" s="1"/>
      <c r="O912" s="12">
        <f t="shared" si="154"/>
        <v>-1.9984945919238051E-4</v>
      </c>
      <c r="P912" s="12">
        <f t="shared" si="155"/>
        <v>-7.0965436258744186E-3</v>
      </c>
      <c r="Q912" s="12">
        <f t="shared" si="156"/>
        <v>4.8990321424302596E-3</v>
      </c>
      <c r="R912" s="12">
        <f t="shared" si="157"/>
        <v>1.2028018207117519E-3</v>
      </c>
      <c r="S912" s="12">
        <f t="shared" si="158"/>
        <v>-2.3851168707266224E-3</v>
      </c>
      <c r="T912" s="12">
        <f t="shared" si="159"/>
        <v>3.0828252380625809E-3</v>
      </c>
      <c r="U912" s="12">
        <f t="shared" si="160"/>
        <v>9.2531876138435276E-3</v>
      </c>
      <c r="V912" s="12">
        <f t="shared" si="161"/>
        <v>-5.7096595508969727E-3</v>
      </c>
      <c r="W912" s="12">
        <f t="shared" si="162"/>
        <v>8.2696865946800813E-3</v>
      </c>
      <c r="X912" s="12">
        <f t="shared" si="163"/>
        <v>8.9432106126108302E-4</v>
      </c>
      <c r="Y912" s="12">
        <f t="shared" si="164"/>
        <v>-3.5210198816207905E-3</v>
      </c>
    </row>
    <row r="913" spans="1:25" x14ac:dyDescent="0.35">
      <c r="A913" s="6">
        <v>45450</v>
      </c>
      <c r="B913" s="8">
        <v>5346.99</v>
      </c>
      <c r="C913" s="2">
        <v>196.89</v>
      </c>
      <c r="D913" s="2">
        <v>170.01</v>
      </c>
      <c r="E913" s="2">
        <v>423.85</v>
      </c>
      <c r="F913" s="2">
        <v>490.69</v>
      </c>
      <c r="G913" s="2">
        <v>147.08000000000001</v>
      </c>
      <c r="H913" s="2">
        <v>278.67</v>
      </c>
      <c r="I913" s="2">
        <v>232.67</v>
      </c>
      <c r="J913" s="2">
        <v>190.24</v>
      </c>
      <c r="K913" s="2">
        <v>65.88</v>
      </c>
      <c r="L913" s="2">
        <v>328.94</v>
      </c>
      <c r="M913" s="64" t="s">
        <v>77</v>
      </c>
      <c r="N913" s="1"/>
      <c r="O913" s="12">
        <f t="shared" si="154"/>
        <v>-1.1152708034434244E-3</v>
      </c>
      <c r="P913" s="12">
        <f t="shared" si="155"/>
        <v>1.2392019744960958E-2</v>
      </c>
      <c r="Q913" s="12">
        <f t="shared" si="156"/>
        <v>1.0760998810939393E-2</v>
      </c>
      <c r="R913" s="12">
        <f t="shared" si="157"/>
        <v>-1.5782530858380328E-3</v>
      </c>
      <c r="S913" s="12">
        <f t="shared" si="158"/>
        <v>-2.2374083519285937E-2</v>
      </c>
      <c r="T913" s="12">
        <f t="shared" si="159"/>
        <v>4.5075809315668902E-3</v>
      </c>
      <c r="U913" s="12">
        <f t="shared" si="160"/>
        <v>5.8836269130810859E-3</v>
      </c>
      <c r="V913" s="12">
        <f t="shared" si="161"/>
        <v>-2.9140775658881291E-3</v>
      </c>
      <c r="W913" s="12">
        <f t="shared" si="162"/>
        <v>-6.1644551248561941E-3</v>
      </c>
      <c r="X913" s="12">
        <f t="shared" si="163"/>
        <v>-1.8912881608339704E-2</v>
      </c>
      <c r="Y913" s="12">
        <f t="shared" si="164"/>
        <v>1.9799567455602851E-3</v>
      </c>
    </row>
    <row r="914" spans="1:25" x14ac:dyDescent="0.35">
      <c r="A914" s="6">
        <v>45453</v>
      </c>
      <c r="B914" s="8">
        <v>5360.79</v>
      </c>
      <c r="C914" s="2">
        <v>193.12</v>
      </c>
      <c r="D914" s="2">
        <v>170.38</v>
      </c>
      <c r="E914" s="2">
        <v>427.87</v>
      </c>
      <c r="F914" s="2">
        <v>495</v>
      </c>
      <c r="G914" s="2">
        <v>147.13</v>
      </c>
      <c r="H914" s="2">
        <v>275.04000000000002</v>
      </c>
      <c r="I914" s="2">
        <v>232.44</v>
      </c>
      <c r="J914" s="2">
        <v>190.12</v>
      </c>
      <c r="K914" s="2">
        <v>66.959999999999994</v>
      </c>
      <c r="L914" s="2">
        <v>329.61</v>
      </c>
      <c r="M914" s="64" t="s">
        <v>77</v>
      </c>
      <c r="N914" s="1"/>
      <c r="O914" s="12">
        <f t="shared" si="154"/>
        <v>2.5808913052016713E-3</v>
      </c>
      <c r="P914" s="12">
        <f t="shared" si="155"/>
        <v>-1.9147747473208354E-2</v>
      </c>
      <c r="Q914" s="12">
        <f t="shared" si="156"/>
        <v>2.1763425680842996E-3</v>
      </c>
      <c r="R914" s="12">
        <f t="shared" si="157"/>
        <v>9.4844874365931364E-3</v>
      </c>
      <c r="S914" s="12">
        <f t="shared" si="158"/>
        <v>8.7835496953270198E-3</v>
      </c>
      <c r="T914" s="12">
        <f t="shared" si="159"/>
        <v>3.3995104704920287E-4</v>
      </c>
      <c r="U914" s="12">
        <f t="shared" si="160"/>
        <v>-1.302615997416301E-2</v>
      </c>
      <c r="V914" s="12">
        <f t="shared" si="161"/>
        <v>-9.8852451970599109E-4</v>
      </c>
      <c r="W914" s="12">
        <f t="shared" si="162"/>
        <v>-6.307821698906535E-4</v>
      </c>
      <c r="X914" s="12">
        <f t="shared" si="163"/>
        <v>1.6393442622950838E-2</v>
      </c>
      <c r="Y914" s="12">
        <f t="shared" si="164"/>
        <v>2.0368456253421208E-3</v>
      </c>
    </row>
    <row r="915" spans="1:25" x14ac:dyDescent="0.35">
      <c r="A915" s="6">
        <v>45454</v>
      </c>
      <c r="B915" s="8">
        <v>5375.32</v>
      </c>
      <c r="C915" s="2">
        <v>207.15</v>
      </c>
      <c r="D915" s="2">
        <v>169.32</v>
      </c>
      <c r="E915" s="2">
        <v>432.68</v>
      </c>
      <c r="F915" s="2">
        <v>496.22</v>
      </c>
      <c r="G915" s="2">
        <v>146.76</v>
      </c>
      <c r="H915" s="2">
        <v>274.67</v>
      </c>
      <c r="I915" s="2">
        <v>224.53</v>
      </c>
      <c r="J915" s="2">
        <v>185.5</v>
      </c>
      <c r="K915" s="2">
        <v>66.73</v>
      </c>
      <c r="L915" s="2">
        <v>327.31</v>
      </c>
      <c r="M915" s="64">
        <v>11.05</v>
      </c>
      <c r="N915" s="1"/>
      <c r="O915" s="12">
        <f t="shared" si="154"/>
        <v>2.7104214117694703E-3</v>
      </c>
      <c r="P915" s="12">
        <f t="shared" si="155"/>
        <v>7.2649130074565083E-2</v>
      </c>
      <c r="Q915" s="12">
        <f t="shared" si="156"/>
        <v>-6.2213874867942387E-3</v>
      </c>
      <c r="R915" s="12">
        <f t="shared" si="157"/>
        <v>1.1241732301867424E-2</v>
      </c>
      <c r="S915" s="12">
        <f t="shared" si="158"/>
        <v>2.4646464646465027E-3</v>
      </c>
      <c r="T915" s="12">
        <f t="shared" si="159"/>
        <v>-2.5147828451029808E-3</v>
      </c>
      <c r="U915" s="12">
        <f t="shared" si="160"/>
        <v>-1.3452588714368829E-3</v>
      </c>
      <c r="V915" s="12">
        <f t="shared" si="161"/>
        <v>-3.403028738599212E-2</v>
      </c>
      <c r="W915" s="12">
        <f t="shared" si="162"/>
        <v>-2.4300441826215047E-2</v>
      </c>
      <c r="X915" s="12">
        <f t="shared" si="163"/>
        <v>-3.4348864994024897E-3</v>
      </c>
      <c r="Y915" s="12">
        <f t="shared" si="164"/>
        <v>-6.9779436303510911E-3</v>
      </c>
    </row>
    <row r="916" spans="1:25" x14ac:dyDescent="0.35">
      <c r="A916" s="6">
        <v>45455</v>
      </c>
      <c r="B916" s="8">
        <v>5421.03</v>
      </c>
      <c r="C916" s="2">
        <v>213.07</v>
      </c>
      <c r="D916" s="2">
        <v>169</v>
      </c>
      <c r="E916" s="2">
        <v>441.06</v>
      </c>
      <c r="F916" s="2">
        <v>493.07</v>
      </c>
      <c r="G916" s="2">
        <v>145.41</v>
      </c>
      <c r="H916" s="2">
        <v>270.32</v>
      </c>
      <c r="I916" s="2">
        <v>224.04</v>
      </c>
      <c r="J916" s="2">
        <v>182.67</v>
      </c>
      <c r="K916" s="2">
        <v>66.31</v>
      </c>
      <c r="L916" s="2">
        <v>328.73</v>
      </c>
      <c r="M916" s="64" t="s">
        <v>77</v>
      </c>
      <c r="N916" s="1"/>
      <c r="O916" s="12">
        <f t="shared" si="154"/>
        <v>8.503679780924589E-3</v>
      </c>
      <c r="P916" s="12">
        <f t="shared" si="155"/>
        <v>2.8578324885348616E-2</v>
      </c>
      <c r="Q916" s="12">
        <f t="shared" si="156"/>
        <v>-1.8899125915425863E-3</v>
      </c>
      <c r="R916" s="12">
        <f t="shared" si="157"/>
        <v>1.9367662013497267E-2</v>
      </c>
      <c r="S916" s="12">
        <f t="shared" si="158"/>
        <v>-6.347990810527615E-3</v>
      </c>
      <c r="T916" s="12">
        <f t="shared" si="159"/>
        <v>-9.198691741618914E-3</v>
      </c>
      <c r="U916" s="12">
        <f t="shared" si="160"/>
        <v>-1.5837186441912232E-2</v>
      </c>
      <c r="V916" s="12">
        <f t="shared" si="161"/>
        <v>-2.1823364361109876E-3</v>
      </c>
      <c r="W916" s="12">
        <f t="shared" si="162"/>
        <v>-1.5256064690027049E-2</v>
      </c>
      <c r="X916" s="12">
        <f t="shared" si="163"/>
        <v>-6.2940206803536736E-3</v>
      </c>
      <c r="Y916" s="12">
        <f t="shared" si="164"/>
        <v>4.3383947939263923E-3</v>
      </c>
    </row>
    <row r="917" spans="1:25" x14ac:dyDescent="0.35">
      <c r="A917" s="6">
        <v>45456</v>
      </c>
      <c r="B917" s="8">
        <v>5433.74</v>
      </c>
      <c r="C917" s="2">
        <v>214.24</v>
      </c>
      <c r="D917" s="2">
        <v>169.12</v>
      </c>
      <c r="E917" s="2">
        <v>441.58</v>
      </c>
      <c r="F917" s="2">
        <v>497.3</v>
      </c>
      <c r="G917" s="2">
        <v>145.44999999999999</v>
      </c>
      <c r="H917" s="2">
        <v>271.19</v>
      </c>
      <c r="I917" s="2">
        <v>222.19</v>
      </c>
      <c r="J917" s="2">
        <v>180.7</v>
      </c>
      <c r="K917" s="2">
        <v>66.7</v>
      </c>
      <c r="L917" s="2">
        <v>326.36</v>
      </c>
      <c r="M917" s="64" t="s">
        <v>77</v>
      </c>
      <c r="N917" s="1"/>
      <c r="O917" s="12">
        <f t="shared" si="154"/>
        <v>2.3445728948188194E-3</v>
      </c>
      <c r="P917" s="12">
        <f t="shared" si="155"/>
        <v>5.4911531421599769E-3</v>
      </c>
      <c r="Q917" s="12">
        <f t="shared" si="156"/>
        <v>7.1005917159761012E-4</v>
      </c>
      <c r="R917" s="12">
        <f t="shared" si="157"/>
        <v>1.1789779168367431E-3</v>
      </c>
      <c r="S917" s="12">
        <f t="shared" si="158"/>
        <v>8.5789036039507494E-3</v>
      </c>
      <c r="T917" s="12">
        <f t="shared" si="159"/>
        <v>2.7508424454980585E-4</v>
      </c>
      <c r="U917" s="12">
        <f t="shared" si="160"/>
        <v>3.2184078129624538E-3</v>
      </c>
      <c r="V917" s="12">
        <f t="shared" si="161"/>
        <v>-8.2574540260667018E-3</v>
      </c>
      <c r="W917" s="12">
        <f t="shared" si="162"/>
        <v>-1.0784474735862526E-2</v>
      </c>
      <c r="X917" s="12">
        <f t="shared" si="163"/>
        <v>5.8814658422561283E-3</v>
      </c>
      <c r="Y917" s="12">
        <f t="shared" si="164"/>
        <v>-7.2095640799439975E-3</v>
      </c>
    </row>
    <row r="918" spans="1:25" x14ac:dyDescent="0.35">
      <c r="A918" s="6">
        <v>45457</v>
      </c>
      <c r="B918" s="8">
        <v>5431.6</v>
      </c>
      <c r="C918" s="2">
        <v>212.49</v>
      </c>
      <c r="D918" s="2">
        <v>169.21</v>
      </c>
      <c r="E918" s="2">
        <v>442.57</v>
      </c>
      <c r="F918" s="2">
        <v>497.12</v>
      </c>
      <c r="G918" s="2">
        <v>145.54</v>
      </c>
      <c r="H918" s="2">
        <v>270.66000000000003</v>
      </c>
      <c r="I918" s="2">
        <v>224.82</v>
      </c>
      <c r="J918" s="2">
        <v>177.27</v>
      </c>
      <c r="K918" s="2">
        <v>67.02</v>
      </c>
      <c r="L918" s="2">
        <v>321.47000000000003</v>
      </c>
      <c r="M918" s="64" t="s">
        <v>77</v>
      </c>
      <c r="N918" s="1"/>
      <c r="O918" s="12">
        <f t="shared" si="154"/>
        <v>-3.9383555341243603E-4</v>
      </c>
      <c r="P918" s="12">
        <f t="shared" si="155"/>
        <v>-8.1684092606422176E-3</v>
      </c>
      <c r="Q918" s="12">
        <f t="shared" si="156"/>
        <v>5.3216650898768592E-4</v>
      </c>
      <c r="R918" s="12">
        <f t="shared" si="157"/>
        <v>2.2419493636487431E-3</v>
      </c>
      <c r="S918" s="12">
        <f t="shared" si="158"/>
        <v>-3.6195455459486769E-4</v>
      </c>
      <c r="T918" s="12">
        <f t="shared" si="159"/>
        <v>6.1876933654181343E-4</v>
      </c>
      <c r="U918" s="12">
        <f t="shared" si="160"/>
        <v>-1.954349349164719E-3</v>
      </c>
      <c r="V918" s="12">
        <f t="shared" si="161"/>
        <v>1.1836716323866847E-2</v>
      </c>
      <c r="W918" s="12">
        <f t="shared" si="162"/>
        <v>-1.8981737686773581E-2</v>
      </c>
      <c r="X918" s="12">
        <f t="shared" si="163"/>
        <v>4.7976011994002032E-3</v>
      </c>
      <c r="Y918" s="12">
        <f t="shared" si="164"/>
        <v>-1.4983453854639062E-2</v>
      </c>
    </row>
    <row r="919" spans="1:25" x14ac:dyDescent="0.35">
      <c r="A919" s="6">
        <v>45460</v>
      </c>
      <c r="B919" s="8">
        <v>5473.23</v>
      </c>
      <c r="C919" s="2">
        <v>216.67</v>
      </c>
      <c r="D919" s="2">
        <v>169.5</v>
      </c>
      <c r="E919" s="2">
        <v>448.37</v>
      </c>
      <c r="F919" s="2">
        <v>489.23</v>
      </c>
      <c r="G919" s="2">
        <v>145.94999999999999</v>
      </c>
      <c r="H919" s="2">
        <v>271.17</v>
      </c>
      <c r="I919" s="2">
        <v>228.27</v>
      </c>
      <c r="J919" s="2">
        <v>178.39</v>
      </c>
      <c r="K919" s="2">
        <v>67.42</v>
      </c>
      <c r="L919" s="2">
        <v>322.39999999999998</v>
      </c>
      <c r="M919" s="64" t="s">
        <v>77</v>
      </c>
      <c r="N919" s="1"/>
      <c r="O919" s="12">
        <f t="shared" si="154"/>
        <v>7.6644082774870448E-3</v>
      </c>
      <c r="P919" s="12">
        <f t="shared" si="155"/>
        <v>1.9671513953597675E-2</v>
      </c>
      <c r="Q919" s="12">
        <f t="shared" si="156"/>
        <v>1.7138466993675827E-3</v>
      </c>
      <c r="R919" s="12">
        <f t="shared" si="157"/>
        <v>1.310527148247731E-2</v>
      </c>
      <c r="S919" s="12">
        <f t="shared" si="158"/>
        <v>-1.5871419375603435E-2</v>
      </c>
      <c r="T919" s="12">
        <f t="shared" si="159"/>
        <v>2.8170949567130066E-3</v>
      </c>
      <c r="U919" s="12">
        <f t="shared" si="160"/>
        <v>1.8842828641099096E-3</v>
      </c>
      <c r="V919" s="12">
        <f t="shared" si="161"/>
        <v>1.5345609821190376E-2</v>
      </c>
      <c r="W919" s="12">
        <f t="shared" si="162"/>
        <v>6.3180459186549243E-3</v>
      </c>
      <c r="X919" s="12">
        <f t="shared" si="163"/>
        <v>5.9683676514474815E-3</v>
      </c>
      <c r="Y919" s="12">
        <f t="shared" si="164"/>
        <v>2.8929604628735728E-3</v>
      </c>
    </row>
    <row r="920" spans="1:25" x14ac:dyDescent="0.35">
      <c r="A920" s="6">
        <v>45461</v>
      </c>
      <c r="B920" s="8">
        <v>5487.03</v>
      </c>
      <c r="C920" s="2">
        <v>214.29</v>
      </c>
      <c r="D920" s="2">
        <v>170.55</v>
      </c>
      <c r="E920" s="2">
        <v>446.34</v>
      </c>
      <c r="F920" s="2">
        <v>481.05</v>
      </c>
      <c r="G920" s="2">
        <v>145.65</v>
      </c>
      <c r="H920" s="2">
        <v>273.62</v>
      </c>
      <c r="I920" s="2">
        <v>229.31</v>
      </c>
      <c r="J920" s="2">
        <v>174.99</v>
      </c>
      <c r="K920" s="2">
        <v>67.599999999999994</v>
      </c>
      <c r="L920" s="2">
        <v>325.14</v>
      </c>
      <c r="M920" s="64">
        <v>11.05</v>
      </c>
      <c r="N920" s="1"/>
      <c r="O920" s="12">
        <f t="shared" si="154"/>
        <v>2.5213630708009749E-3</v>
      </c>
      <c r="P920" s="12">
        <f t="shared" si="155"/>
        <v>-1.0984446393132341E-2</v>
      </c>
      <c r="Q920" s="12">
        <f t="shared" si="156"/>
        <v>6.1946902654868019E-3</v>
      </c>
      <c r="R920" s="12">
        <f t="shared" si="157"/>
        <v>-4.5275107612017251E-3</v>
      </c>
      <c r="S920" s="12">
        <f t="shared" si="158"/>
        <v>-1.672015207571087E-2</v>
      </c>
      <c r="T920" s="12">
        <f t="shared" si="159"/>
        <v>-2.0554984583760483E-3</v>
      </c>
      <c r="U920" s="12">
        <f t="shared" si="160"/>
        <v>9.0349227421913092E-3</v>
      </c>
      <c r="V920" s="12">
        <f t="shared" si="161"/>
        <v>4.5560082358611087E-3</v>
      </c>
      <c r="W920" s="12">
        <f t="shared" si="162"/>
        <v>-1.9059364314143012E-2</v>
      </c>
      <c r="X920" s="12">
        <f t="shared" si="163"/>
        <v>2.6698309107089369E-3</v>
      </c>
      <c r="Y920" s="12">
        <f t="shared" si="164"/>
        <v>8.4987593052110455E-3</v>
      </c>
    </row>
    <row r="921" spans="1:25" x14ac:dyDescent="0.35">
      <c r="A921" s="6">
        <v>45463</v>
      </c>
      <c r="B921" s="8">
        <v>5473.17</v>
      </c>
      <c r="C921" s="2">
        <v>209.68</v>
      </c>
      <c r="D921" s="2">
        <v>173.92</v>
      </c>
      <c r="E921" s="2">
        <v>445.7</v>
      </c>
      <c r="F921" s="2">
        <v>484.52</v>
      </c>
      <c r="G921" s="2">
        <v>147.78</v>
      </c>
      <c r="H921" s="2">
        <v>276.82</v>
      </c>
      <c r="I921" s="2">
        <v>230.21</v>
      </c>
      <c r="J921" s="2">
        <v>176.3</v>
      </c>
      <c r="K921" s="2">
        <v>68.010000000000005</v>
      </c>
      <c r="L921" s="2">
        <v>329.13</v>
      </c>
      <c r="M921" s="64" t="s">
        <v>77</v>
      </c>
      <c r="N921" s="1"/>
      <c r="O921" s="12">
        <f t="shared" si="154"/>
        <v>-2.5259566650810417E-3</v>
      </c>
      <c r="P921" s="12">
        <f t="shared" si="155"/>
        <v>-2.1512903075271761E-2</v>
      </c>
      <c r="Q921" s="12">
        <f t="shared" si="156"/>
        <v>1.975960128994414E-2</v>
      </c>
      <c r="R921" s="12">
        <f t="shared" si="157"/>
        <v>-1.4338844826813357E-3</v>
      </c>
      <c r="S921" s="12">
        <f t="shared" si="158"/>
        <v>7.2133873817690208E-3</v>
      </c>
      <c r="T921" s="12">
        <f t="shared" si="159"/>
        <v>1.4624098867147328E-2</v>
      </c>
      <c r="U921" s="12">
        <f t="shared" si="160"/>
        <v>1.1695051531320777E-2</v>
      </c>
      <c r="V921" s="12">
        <f t="shared" si="161"/>
        <v>3.924817932057012E-3</v>
      </c>
      <c r="W921" s="12">
        <f t="shared" si="162"/>
        <v>7.4861420652609922E-3</v>
      </c>
      <c r="X921" s="12">
        <f t="shared" si="163"/>
        <v>6.0650887573965306E-3</v>
      </c>
      <c r="Y921" s="12">
        <f t="shared" si="164"/>
        <v>1.2271636833364186E-2</v>
      </c>
    </row>
    <row r="922" spans="1:25" x14ac:dyDescent="0.35">
      <c r="A922" s="6">
        <v>45464</v>
      </c>
      <c r="B922" s="8">
        <v>5464.62</v>
      </c>
      <c r="C922" s="2">
        <v>207.49</v>
      </c>
      <c r="D922" s="2">
        <v>172.46</v>
      </c>
      <c r="E922" s="2">
        <v>449.78</v>
      </c>
      <c r="F922" s="2">
        <v>482.59</v>
      </c>
      <c r="G922" s="2">
        <v>148.75</v>
      </c>
      <c r="H922" s="2">
        <v>275.22000000000003</v>
      </c>
      <c r="I922" s="2">
        <v>230.38</v>
      </c>
      <c r="J922" s="2">
        <v>176.56</v>
      </c>
      <c r="K922" s="2">
        <v>67.91</v>
      </c>
      <c r="L922" s="2">
        <v>327.84</v>
      </c>
      <c r="M922" s="64" t="s">
        <v>77</v>
      </c>
      <c r="N922" s="1"/>
      <c r="O922" s="12">
        <f t="shared" si="154"/>
        <v>-1.5621659842468549E-3</v>
      </c>
      <c r="P922" s="12">
        <f t="shared" si="155"/>
        <v>-1.0444486837085099E-2</v>
      </c>
      <c r="Q922" s="12">
        <f t="shared" si="156"/>
        <v>-8.3946642134313798E-3</v>
      </c>
      <c r="R922" s="12">
        <f t="shared" si="157"/>
        <v>9.1541395557550587E-3</v>
      </c>
      <c r="S922" s="12">
        <f t="shared" si="158"/>
        <v>-3.9833237018079837E-3</v>
      </c>
      <c r="T922" s="12">
        <f t="shared" si="159"/>
        <v>6.5638110705101838E-3</v>
      </c>
      <c r="U922" s="12">
        <f t="shared" si="160"/>
        <v>-5.7799291958672283E-3</v>
      </c>
      <c r="V922" s="12">
        <f t="shared" si="161"/>
        <v>7.3845619217238756E-4</v>
      </c>
      <c r="W922" s="12">
        <f t="shared" si="162"/>
        <v>1.4747589336356892E-3</v>
      </c>
      <c r="X922" s="12">
        <f t="shared" si="163"/>
        <v>-1.4703720041171486E-3</v>
      </c>
      <c r="Y922" s="12">
        <f t="shared" si="164"/>
        <v>-3.9194239358308902E-3</v>
      </c>
    </row>
    <row r="923" spans="1:25" x14ac:dyDescent="0.35">
      <c r="A923" s="6">
        <v>45467</v>
      </c>
      <c r="B923" s="8">
        <v>5447.87</v>
      </c>
      <c r="C923" s="2">
        <v>208.14</v>
      </c>
      <c r="D923" s="2">
        <v>175.01</v>
      </c>
      <c r="E923" s="2">
        <v>447.67</v>
      </c>
      <c r="F923" s="2">
        <v>489.98</v>
      </c>
      <c r="G923" s="2">
        <v>149.12</v>
      </c>
      <c r="H923" s="2">
        <v>276.3</v>
      </c>
      <c r="I923" s="2">
        <v>231.47</v>
      </c>
      <c r="J923" s="2">
        <v>179.1</v>
      </c>
      <c r="K923" s="2">
        <v>68.900000000000006</v>
      </c>
      <c r="L923" s="2">
        <v>330</v>
      </c>
      <c r="M923" s="64" t="s">
        <v>77</v>
      </c>
      <c r="N923" s="1"/>
      <c r="O923" s="12">
        <f t="shared" si="154"/>
        <v>-3.0651719607218686E-3</v>
      </c>
      <c r="P923" s="12">
        <f t="shared" si="155"/>
        <v>3.1326810930645266E-3</v>
      </c>
      <c r="Q923" s="12">
        <f t="shared" si="156"/>
        <v>1.4786037341992353E-2</v>
      </c>
      <c r="R923" s="12">
        <f t="shared" si="157"/>
        <v>-4.6911823558183352E-3</v>
      </c>
      <c r="S923" s="12">
        <f t="shared" si="158"/>
        <v>1.5313205826892551E-2</v>
      </c>
      <c r="T923" s="12">
        <f t="shared" si="159"/>
        <v>2.4873949579831134E-3</v>
      </c>
      <c r="U923" s="12">
        <f t="shared" si="160"/>
        <v>3.9241334205362133E-3</v>
      </c>
      <c r="V923" s="12">
        <f t="shared" si="161"/>
        <v>4.7313134820730074E-3</v>
      </c>
      <c r="W923" s="12">
        <f t="shared" si="162"/>
        <v>1.4386044404168574E-2</v>
      </c>
      <c r="X923" s="12">
        <f t="shared" si="163"/>
        <v>1.4578118097481996E-2</v>
      </c>
      <c r="Y923" s="12">
        <f t="shared" si="164"/>
        <v>6.5885797950220315E-3</v>
      </c>
    </row>
    <row r="924" spans="1:25" x14ac:dyDescent="0.35">
      <c r="A924" s="6">
        <v>45468</v>
      </c>
      <c r="B924" s="8">
        <v>5469.3</v>
      </c>
      <c r="C924" s="2">
        <v>209.07</v>
      </c>
      <c r="D924" s="2">
        <v>172.6</v>
      </c>
      <c r="E924" s="2">
        <v>450.95</v>
      </c>
      <c r="F924" s="2">
        <v>484.5</v>
      </c>
      <c r="G924" s="2">
        <v>147.19</v>
      </c>
      <c r="H924" s="2">
        <v>273.52999999999997</v>
      </c>
      <c r="I924" s="2">
        <v>230.59</v>
      </c>
      <c r="J924" s="2">
        <v>175.1</v>
      </c>
      <c r="K924" s="2">
        <v>67.42</v>
      </c>
      <c r="L924" s="2">
        <v>327.39999999999998</v>
      </c>
      <c r="M924" s="64" t="s">
        <v>77</v>
      </c>
      <c r="N924" s="1"/>
      <c r="O924" s="12">
        <f t="shared" si="154"/>
        <v>3.9336474622191364E-3</v>
      </c>
      <c r="P924" s="12">
        <f t="shared" si="155"/>
        <v>4.4681464398963477E-3</v>
      </c>
      <c r="Q924" s="12">
        <f t="shared" si="156"/>
        <v>-1.3770641677618434E-2</v>
      </c>
      <c r="R924" s="12">
        <f t="shared" si="157"/>
        <v>7.3268255634730828E-3</v>
      </c>
      <c r="S924" s="12">
        <f t="shared" si="158"/>
        <v>-1.1184129964488365E-2</v>
      </c>
      <c r="T924" s="12">
        <f t="shared" si="159"/>
        <v>-1.2942596566523634E-2</v>
      </c>
      <c r="U924" s="12">
        <f t="shared" si="160"/>
        <v>-1.0025334781035289E-2</v>
      </c>
      <c r="V924" s="12">
        <f t="shared" si="161"/>
        <v>-3.8017885687129382E-3</v>
      </c>
      <c r="W924" s="12">
        <f t="shared" si="162"/>
        <v>-2.2333891680625384E-2</v>
      </c>
      <c r="X924" s="12">
        <f t="shared" si="163"/>
        <v>-2.1480406386066853E-2</v>
      </c>
      <c r="Y924" s="12">
        <f t="shared" si="164"/>
        <v>-7.8787878787879295E-3</v>
      </c>
    </row>
    <row r="925" spans="1:25" x14ac:dyDescent="0.35">
      <c r="A925" s="6">
        <v>45469</v>
      </c>
      <c r="B925" s="8">
        <v>5477.9</v>
      </c>
      <c r="C925" s="2">
        <v>213.25</v>
      </c>
      <c r="D925" s="2">
        <v>171.87</v>
      </c>
      <c r="E925" s="2">
        <v>452.16</v>
      </c>
      <c r="F925" s="2">
        <v>484.04</v>
      </c>
      <c r="G925" s="2">
        <v>146.82</v>
      </c>
      <c r="H925" s="2">
        <v>273.60000000000002</v>
      </c>
      <c r="I925" s="2">
        <v>230.68</v>
      </c>
      <c r="J925" s="2">
        <v>178.5</v>
      </c>
      <c r="K925" s="2">
        <v>68.290000000000006</v>
      </c>
      <c r="L925" s="2">
        <v>326.73</v>
      </c>
      <c r="M925" s="64">
        <v>10.95</v>
      </c>
      <c r="N925" s="1"/>
      <c r="O925" s="12">
        <f t="shared" si="154"/>
        <v>1.5724132887204867E-3</v>
      </c>
      <c r="P925" s="12">
        <f t="shared" si="155"/>
        <v>1.9993303678193852E-2</v>
      </c>
      <c r="Q925" s="12">
        <f t="shared" si="156"/>
        <v>-4.2294322132097051E-3</v>
      </c>
      <c r="R925" s="12">
        <f t="shared" si="157"/>
        <v>2.683224304246723E-3</v>
      </c>
      <c r="S925" s="12">
        <f t="shared" si="158"/>
        <v>-9.4943240454070654E-4</v>
      </c>
      <c r="T925" s="12">
        <f t="shared" si="159"/>
        <v>-2.5137577281065804E-3</v>
      </c>
      <c r="U925" s="12">
        <f t="shared" si="160"/>
        <v>2.5591342814323959E-4</v>
      </c>
      <c r="V925" s="12">
        <f t="shared" si="161"/>
        <v>3.9030313543531037E-4</v>
      </c>
      <c r="W925" s="12">
        <f t="shared" si="162"/>
        <v>1.9417475728155331E-2</v>
      </c>
      <c r="X925" s="12">
        <f t="shared" si="163"/>
        <v>1.2904182735093528E-2</v>
      </c>
      <c r="Y925" s="12">
        <f t="shared" si="164"/>
        <v>-2.0464263897371771E-3</v>
      </c>
    </row>
    <row r="926" spans="1:25" x14ac:dyDescent="0.35">
      <c r="A926" s="6">
        <v>45470</v>
      </c>
      <c r="B926" s="8">
        <v>5482.87</v>
      </c>
      <c r="C926" s="2">
        <v>214.1</v>
      </c>
      <c r="D926" s="2">
        <v>170.85</v>
      </c>
      <c r="E926" s="2">
        <v>452.85</v>
      </c>
      <c r="F926" s="2">
        <v>486.44</v>
      </c>
      <c r="G926" s="2">
        <v>145.80000000000001</v>
      </c>
      <c r="H926" s="2">
        <v>266.58999999999997</v>
      </c>
      <c r="I926" s="2">
        <v>228.4</v>
      </c>
      <c r="J926" s="2">
        <v>182.51</v>
      </c>
      <c r="K926" s="2">
        <v>67.88</v>
      </c>
      <c r="L926" s="2">
        <v>327.45999999999998</v>
      </c>
      <c r="M926" s="64" t="s">
        <v>77</v>
      </c>
      <c r="N926" s="1"/>
      <c r="O926" s="12">
        <f t="shared" si="154"/>
        <v>9.0728198762302092E-4</v>
      </c>
      <c r="P926" s="12">
        <f t="shared" si="155"/>
        <v>3.9859320046893298E-3</v>
      </c>
      <c r="Q926" s="12">
        <f t="shared" si="156"/>
        <v>-5.9347181008903016E-3</v>
      </c>
      <c r="R926" s="12">
        <f t="shared" si="157"/>
        <v>1.5260084925690087E-3</v>
      </c>
      <c r="S926" s="12">
        <f t="shared" si="158"/>
        <v>4.9582679117428086E-3</v>
      </c>
      <c r="T926" s="12">
        <f t="shared" si="159"/>
        <v>-6.947282386595699E-3</v>
      </c>
      <c r="U926" s="12">
        <f t="shared" si="160"/>
        <v>-2.5621345029239961E-2</v>
      </c>
      <c r="V926" s="12">
        <f t="shared" si="161"/>
        <v>-9.883821744407828E-3</v>
      </c>
      <c r="W926" s="12">
        <f t="shared" si="162"/>
        <v>2.2464985994397724E-2</v>
      </c>
      <c r="X926" s="12">
        <f t="shared" si="163"/>
        <v>-6.0038072924295527E-3</v>
      </c>
      <c r="Y926" s="12">
        <f t="shared" si="164"/>
        <v>2.2342607045571228E-3</v>
      </c>
    </row>
    <row r="927" spans="1:25" x14ac:dyDescent="0.35">
      <c r="A927" s="6">
        <v>45471</v>
      </c>
      <c r="B927" s="8">
        <v>5460.48</v>
      </c>
      <c r="C927" s="2">
        <v>210.62</v>
      </c>
      <c r="D927" s="2">
        <v>172.95</v>
      </c>
      <c r="E927" s="2">
        <v>446.95</v>
      </c>
      <c r="F927" s="2">
        <v>509.26</v>
      </c>
      <c r="G927" s="2">
        <v>146.16</v>
      </c>
      <c r="H927" s="2">
        <v>262.47000000000003</v>
      </c>
      <c r="I927" s="2">
        <v>231.55</v>
      </c>
      <c r="J927" s="2">
        <v>182.01</v>
      </c>
      <c r="K927" s="2">
        <v>67.709999999999994</v>
      </c>
      <c r="L927" s="2">
        <v>333.1</v>
      </c>
      <c r="M927" s="64" t="s">
        <v>77</v>
      </c>
      <c r="N927" s="1"/>
      <c r="O927" s="12">
        <f t="shared" si="154"/>
        <v>-4.0836277351096184E-3</v>
      </c>
      <c r="P927" s="12">
        <f t="shared" si="155"/>
        <v>-1.625408687529184E-2</v>
      </c>
      <c r="Q927" s="12">
        <f t="shared" si="156"/>
        <v>1.2291483757682187E-2</v>
      </c>
      <c r="R927" s="12">
        <f t="shared" si="157"/>
        <v>-1.3028596665562664E-2</v>
      </c>
      <c r="S927" s="12">
        <f t="shared" si="158"/>
        <v>4.6912260504892611E-2</v>
      </c>
      <c r="T927" s="12">
        <f t="shared" si="159"/>
        <v>2.4691358024691024E-3</v>
      </c>
      <c r="U927" s="12">
        <f t="shared" si="160"/>
        <v>-1.5454443152406072E-2</v>
      </c>
      <c r="V927" s="12">
        <f t="shared" si="161"/>
        <v>1.3791593695271498E-2</v>
      </c>
      <c r="W927" s="12">
        <f t="shared" si="162"/>
        <v>-2.7395759136485953E-3</v>
      </c>
      <c r="X927" s="12">
        <f t="shared" si="163"/>
        <v>-2.5044195639364331E-3</v>
      </c>
      <c r="Y927" s="12">
        <f t="shared" si="164"/>
        <v>1.7223477676662879E-2</v>
      </c>
    </row>
    <row r="928" spans="1:25" x14ac:dyDescent="0.35">
      <c r="A928" s="6">
        <v>45474</v>
      </c>
      <c r="B928" s="8">
        <v>5475.09</v>
      </c>
      <c r="C928" s="2">
        <v>216.75</v>
      </c>
      <c r="D928" s="2">
        <v>175.1</v>
      </c>
      <c r="E928" s="2">
        <v>456.73</v>
      </c>
      <c r="F928" s="2">
        <v>494.65</v>
      </c>
      <c r="G928" s="2">
        <v>146.44</v>
      </c>
      <c r="H928" s="2">
        <v>263.24</v>
      </c>
      <c r="I928" s="2">
        <v>233.81</v>
      </c>
      <c r="J928" s="2">
        <v>186.7</v>
      </c>
      <c r="K928" s="2">
        <v>67.48</v>
      </c>
      <c r="L928" s="2">
        <v>329.08</v>
      </c>
      <c r="M928" s="64" t="s">
        <v>77</v>
      </c>
      <c r="N928" s="1"/>
      <c r="O928" s="12">
        <f t="shared" si="154"/>
        <v>2.6755889592124937E-3</v>
      </c>
      <c r="P928" s="12">
        <f t="shared" si="155"/>
        <v>2.9104548475928249E-2</v>
      </c>
      <c r="Q928" s="12">
        <f t="shared" si="156"/>
        <v>1.2431338537149506E-2</v>
      </c>
      <c r="R928" s="12">
        <f t="shared" si="157"/>
        <v>2.188164224186151E-2</v>
      </c>
      <c r="S928" s="12">
        <f t="shared" si="158"/>
        <v>-2.8688685543730164E-2</v>
      </c>
      <c r="T928" s="12">
        <f t="shared" si="159"/>
        <v>1.9157088122605526E-3</v>
      </c>
      <c r="U928" s="12">
        <f t="shared" si="160"/>
        <v>2.9336686097458653E-3</v>
      </c>
      <c r="V928" s="12">
        <f t="shared" si="161"/>
        <v>9.7603109479593719E-3</v>
      </c>
      <c r="W928" s="12">
        <f t="shared" si="162"/>
        <v>2.576781495522229E-2</v>
      </c>
      <c r="X928" s="12">
        <f t="shared" si="163"/>
        <v>-3.3968394624130926E-3</v>
      </c>
      <c r="Y928" s="12">
        <f t="shared" si="164"/>
        <v>-1.2068447913539559E-2</v>
      </c>
    </row>
    <row r="929" spans="1:25" x14ac:dyDescent="0.35">
      <c r="A929" s="6">
        <v>45475</v>
      </c>
      <c r="B929" s="8">
        <v>5509.01</v>
      </c>
      <c r="C929" s="2">
        <v>220.27</v>
      </c>
      <c r="D929" s="2">
        <v>177.3</v>
      </c>
      <c r="E929" s="2">
        <v>459.28</v>
      </c>
      <c r="F929" s="2">
        <v>498.24</v>
      </c>
      <c r="G929" s="2">
        <v>146.03</v>
      </c>
      <c r="H929" s="2">
        <v>268.23</v>
      </c>
      <c r="I929" s="2">
        <v>235.97</v>
      </c>
      <c r="J929" s="2">
        <v>185.42</v>
      </c>
      <c r="K929" s="2">
        <v>68.069999999999993</v>
      </c>
      <c r="L929" s="2">
        <v>327.76</v>
      </c>
      <c r="M929" s="64" t="s">
        <v>77</v>
      </c>
      <c r="N929" s="1"/>
      <c r="O929" s="12">
        <f t="shared" si="154"/>
        <v>6.195331948881222E-3</v>
      </c>
      <c r="P929" s="12">
        <f t="shared" si="155"/>
        <v>1.6239907727797043E-2</v>
      </c>
      <c r="Q929" s="12">
        <f t="shared" si="156"/>
        <v>1.2564249000571293E-2</v>
      </c>
      <c r="R929" s="12">
        <f t="shared" si="157"/>
        <v>5.5831672979658187E-3</v>
      </c>
      <c r="S929" s="12">
        <f t="shared" si="158"/>
        <v>7.2576569291418203E-3</v>
      </c>
      <c r="T929" s="12">
        <f t="shared" si="159"/>
        <v>-2.7997814804697763E-3</v>
      </c>
      <c r="U929" s="12">
        <f t="shared" si="160"/>
        <v>1.8956085701261172E-2</v>
      </c>
      <c r="V929" s="12">
        <f t="shared" si="161"/>
        <v>9.2382703904880792E-3</v>
      </c>
      <c r="W929" s="12">
        <f t="shared" si="162"/>
        <v>-6.8559185859667915E-3</v>
      </c>
      <c r="X929" s="12">
        <f t="shared" si="163"/>
        <v>8.7433313574389881E-3</v>
      </c>
      <c r="Y929" s="12">
        <f t="shared" si="164"/>
        <v>-4.0111826911388704E-3</v>
      </c>
    </row>
    <row r="930" spans="1:25" x14ac:dyDescent="0.35">
      <c r="A930" s="6">
        <v>45476</v>
      </c>
      <c r="B930" s="8">
        <v>5537.02</v>
      </c>
      <c r="C930" s="2">
        <v>221.55</v>
      </c>
      <c r="D930" s="2">
        <v>175.73</v>
      </c>
      <c r="E930" s="2">
        <v>460.77</v>
      </c>
      <c r="F930" s="2">
        <v>489.89</v>
      </c>
      <c r="G930" s="2">
        <v>145.69</v>
      </c>
      <c r="H930" s="2">
        <v>268.99</v>
      </c>
      <c r="I930" s="2">
        <v>235.71</v>
      </c>
      <c r="J930" s="2">
        <v>184.31</v>
      </c>
      <c r="K930" s="2">
        <v>68.239999999999995</v>
      </c>
      <c r="L930" s="2">
        <v>330.61</v>
      </c>
      <c r="M930" s="64">
        <v>11.26</v>
      </c>
      <c r="N930" s="1"/>
      <c r="O930" s="12">
        <f t="shared" si="154"/>
        <v>5.0843981041965858E-3</v>
      </c>
      <c r="P930" s="12">
        <f t="shared" si="155"/>
        <v>5.8110500749080085E-3</v>
      </c>
      <c r="Q930" s="12">
        <f t="shared" si="156"/>
        <v>-8.8550479413425087E-3</v>
      </c>
      <c r="R930" s="12">
        <f t="shared" si="157"/>
        <v>3.2442083260755261E-3</v>
      </c>
      <c r="S930" s="12">
        <f t="shared" si="158"/>
        <v>-1.6758991650610233E-2</v>
      </c>
      <c r="T930" s="12">
        <f t="shared" si="159"/>
        <v>-2.3282887077997749E-3</v>
      </c>
      <c r="U930" s="12">
        <f t="shared" si="160"/>
        <v>2.8333892554897044E-3</v>
      </c>
      <c r="V930" s="12">
        <f t="shared" si="161"/>
        <v>-1.10183497902272E-3</v>
      </c>
      <c r="W930" s="12">
        <f t="shared" si="162"/>
        <v>-5.9864092330923491E-3</v>
      </c>
      <c r="X930" s="12">
        <f t="shared" si="163"/>
        <v>2.4974291170853924E-3</v>
      </c>
      <c r="Y930" s="12">
        <f t="shared" si="164"/>
        <v>8.6953868684402913E-3</v>
      </c>
    </row>
    <row r="931" spans="1:25" x14ac:dyDescent="0.35">
      <c r="A931" s="6">
        <v>45478</v>
      </c>
      <c r="B931" s="8">
        <v>5567.19</v>
      </c>
      <c r="C931" s="2">
        <v>226.34</v>
      </c>
      <c r="D931" s="2">
        <v>176.02</v>
      </c>
      <c r="E931" s="2">
        <v>467.56</v>
      </c>
      <c r="F931" s="2">
        <v>488.01</v>
      </c>
      <c r="G931" s="2">
        <v>146.47999999999999</v>
      </c>
      <c r="H931" s="2">
        <v>270.36</v>
      </c>
      <c r="I931" s="2">
        <v>235.63</v>
      </c>
      <c r="J931" s="2">
        <v>184.83</v>
      </c>
      <c r="K931" s="2">
        <v>70.040000000000006</v>
      </c>
      <c r="L931" s="2">
        <v>328.35</v>
      </c>
      <c r="M931" s="64" t="s">
        <v>77</v>
      </c>
      <c r="N931" s="1"/>
      <c r="O931" s="12">
        <f t="shared" si="154"/>
        <v>5.4487793072806046E-3</v>
      </c>
      <c r="P931" s="12">
        <f t="shared" si="155"/>
        <v>2.162040171518842E-2</v>
      </c>
      <c r="Q931" s="12">
        <f t="shared" si="156"/>
        <v>1.6502589199340889E-3</v>
      </c>
      <c r="R931" s="12">
        <f t="shared" si="157"/>
        <v>1.4736202443735635E-2</v>
      </c>
      <c r="S931" s="12">
        <f t="shared" si="158"/>
        <v>-3.8375961950641857E-3</v>
      </c>
      <c r="T931" s="12">
        <f t="shared" si="159"/>
        <v>5.4224723728464319E-3</v>
      </c>
      <c r="U931" s="12">
        <f t="shared" si="160"/>
        <v>5.0931261385180893E-3</v>
      </c>
      <c r="V931" s="12">
        <f t="shared" si="161"/>
        <v>-3.394001103050881E-4</v>
      </c>
      <c r="W931" s="12">
        <f t="shared" si="162"/>
        <v>2.8213336227009833E-3</v>
      </c>
      <c r="X931" s="12">
        <f t="shared" si="163"/>
        <v>2.637749120750299E-2</v>
      </c>
      <c r="Y931" s="12">
        <f t="shared" si="164"/>
        <v>-6.8358488853936805E-3</v>
      </c>
    </row>
    <row r="932" spans="1:25" x14ac:dyDescent="0.35">
      <c r="A932" s="6">
        <v>45481</v>
      </c>
      <c r="B932" s="8">
        <v>5572.85</v>
      </c>
      <c r="C932" s="2">
        <v>227.82</v>
      </c>
      <c r="D932" s="2">
        <v>177.64</v>
      </c>
      <c r="E932" s="2">
        <v>466.24</v>
      </c>
      <c r="F932" s="2">
        <v>489.34</v>
      </c>
      <c r="G932" s="2">
        <v>145.47999999999999</v>
      </c>
      <c r="H932" s="2">
        <v>266.39999999999998</v>
      </c>
      <c r="I932" s="2">
        <v>234.51</v>
      </c>
      <c r="J932" s="2">
        <v>185.84</v>
      </c>
      <c r="K932" s="2">
        <v>69.680000000000007</v>
      </c>
      <c r="L932" s="2">
        <v>329.06</v>
      </c>
      <c r="M932" s="64" t="s">
        <v>77</v>
      </c>
      <c r="N932" s="1"/>
      <c r="O932" s="12">
        <f t="shared" si="154"/>
        <v>1.0166708878267539E-3</v>
      </c>
      <c r="P932" s="12">
        <f t="shared" si="155"/>
        <v>6.5388353804012311E-3</v>
      </c>
      <c r="Q932" s="12">
        <f t="shared" si="156"/>
        <v>9.2034996023178106E-3</v>
      </c>
      <c r="R932" s="12">
        <f t="shared" si="157"/>
        <v>-2.8231670801608377E-3</v>
      </c>
      <c r="S932" s="12">
        <f t="shared" si="158"/>
        <v>2.7253539886478162E-3</v>
      </c>
      <c r="T932" s="12">
        <f t="shared" si="159"/>
        <v>-6.8268705625341708E-3</v>
      </c>
      <c r="U932" s="12">
        <f t="shared" si="160"/>
        <v>-1.4647137150466172E-2</v>
      </c>
      <c r="V932" s="12">
        <f t="shared" si="161"/>
        <v>-4.7532147858931895E-3</v>
      </c>
      <c r="W932" s="12">
        <f t="shared" si="162"/>
        <v>5.464480874316946E-3</v>
      </c>
      <c r="X932" s="12">
        <f t="shared" si="163"/>
        <v>-5.1399200456881955E-3</v>
      </c>
      <c r="Y932" s="12">
        <f t="shared" si="164"/>
        <v>2.162326785442259E-3</v>
      </c>
    </row>
    <row r="933" spans="1:25" x14ac:dyDescent="0.35">
      <c r="A933" s="6">
        <v>45482</v>
      </c>
      <c r="B933" s="8">
        <v>5576.98</v>
      </c>
      <c r="C933" s="2">
        <v>228.68</v>
      </c>
      <c r="D933" s="2">
        <v>176.48</v>
      </c>
      <c r="E933" s="2">
        <v>459.54</v>
      </c>
      <c r="F933" s="2">
        <v>492.11</v>
      </c>
      <c r="G933" s="2">
        <v>147.05000000000001</v>
      </c>
      <c r="H933" s="2">
        <v>265.44</v>
      </c>
      <c r="I933" s="2">
        <v>237.75</v>
      </c>
      <c r="J933" s="2">
        <v>183.24</v>
      </c>
      <c r="K933" s="2">
        <v>69.900000000000006</v>
      </c>
      <c r="L933" s="2">
        <v>326.06</v>
      </c>
      <c r="M933" s="64" t="s">
        <v>77</v>
      </c>
      <c r="N933" s="1"/>
      <c r="O933" s="12">
        <f t="shared" si="154"/>
        <v>7.410929775606423E-4</v>
      </c>
      <c r="P933" s="12">
        <f t="shared" si="155"/>
        <v>3.7749100166799554E-3</v>
      </c>
      <c r="Q933" s="12">
        <f t="shared" si="156"/>
        <v>-6.5300607971177094E-3</v>
      </c>
      <c r="R933" s="12">
        <f t="shared" si="157"/>
        <v>-1.4370281400137297E-2</v>
      </c>
      <c r="S933" s="12">
        <f t="shared" si="158"/>
        <v>5.6606858217191913E-3</v>
      </c>
      <c r="T933" s="12">
        <f t="shared" si="159"/>
        <v>1.0791861424250815E-2</v>
      </c>
      <c r="U933" s="12">
        <f t="shared" si="160"/>
        <v>-3.6036036036035668E-3</v>
      </c>
      <c r="V933" s="12">
        <f t="shared" si="161"/>
        <v>1.3816041959831216E-2</v>
      </c>
      <c r="W933" s="12">
        <f t="shared" si="162"/>
        <v>-1.3990529487731385E-2</v>
      </c>
      <c r="X933" s="12">
        <f t="shared" si="163"/>
        <v>3.1572904707233285E-3</v>
      </c>
      <c r="Y933" s="12">
        <f t="shared" si="164"/>
        <v>-9.1168783808424081E-3</v>
      </c>
    </row>
    <row r="934" spans="1:25" x14ac:dyDescent="0.35">
      <c r="A934" s="6">
        <v>45483</v>
      </c>
      <c r="B934" s="8">
        <v>5633.91</v>
      </c>
      <c r="C934" s="2">
        <v>232.98</v>
      </c>
      <c r="D934" s="2">
        <v>177.84</v>
      </c>
      <c r="E934" s="2">
        <v>466.25</v>
      </c>
      <c r="F934" s="2">
        <v>500.93</v>
      </c>
      <c r="G934" s="2">
        <v>149.43</v>
      </c>
      <c r="H934" s="2">
        <v>263</v>
      </c>
      <c r="I934" s="2">
        <v>238.93</v>
      </c>
      <c r="J934" s="2">
        <v>183.73</v>
      </c>
      <c r="K934" s="2">
        <v>70.41</v>
      </c>
      <c r="L934" s="2">
        <v>328.48</v>
      </c>
      <c r="M934" s="64">
        <v>11.09</v>
      </c>
      <c r="N934" s="1"/>
      <c r="O934" s="12">
        <f t="shared" si="154"/>
        <v>1.0208033738690059E-2</v>
      </c>
      <c r="P934" s="12">
        <f t="shared" si="155"/>
        <v>1.8803568305054918E-2</v>
      </c>
      <c r="Q934" s="12">
        <f t="shared" si="156"/>
        <v>7.7062556663645143E-3</v>
      </c>
      <c r="R934" s="12">
        <f t="shared" si="157"/>
        <v>1.4601558079818888E-2</v>
      </c>
      <c r="S934" s="12">
        <f t="shared" si="158"/>
        <v>1.7922822133262795E-2</v>
      </c>
      <c r="T934" s="12">
        <f t="shared" si="159"/>
        <v>1.6184971098265777E-2</v>
      </c>
      <c r="U934" s="12">
        <f t="shared" si="160"/>
        <v>-9.1922845087402116E-3</v>
      </c>
      <c r="V934" s="12">
        <f t="shared" si="161"/>
        <v>4.9631966351209034E-3</v>
      </c>
      <c r="W934" s="12">
        <f t="shared" si="162"/>
        <v>2.6740886269371877E-3</v>
      </c>
      <c r="X934" s="12">
        <f t="shared" si="163"/>
        <v>7.2961373390556528E-3</v>
      </c>
      <c r="Y934" s="12">
        <f t="shared" si="164"/>
        <v>7.4219468809422207E-3</v>
      </c>
    </row>
    <row r="935" spans="1:25" x14ac:dyDescent="0.35">
      <c r="A935" s="6">
        <v>45484</v>
      </c>
      <c r="B935" s="8">
        <v>5584.54</v>
      </c>
      <c r="C935" s="2">
        <v>227.57</v>
      </c>
      <c r="D935" s="2">
        <v>178.31</v>
      </c>
      <c r="E935" s="2">
        <v>454.7</v>
      </c>
      <c r="F935" s="2">
        <v>504.36</v>
      </c>
      <c r="G935" s="2">
        <v>149.69999999999999</v>
      </c>
      <c r="H935" s="2">
        <v>262.55</v>
      </c>
      <c r="I935" s="2">
        <v>238.75</v>
      </c>
      <c r="J935" s="2">
        <v>183.91</v>
      </c>
      <c r="K935" s="2">
        <v>69.8</v>
      </c>
      <c r="L935" s="2">
        <v>331.13</v>
      </c>
      <c r="M935" s="64" t="s">
        <v>77</v>
      </c>
      <c r="N935" s="1"/>
      <c r="O935" s="12">
        <f t="shared" si="154"/>
        <v>-8.763008283767415E-3</v>
      </c>
      <c r="P935" s="12">
        <f t="shared" si="155"/>
        <v>-2.3220877328526068E-2</v>
      </c>
      <c r="Q935" s="12">
        <f t="shared" si="156"/>
        <v>2.6428250112460194E-3</v>
      </c>
      <c r="R935" s="12">
        <f t="shared" si="157"/>
        <v>-2.4772117962466478E-2</v>
      </c>
      <c r="S935" s="12">
        <f t="shared" si="158"/>
        <v>6.8472640887948799E-3</v>
      </c>
      <c r="T935" s="12">
        <f t="shared" si="159"/>
        <v>1.8068660911463308E-3</v>
      </c>
      <c r="U935" s="12">
        <f t="shared" si="160"/>
        <v>-1.7110266159695575E-3</v>
      </c>
      <c r="V935" s="12">
        <f t="shared" si="161"/>
        <v>-7.5335872431259165E-4</v>
      </c>
      <c r="W935" s="12">
        <f t="shared" si="162"/>
        <v>9.7969847058188009E-4</v>
      </c>
      <c r="X935" s="12">
        <f t="shared" si="163"/>
        <v>-8.6635421104956922E-3</v>
      </c>
      <c r="Y935" s="12">
        <f t="shared" si="164"/>
        <v>8.0674622503651428E-3</v>
      </c>
    </row>
    <row r="936" spans="1:25" x14ac:dyDescent="0.35">
      <c r="A936" s="6">
        <v>45485</v>
      </c>
      <c r="B936" s="8">
        <v>5615.35</v>
      </c>
      <c r="C936" s="2">
        <v>230.54</v>
      </c>
      <c r="D936" s="2">
        <v>182.83</v>
      </c>
      <c r="E936" s="2">
        <v>453.55</v>
      </c>
      <c r="F936" s="2">
        <v>511.53</v>
      </c>
      <c r="G936" s="2">
        <v>149.88</v>
      </c>
      <c r="H936" s="2">
        <v>265.74</v>
      </c>
      <c r="I936" s="2">
        <v>238.63</v>
      </c>
      <c r="J936" s="2">
        <v>182.31</v>
      </c>
      <c r="K936" s="2">
        <v>69.239999999999995</v>
      </c>
      <c r="L936" s="2">
        <v>335.59</v>
      </c>
      <c r="M936" s="64" t="s">
        <v>77</v>
      </c>
      <c r="N936" s="1"/>
      <c r="O936" s="12">
        <f t="shared" si="154"/>
        <v>5.5170166208855509E-3</v>
      </c>
      <c r="P936" s="12">
        <f t="shared" si="155"/>
        <v>1.3050929384365251E-2</v>
      </c>
      <c r="Q936" s="12">
        <f t="shared" si="156"/>
        <v>2.5349111098648569E-2</v>
      </c>
      <c r="R936" s="12">
        <f t="shared" si="157"/>
        <v>-2.529140092368598E-3</v>
      </c>
      <c r="S936" s="12">
        <f t="shared" si="158"/>
        <v>1.4216036164644175E-2</v>
      </c>
      <c r="T936" s="12">
        <f t="shared" si="159"/>
        <v>1.2024048096193063E-3</v>
      </c>
      <c r="U936" s="12">
        <f t="shared" si="160"/>
        <v>1.215006665397067E-2</v>
      </c>
      <c r="V936" s="12">
        <f t="shared" si="161"/>
        <v>-5.0261780104710052E-4</v>
      </c>
      <c r="W936" s="12">
        <f t="shared" si="162"/>
        <v>-8.6999075634821565E-3</v>
      </c>
      <c r="X936" s="12">
        <f t="shared" si="163"/>
        <v>-8.022922636103158E-3</v>
      </c>
      <c r="Y936" s="12">
        <f t="shared" si="164"/>
        <v>1.3469030290218287E-2</v>
      </c>
    </row>
    <row r="937" spans="1:25" x14ac:dyDescent="0.35">
      <c r="A937" s="6">
        <v>45488</v>
      </c>
      <c r="B937" s="8">
        <v>5631.22</v>
      </c>
      <c r="C937" s="2">
        <v>234.4</v>
      </c>
      <c r="D937" s="2">
        <v>182.88</v>
      </c>
      <c r="E937" s="2">
        <v>453.96</v>
      </c>
      <c r="F937" s="2">
        <v>515.37</v>
      </c>
      <c r="G937" s="2">
        <v>149.24</v>
      </c>
      <c r="H937" s="2">
        <v>268.45</v>
      </c>
      <c r="I937" s="2">
        <v>244</v>
      </c>
      <c r="J937" s="2">
        <v>179.11</v>
      </c>
      <c r="K937" s="2">
        <v>69.61</v>
      </c>
      <c r="L937" s="2">
        <v>345.77</v>
      </c>
      <c r="M937" s="64" t="s">
        <v>77</v>
      </c>
      <c r="N937" s="1"/>
      <c r="O937" s="12">
        <f t="shared" si="154"/>
        <v>2.826181805230199E-3</v>
      </c>
      <c r="P937" s="12">
        <f t="shared" si="155"/>
        <v>1.6743298343020685E-2</v>
      </c>
      <c r="Q937" s="12">
        <f t="shared" si="156"/>
        <v>2.734780944044779E-4</v>
      </c>
      <c r="R937" s="12">
        <f t="shared" si="157"/>
        <v>9.0397971557698575E-4</v>
      </c>
      <c r="S937" s="12">
        <f t="shared" si="158"/>
        <v>7.5068910914315445E-3</v>
      </c>
      <c r="T937" s="12">
        <f t="shared" si="159"/>
        <v>-4.2700827328528979E-3</v>
      </c>
      <c r="U937" s="12">
        <f t="shared" si="160"/>
        <v>1.0197937833972937E-2</v>
      </c>
      <c r="V937" s="12">
        <f t="shared" si="161"/>
        <v>2.2503457235050206E-2</v>
      </c>
      <c r="W937" s="12">
        <f t="shared" si="162"/>
        <v>-1.7552520432230767E-2</v>
      </c>
      <c r="X937" s="12">
        <f t="shared" si="163"/>
        <v>5.3437319468516709E-3</v>
      </c>
      <c r="Y937" s="12">
        <f t="shared" si="164"/>
        <v>3.0334634524270765E-2</v>
      </c>
    </row>
    <row r="938" spans="1:25" x14ac:dyDescent="0.35">
      <c r="A938" s="6">
        <v>45489</v>
      </c>
      <c r="B938" s="8">
        <v>5667.2</v>
      </c>
      <c r="C938" s="2">
        <v>234.82</v>
      </c>
      <c r="D938" s="2">
        <v>185.81</v>
      </c>
      <c r="E938" s="2">
        <v>449.52</v>
      </c>
      <c r="F938" s="2">
        <v>548.87</v>
      </c>
      <c r="G938" s="2">
        <v>151.01</v>
      </c>
      <c r="H938" s="2">
        <v>269.25</v>
      </c>
      <c r="I938" s="2">
        <v>249.63</v>
      </c>
      <c r="J938" s="2">
        <v>186.05</v>
      </c>
      <c r="K938" s="2">
        <v>69.989999999999995</v>
      </c>
      <c r="L938" s="2">
        <v>360.58</v>
      </c>
      <c r="M938" s="64" t="s">
        <v>77</v>
      </c>
      <c r="N938" s="1"/>
      <c r="O938" s="12">
        <f t="shared" si="154"/>
        <v>6.3893792108991043E-3</v>
      </c>
      <c r="P938" s="12">
        <f t="shared" si="155"/>
        <v>1.7918088737201021E-3</v>
      </c>
      <c r="Q938" s="12">
        <f t="shared" si="156"/>
        <v>1.6021434820647551E-2</v>
      </c>
      <c r="R938" s="12">
        <f t="shared" si="157"/>
        <v>-9.7805974094633541E-3</v>
      </c>
      <c r="S938" s="12">
        <f t="shared" si="158"/>
        <v>6.5001843335855902E-2</v>
      </c>
      <c r="T938" s="12">
        <f t="shared" si="159"/>
        <v>1.186009112838371E-2</v>
      </c>
      <c r="U938" s="12">
        <f t="shared" si="160"/>
        <v>2.9800707766809431E-3</v>
      </c>
      <c r="V938" s="12">
        <f t="shared" si="161"/>
        <v>2.3073770491803369E-2</v>
      </c>
      <c r="W938" s="12">
        <f t="shared" si="162"/>
        <v>3.8747138629892319E-2</v>
      </c>
      <c r="X938" s="12">
        <f t="shared" si="163"/>
        <v>5.4589857779054896E-3</v>
      </c>
      <c r="Y938" s="12">
        <f t="shared" si="164"/>
        <v>4.2831940307140659E-2</v>
      </c>
    </row>
    <row r="939" spans="1:25" x14ac:dyDescent="0.35">
      <c r="A939" s="6">
        <v>45490</v>
      </c>
      <c r="B939" s="8">
        <v>5588.27</v>
      </c>
      <c r="C939" s="2">
        <v>228.88</v>
      </c>
      <c r="D939" s="2">
        <v>187.45</v>
      </c>
      <c r="E939" s="2">
        <v>443.52</v>
      </c>
      <c r="F939" s="2">
        <v>573.28</v>
      </c>
      <c r="G939" s="2">
        <v>156.58000000000001</v>
      </c>
      <c r="H939" s="2">
        <v>272.7</v>
      </c>
      <c r="I939" s="2">
        <v>249.96</v>
      </c>
      <c r="J939" s="2">
        <v>184.84</v>
      </c>
      <c r="K939" s="2">
        <v>71.03</v>
      </c>
      <c r="L939" s="2">
        <v>357.8</v>
      </c>
      <c r="M939" s="64">
        <v>10.95</v>
      </c>
      <c r="N939" s="1"/>
      <c r="O939" s="12">
        <f t="shared" si="154"/>
        <v>-1.3927512704686507E-2</v>
      </c>
      <c r="P939" s="12">
        <f t="shared" si="155"/>
        <v>-2.5295971382335414E-2</v>
      </c>
      <c r="Q939" s="12">
        <f t="shared" si="156"/>
        <v>8.8262203325977229E-3</v>
      </c>
      <c r="R939" s="12">
        <f t="shared" si="157"/>
        <v>-1.3347570742124892E-2</v>
      </c>
      <c r="S939" s="12">
        <f t="shared" si="158"/>
        <v>4.4473190372948057E-2</v>
      </c>
      <c r="T939" s="12">
        <f t="shared" si="159"/>
        <v>3.6884974504999724E-2</v>
      </c>
      <c r="U939" s="12">
        <f t="shared" si="160"/>
        <v>1.2813370473537589E-2</v>
      </c>
      <c r="V939" s="12">
        <f t="shared" si="161"/>
        <v>1.3219564956135077E-3</v>
      </c>
      <c r="W939" s="12">
        <f t="shared" si="162"/>
        <v>-6.5036280569740201E-3</v>
      </c>
      <c r="X939" s="12">
        <f t="shared" si="163"/>
        <v>1.4859265609372896E-2</v>
      </c>
      <c r="Y939" s="12">
        <f t="shared" si="164"/>
        <v>-7.7098008763657466E-3</v>
      </c>
    </row>
    <row r="940" spans="1:25" x14ac:dyDescent="0.35">
      <c r="A940" s="6">
        <v>45491</v>
      </c>
      <c r="B940" s="8">
        <v>5544.59</v>
      </c>
      <c r="C940" s="2">
        <v>224.18</v>
      </c>
      <c r="D940" s="2">
        <v>185.22</v>
      </c>
      <c r="E940" s="2">
        <v>440.37</v>
      </c>
      <c r="F940" s="2">
        <v>564.34</v>
      </c>
      <c r="G940" s="2">
        <v>155.41999999999999</v>
      </c>
      <c r="H940" s="2">
        <v>269.14999999999998</v>
      </c>
      <c r="I940" s="2">
        <v>249.2</v>
      </c>
      <c r="J940" s="2">
        <v>180.23</v>
      </c>
      <c r="K940" s="2">
        <v>70.819999999999993</v>
      </c>
      <c r="L940" s="2">
        <v>356.03</v>
      </c>
      <c r="M940" s="64" t="s">
        <v>77</v>
      </c>
      <c r="N940" s="1"/>
      <c r="O940" s="12">
        <f t="shared" si="154"/>
        <v>-7.8163725088444824E-3</v>
      </c>
      <c r="P940" s="12">
        <f t="shared" si="155"/>
        <v>-2.0534778049632996E-2</v>
      </c>
      <c r="Q940" s="12">
        <f t="shared" si="156"/>
        <v>-1.1896505734862561E-2</v>
      </c>
      <c r="R940" s="12">
        <f t="shared" si="157"/>
        <v>-7.1022727272727071E-3</v>
      </c>
      <c r="S940" s="12">
        <f t="shared" si="158"/>
        <v>-1.5594473904549155E-2</v>
      </c>
      <c r="T940" s="12">
        <f t="shared" si="159"/>
        <v>-7.408353557287195E-3</v>
      </c>
      <c r="U940" s="12">
        <f t="shared" si="160"/>
        <v>-1.3017968463513108E-2</v>
      </c>
      <c r="V940" s="12">
        <f t="shared" si="161"/>
        <v>-3.0404864778365015E-3</v>
      </c>
      <c r="W940" s="12">
        <f t="shared" si="162"/>
        <v>-2.4940489071629601E-2</v>
      </c>
      <c r="X940" s="12">
        <f t="shared" si="163"/>
        <v>-2.9564972546812784E-3</v>
      </c>
      <c r="Y940" s="12">
        <f t="shared" si="164"/>
        <v>-4.9468977082169907E-3</v>
      </c>
    </row>
    <row r="941" spans="1:25" x14ac:dyDescent="0.35">
      <c r="A941" s="6">
        <v>45492</v>
      </c>
      <c r="B941" s="8">
        <v>5505</v>
      </c>
      <c r="C941" s="2">
        <v>224.31</v>
      </c>
      <c r="D941" s="2">
        <v>183.25</v>
      </c>
      <c r="E941" s="2">
        <v>437.11</v>
      </c>
      <c r="F941" s="2">
        <v>565.33000000000004</v>
      </c>
      <c r="G941" s="2">
        <v>154.69</v>
      </c>
      <c r="H941" s="2">
        <v>265.45999999999998</v>
      </c>
      <c r="I941" s="2">
        <v>242.38</v>
      </c>
      <c r="J941" s="2">
        <v>179.67</v>
      </c>
      <c r="K941" s="2">
        <v>70.75</v>
      </c>
      <c r="L941" s="2">
        <v>347.63</v>
      </c>
      <c r="M941" s="64" t="s">
        <v>77</v>
      </c>
      <c r="N941" s="1"/>
      <c r="O941" s="12">
        <f t="shared" si="154"/>
        <v>-7.1402935113327182E-3</v>
      </c>
      <c r="P941" s="12">
        <f t="shared" si="155"/>
        <v>5.7989115889012233E-4</v>
      </c>
      <c r="Q941" s="12">
        <f t="shared" si="156"/>
        <v>-1.0636000431918813E-2</v>
      </c>
      <c r="R941" s="12">
        <f t="shared" si="157"/>
        <v>-7.402865771964473E-3</v>
      </c>
      <c r="S941" s="12">
        <f t="shared" si="158"/>
        <v>1.754261615338315E-3</v>
      </c>
      <c r="T941" s="12">
        <f t="shared" si="159"/>
        <v>-4.696950199459482E-3</v>
      </c>
      <c r="U941" s="12">
        <f t="shared" si="160"/>
        <v>-1.3709827233884475E-2</v>
      </c>
      <c r="V941" s="12">
        <f t="shared" si="161"/>
        <v>-2.7367576243980674E-2</v>
      </c>
      <c r="W941" s="12">
        <f t="shared" si="162"/>
        <v>-3.1071408755479757E-3</v>
      </c>
      <c r="X941" s="12">
        <f t="shared" si="163"/>
        <v>-9.8842134990106967E-4</v>
      </c>
      <c r="Y941" s="12">
        <f t="shared" si="164"/>
        <v>-2.3593517400218977E-2</v>
      </c>
    </row>
    <row r="942" spans="1:25" x14ac:dyDescent="0.35">
      <c r="A942" s="6">
        <v>45495</v>
      </c>
      <c r="B942" s="8">
        <v>5564.41</v>
      </c>
      <c r="C942" s="2">
        <v>223.96</v>
      </c>
      <c r="D942" s="2">
        <v>184.15</v>
      </c>
      <c r="E942" s="2">
        <v>442.94</v>
      </c>
      <c r="F942" s="2">
        <v>558.53</v>
      </c>
      <c r="G942" s="2">
        <v>154.24</v>
      </c>
      <c r="H942" s="2">
        <v>267.70999999999998</v>
      </c>
      <c r="I942" s="2">
        <v>244.75</v>
      </c>
      <c r="J942" s="2">
        <v>178.9</v>
      </c>
      <c r="K942" s="2">
        <v>70.38</v>
      </c>
      <c r="L942" s="2">
        <v>347.87</v>
      </c>
      <c r="M942" s="64" t="s">
        <v>77</v>
      </c>
      <c r="N942" s="1"/>
      <c r="O942" s="12">
        <f t="shared" si="154"/>
        <v>1.0792007266121617E-2</v>
      </c>
      <c r="P942" s="12">
        <f t="shared" si="155"/>
        <v>-1.5603406000623821E-3</v>
      </c>
      <c r="Q942" s="12">
        <f t="shared" si="156"/>
        <v>4.9113233287858549E-3</v>
      </c>
      <c r="R942" s="12">
        <f t="shared" si="157"/>
        <v>1.3337603806822029E-2</v>
      </c>
      <c r="S942" s="12">
        <f t="shared" si="158"/>
        <v>-1.202837280880209E-2</v>
      </c>
      <c r="T942" s="12">
        <f t="shared" si="159"/>
        <v>-2.9090438942400709E-3</v>
      </c>
      <c r="U942" s="12">
        <f t="shared" si="160"/>
        <v>8.4758532358923944E-3</v>
      </c>
      <c r="V942" s="12">
        <f t="shared" si="161"/>
        <v>9.7780344912947736E-3</v>
      </c>
      <c r="W942" s="12">
        <f t="shared" si="162"/>
        <v>-4.2856347748648771E-3</v>
      </c>
      <c r="X942" s="12">
        <f t="shared" si="163"/>
        <v>-5.2296819787986948E-3</v>
      </c>
      <c r="Y942" s="12">
        <f t="shared" si="164"/>
        <v>6.903892069154427E-4</v>
      </c>
    </row>
    <row r="943" spans="1:25" x14ac:dyDescent="0.35">
      <c r="A943" s="6">
        <v>45496</v>
      </c>
      <c r="B943" s="8">
        <v>5555.74</v>
      </c>
      <c r="C943" s="2">
        <v>225.01</v>
      </c>
      <c r="D943" s="2">
        <v>184.1</v>
      </c>
      <c r="E943" s="2">
        <v>444.85</v>
      </c>
      <c r="F943" s="2">
        <v>554.70000000000005</v>
      </c>
      <c r="G943" s="2">
        <v>152.35</v>
      </c>
      <c r="H943" s="2">
        <v>264.79000000000002</v>
      </c>
      <c r="I943" s="2">
        <v>246.9</v>
      </c>
      <c r="J943" s="2">
        <v>186.48</v>
      </c>
      <c r="K943" s="2">
        <v>70.650000000000006</v>
      </c>
      <c r="L943" s="2">
        <v>344.17</v>
      </c>
      <c r="M943" s="64" t="s">
        <v>77</v>
      </c>
      <c r="N943" s="1"/>
      <c r="O943" s="12">
        <f t="shared" si="154"/>
        <v>-1.558116673645582E-3</v>
      </c>
      <c r="P943" s="12">
        <f t="shared" si="155"/>
        <v>4.688337203071935E-3</v>
      </c>
      <c r="Q943" s="12">
        <f t="shared" si="156"/>
        <v>-2.715177844149208E-4</v>
      </c>
      <c r="R943" s="12">
        <f t="shared" si="157"/>
        <v>4.3120964464713474E-3</v>
      </c>
      <c r="S943" s="12">
        <f t="shared" si="158"/>
        <v>-6.8572860902725852E-3</v>
      </c>
      <c r="T943" s="12">
        <f t="shared" si="159"/>
        <v>-1.2253630705394314E-2</v>
      </c>
      <c r="U943" s="12">
        <f t="shared" si="160"/>
        <v>-1.0907325090582898E-2</v>
      </c>
      <c r="V943" s="12">
        <f t="shared" si="161"/>
        <v>8.7844739530134053E-3</v>
      </c>
      <c r="W943" s="12">
        <f t="shared" si="162"/>
        <v>4.2370039128004411E-2</v>
      </c>
      <c r="X943" s="12">
        <f t="shared" si="163"/>
        <v>3.8363171355499937E-3</v>
      </c>
      <c r="Y943" s="12">
        <f t="shared" si="164"/>
        <v>-1.0636157185155315E-2</v>
      </c>
    </row>
    <row r="944" spans="1:25" x14ac:dyDescent="0.35">
      <c r="A944" s="6">
        <v>45497</v>
      </c>
      <c r="B944" s="8">
        <v>5427.13</v>
      </c>
      <c r="C944" s="2">
        <v>218.54</v>
      </c>
      <c r="D944" s="2">
        <v>184.02</v>
      </c>
      <c r="E944" s="2">
        <v>428.9</v>
      </c>
      <c r="F944" s="2">
        <v>559.75</v>
      </c>
      <c r="G944" s="2">
        <v>156.28</v>
      </c>
      <c r="H944" s="2">
        <v>254.17</v>
      </c>
      <c r="I944" s="2">
        <v>240.99</v>
      </c>
      <c r="J944" s="2">
        <v>180.07</v>
      </c>
      <c r="K944" s="2">
        <v>70.599999999999994</v>
      </c>
      <c r="L944" s="2">
        <v>336.04</v>
      </c>
      <c r="M944" s="64">
        <v>10.87</v>
      </c>
      <c r="N944" s="1"/>
      <c r="O944" s="12">
        <f t="shared" si="154"/>
        <v>-2.3149031452155744E-2</v>
      </c>
      <c r="P944" s="12">
        <f t="shared" si="155"/>
        <v>-2.8754277587662802E-2</v>
      </c>
      <c r="Q944" s="12">
        <f t="shared" si="156"/>
        <v>-4.345464421509071E-4</v>
      </c>
      <c r="R944" s="12">
        <f t="shared" si="157"/>
        <v>-3.585478251095886E-2</v>
      </c>
      <c r="S944" s="12">
        <f t="shared" si="158"/>
        <v>9.104020191094131E-3</v>
      </c>
      <c r="T944" s="12">
        <f t="shared" si="159"/>
        <v>2.5795864785034484E-2</v>
      </c>
      <c r="U944" s="12">
        <f t="shared" si="160"/>
        <v>-4.0107254805695214E-2</v>
      </c>
      <c r="V944" s="12">
        <f t="shared" si="161"/>
        <v>-2.3936816524908866E-2</v>
      </c>
      <c r="W944" s="12">
        <f t="shared" si="162"/>
        <v>-3.4373659373659327E-2</v>
      </c>
      <c r="X944" s="12">
        <f t="shared" si="163"/>
        <v>-7.0771408351044673E-4</v>
      </c>
      <c r="Y944" s="12">
        <f t="shared" si="164"/>
        <v>-2.3622047244094446E-2</v>
      </c>
    </row>
    <row r="945" spans="1:25" x14ac:dyDescent="0.35">
      <c r="A945" s="6">
        <v>45498</v>
      </c>
      <c r="B945" s="8">
        <v>5399.22</v>
      </c>
      <c r="C945" s="2">
        <v>217.49</v>
      </c>
      <c r="D945" s="2">
        <v>191.98</v>
      </c>
      <c r="E945" s="2">
        <v>418.4</v>
      </c>
      <c r="F945" s="2">
        <v>559.67999999999995</v>
      </c>
      <c r="G945" s="2">
        <v>159.63999999999999</v>
      </c>
      <c r="H945" s="2">
        <v>253.74</v>
      </c>
      <c r="I945" s="2">
        <v>240.18</v>
      </c>
      <c r="J945" s="2">
        <v>184.35</v>
      </c>
      <c r="K945" s="2">
        <v>70.02</v>
      </c>
      <c r="L945" s="2">
        <v>344.3</v>
      </c>
      <c r="M945" s="64" t="s">
        <v>77</v>
      </c>
      <c r="N945" s="1"/>
      <c r="O945" s="12">
        <f t="shared" si="154"/>
        <v>-5.1426813066942634E-3</v>
      </c>
      <c r="P945" s="12">
        <f t="shared" si="155"/>
        <v>-4.8046124279307323E-3</v>
      </c>
      <c r="Q945" s="12">
        <f t="shared" si="156"/>
        <v>4.3256167807846913E-2</v>
      </c>
      <c r="R945" s="12">
        <f t="shared" si="157"/>
        <v>-2.4481231056190267E-2</v>
      </c>
      <c r="S945" s="12">
        <f t="shared" si="158"/>
        <v>-1.2505582849497987E-4</v>
      </c>
      <c r="T945" s="12">
        <f t="shared" si="159"/>
        <v>2.1499872024571154E-2</v>
      </c>
      <c r="U945" s="12">
        <f t="shared" si="160"/>
        <v>-1.6917810913954501E-3</v>
      </c>
      <c r="V945" s="12">
        <f t="shared" si="161"/>
        <v>-3.3611353168181424E-3</v>
      </c>
      <c r="W945" s="12">
        <f t="shared" si="162"/>
        <v>2.3768534458821655E-2</v>
      </c>
      <c r="X945" s="12">
        <f t="shared" si="163"/>
        <v>-8.2152974504249299E-3</v>
      </c>
      <c r="Y945" s="12">
        <f t="shared" si="164"/>
        <v>2.4580407094393575E-2</v>
      </c>
    </row>
    <row r="946" spans="1:25" x14ac:dyDescent="0.35">
      <c r="A946" s="6">
        <v>45499</v>
      </c>
      <c r="B946" s="8">
        <v>5459.1</v>
      </c>
      <c r="C946" s="2">
        <v>217.96</v>
      </c>
      <c r="D946" s="2">
        <v>191.75</v>
      </c>
      <c r="E946" s="2">
        <v>425.27</v>
      </c>
      <c r="F946" s="2">
        <v>569.72</v>
      </c>
      <c r="G946" s="2">
        <v>160.63999999999999</v>
      </c>
      <c r="H946" s="2">
        <v>259.45999999999998</v>
      </c>
      <c r="I946" s="2">
        <v>245.89</v>
      </c>
      <c r="J946" s="2">
        <v>186.89</v>
      </c>
      <c r="K946" s="2">
        <v>69.78</v>
      </c>
      <c r="L946" s="2">
        <v>350.48</v>
      </c>
      <c r="M946" s="64" t="s">
        <v>77</v>
      </c>
      <c r="N946" s="1"/>
      <c r="O946" s="12">
        <f t="shared" si="154"/>
        <v>1.1090490848678192E-2</v>
      </c>
      <c r="P946" s="12">
        <f t="shared" si="155"/>
        <v>2.1610188974205968E-3</v>
      </c>
      <c r="Q946" s="12">
        <f t="shared" si="156"/>
        <v>-1.1980414626523439E-3</v>
      </c>
      <c r="R946" s="12">
        <f t="shared" si="157"/>
        <v>1.6419694072657753E-2</v>
      </c>
      <c r="S946" s="12">
        <f t="shared" si="158"/>
        <v>1.7938822184105252E-2</v>
      </c>
      <c r="T946" s="12">
        <f t="shared" si="159"/>
        <v>6.2640942119769338E-3</v>
      </c>
      <c r="U946" s="12">
        <f t="shared" si="160"/>
        <v>2.2542760305824805E-2</v>
      </c>
      <c r="V946" s="12">
        <f t="shared" si="161"/>
        <v>2.3773836289449513E-2</v>
      </c>
      <c r="W946" s="12">
        <f t="shared" si="162"/>
        <v>1.3778139408733292E-2</v>
      </c>
      <c r="X946" s="12">
        <f t="shared" si="163"/>
        <v>-3.4275921165380918E-3</v>
      </c>
      <c r="Y946" s="12">
        <f t="shared" si="164"/>
        <v>1.7949462677897099E-2</v>
      </c>
    </row>
    <row r="947" spans="1:25" x14ac:dyDescent="0.35">
      <c r="A947" s="6">
        <v>45502</v>
      </c>
      <c r="B947" s="8">
        <v>5463.54</v>
      </c>
      <c r="C947" s="2">
        <v>218.24</v>
      </c>
      <c r="D947" s="2">
        <v>191.5</v>
      </c>
      <c r="E947" s="2">
        <v>426.73</v>
      </c>
      <c r="F947" s="2">
        <v>566.75</v>
      </c>
      <c r="G947" s="2">
        <v>158.56</v>
      </c>
      <c r="H947" s="2">
        <v>261.60000000000002</v>
      </c>
      <c r="I947" s="2">
        <v>247.89</v>
      </c>
      <c r="J947" s="2">
        <v>185.43</v>
      </c>
      <c r="K947" s="2">
        <v>69.62</v>
      </c>
      <c r="L947" s="2">
        <v>344.53</v>
      </c>
      <c r="M947" s="64" t="s">
        <v>77</v>
      </c>
      <c r="N947" s="1"/>
      <c r="O947" s="12">
        <f t="shared" si="154"/>
        <v>8.1332087706753597E-4</v>
      </c>
      <c r="P947" s="12">
        <f t="shared" si="155"/>
        <v>1.2846393833731984E-3</v>
      </c>
      <c r="Q947" s="12">
        <f t="shared" si="156"/>
        <v>-1.3037809647978849E-3</v>
      </c>
      <c r="R947" s="12">
        <f t="shared" si="157"/>
        <v>3.4331130811016131E-3</v>
      </c>
      <c r="S947" s="12">
        <f t="shared" si="158"/>
        <v>-5.2130871305202664E-3</v>
      </c>
      <c r="T947" s="12">
        <f t="shared" si="159"/>
        <v>-1.2948207171314619E-2</v>
      </c>
      <c r="U947" s="12">
        <f t="shared" si="160"/>
        <v>8.2478994835428754E-3</v>
      </c>
      <c r="V947" s="12">
        <f t="shared" si="161"/>
        <v>8.133718329334183E-3</v>
      </c>
      <c r="W947" s="12">
        <f t="shared" si="162"/>
        <v>-7.8120819733531466E-3</v>
      </c>
      <c r="X947" s="12">
        <f t="shared" si="163"/>
        <v>-2.2929206076238717E-3</v>
      </c>
      <c r="Y947" s="12">
        <f t="shared" si="164"/>
        <v>-1.6976717644373585E-2</v>
      </c>
    </row>
    <row r="948" spans="1:25" x14ac:dyDescent="0.35">
      <c r="A948" s="6">
        <v>45503</v>
      </c>
      <c r="B948" s="8">
        <v>5436.44</v>
      </c>
      <c r="C948" s="2">
        <v>218.8</v>
      </c>
      <c r="D948" s="2">
        <v>191.04</v>
      </c>
      <c r="E948" s="2">
        <v>422.92</v>
      </c>
      <c r="F948" s="2">
        <v>576.33000000000004</v>
      </c>
      <c r="G948" s="2">
        <v>161.33000000000001</v>
      </c>
      <c r="H948" s="2">
        <v>263.10000000000002</v>
      </c>
      <c r="I948" s="2">
        <v>252.48</v>
      </c>
      <c r="J948" s="2">
        <v>186.86</v>
      </c>
      <c r="K948" s="2">
        <v>69.19</v>
      </c>
      <c r="L948" s="2">
        <v>341.72</v>
      </c>
      <c r="M948" s="64">
        <v>10.75</v>
      </c>
      <c r="N948" s="1"/>
      <c r="O948" s="12">
        <f t="shared" si="154"/>
        <v>-4.9601540393225951E-3</v>
      </c>
      <c r="P948" s="12">
        <f t="shared" si="155"/>
        <v>2.5659824046921909E-3</v>
      </c>
      <c r="Q948" s="12">
        <f t="shared" si="156"/>
        <v>-2.4020887728459783E-3</v>
      </c>
      <c r="R948" s="12">
        <f t="shared" si="157"/>
        <v>-8.9283621962364945E-3</v>
      </c>
      <c r="S948" s="12">
        <f t="shared" si="158"/>
        <v>1.6903396559329487E-2</v>
      </c>
      <c r="T948" s="12">
        <f t="shared" si="159"/>
        <v>1.7469727547931413E-2</v>
      </c>
      <c r="U948" s="12">
        <f t="shared" si="160"/>
        <v>5.7339449541284893E-3</v>
      </c>
      <c r="V948" s="12">
        <f t="shared" si="161"/>
        <v>1.8516277381096513E-2</v>
      </c>
      <c r="W948" s="12">
        <f t="shared" si="162"/>
        <v>7.7118049937983102E-3</v>
      </c>
      <c r="X948" s="12">
        <f t="shared" si="163"/>
        <v>-6.1763860959495043E-3</v>
      </c>
      <c r="Y948" s="12">
        <f t="shared" si="164"/>
        <v>-8.1560386613646063E-3</v>
      </c>
    </row>
    <row r="949" spans="1:25" x14ac:dyDescent="0.35">
      <c r="A949" s="6">
        <v>45504</v>
      </c>
      <c r="B949" s="8">
        <v>5522.3</v>
      </c>
      <c r="C949" s="2">
        <v>222.08</v>
      </c>
      <c r="D949" s="2">
        <v>192.14</v>
      </c>
      <c r="E949" s="2">
        <v>418.35</v>
      </c>
      <c r="F949" s="2">
        <v>576.16</v>
      </c>
      <c r="G949" s="2">
        <v>157.85</v>
      </c>
      <c r="H949" s="2">
        <v>265.67</v>
      </c>
      <c r="I949" s="2">
        <v>253.04</v>
      </c>
      <c r="J949" s="2">
        <v>190.6</v>
      </c>
      <c r="K949" s="2">
        <v>68.64</v>
      </c>
      <c r="L949" s="2">
        <v>346.2</v>
      </c>
      <c r="M949" s="64" t="s">
        <v>77</v>
      </c>
      <c r="N949" s="1"/>
      <c r="O949" s="12">
        <f t="shared" si="154"/>
        <v>1.579342363752767E-2</v>
      </c>
      <c r="P949" s="12">
        <f t="shared" si="155"/>
        <v>1.4990859232175469E-2</v>
      </c>
      <c r="Q949" s="12">
        <f t="shared" si="156"/>
        <v>5.7579564489111945E-3</v>
      </c>
      <c r="R949" s="12">
        <f t="shared" si="157"/>
        <v>-1.0805826160976029E-2</v>
      </c>
      <c r="S949" s="12">
        <f t="shared" si="158"/>
        <v>-2.9496989571964338E-4</v>
      </c>
      <c r="T949" s="12">
        <f t="shared" si="159"/>
        <v>-2.1570693609372249E-2</v>
      </c>
      <c r="U949" s="12">
        <f t="shared" si="160"/>
        <v>9.768148992778336E-3</v>
      </c>
      <c r="V949" s="12">
        <f t="shared" si="161"/>
        <v>2.2179974651457268E-3</v>
      </c>
      <c r="W949" s="12">
        <f t="shared" si="162"/>
        <v>2.0014984480359432E-2</v>
      </c>
      <c r="X949" s="12">
        <f t="shared" si="163"/>
        <v>-7.9491255961843255E-3</v>
      </c>
      <c r="Y949" s="12">
        <f t="shared" si="164"/>
        <v>1.3110148659721377E-2</v>
      </c>
    </row>
    <row r="950" spans="1:25" x14ac:dyDescent="0.35">
      <c r="A950" s="6">
        <v>45505</v>
      </c>
      <c r="B950" s="8">
        <v>5446.68</v>
      </c>
      <c r="C950" s="2">
        <v>218.36</v>
      </c>
      <c r="D950" s="2">
        <v>189.66</v>
      </c>
      <c r="E950" s="2">
        <v>417.11</v>
      </c>
      <c r="F950" s="2">
        <v>572.77</v>
      </c>
      <c r="G950" s="2">
        <v>160.76</v>
      </c>
      <c r="H950" s="2">
        <v>265.93</v>
      </c>
      <c r="I950" s="2">
        <v>248.68</v>
      </c>
      <c r="J950" s="2">
        <v>178.31</v>
      </c>
      <c r="K950" s="2">
        <v>69.790000000000006</v>
      </c>
      <c r="L950" s="2">
        <v>331.52</v>
      </c>
      <c r="M950" s="64" t="s">
        <v>77</v>
      </c>
      <c r="N950" s="1"/>
      <c r="O950" s="12">
        <f t="shared" si="154"/>
        <v>-1.3693569708273734E-2</v>
      </c>
      <c r="P950" s="12">
        <f t="shared" si="155"/>
        <v>-1.6750720461095048E-2</v>
      </c>
      <c r="Q950" s="12">
        <f t="shared" si="156"/>
        <v>-1.2907255126470285E-2</v>
      </c>
      <c r="R950" s="12">
        <f t="shared" si="157"/>
        <v>-2.964025337635956E-3</v>
      </c>
      <c r="S950" s="12">
        <f t="shared" si="158"/>
        <v>-5.883782282699257E-3</v>
      </c>
      <c r="T950" s="12">
        <f t="shared" si="159"/>
        <v>1.8435223313272076E-2</v>
      </c>
      <c r="U950" s="12">
        <f t="shared" si="160"/>
        <v>9.7865773327798777E-4</v>
      </c>
      <c r="V950" s="12">
        <f t="shared" si="161"/>
        <v>-1.7230477394878263E-2</v>
      </c>
      <c r="W950" s="12">
        <f t="shared" si="162"/>
        <v>-6.4480587618048202E-2</v>
      </c>
      <c r="X950" s="12">
        <f t="shared" si="163"/>
        <v>1.6754079254079235E-2</v>
      </c>
      <c r="Y950" s="12">
        <f t="shared" si="164"/>
        <v>-4.2403235124205629E-2</v>
      </c>
    </row>
    <row r="951" spans="1:25" x14ac:dyDescent="0.35">
      <c r="A951" s="6">
        <v>45506</v>
      </c>
      <c r="B951" s="8">
        <v>5346.56</v>
      </c>
      <c r="C951" s="2">
        <v>219.86</v>
      </c>
      <c r="D951" s="2">
        <v>189.12</v>
      </c>
      <c r="E951" s="2">
        <v>408.49</v>
      </c>
      <c r="F951" s="2">
        <v>589.83000000000004</v>
      </c>
      <c r="G951" s="2">
        <v>164.14</v>
      </c>
      <c r="H951" s="2">
        <v>266.58</v>
      </c>
      <c r="I951" s="2">
        <v>232.28</v>
      </c>
      <c r="J951" s="2">
        <v>169.95</v>
      </c>
      <c r="K951" s="2">
        <v>68.459999999999994</v>
      </c>
      <c r="L951" s="2">
        <v>320.87</v>
      </c>
      <c r="M951" s="64" t="s">
        <v>77</v>
      </c>
      <c r="N951" s="1"/>
      <c r="O951" s="12">
        <f t="shared" si="154"/>
        <v>-1.8381839946536194E-2</v>
      </c>
      <c r="P951" s="12">
        <f t="shared" si="155"/>
        <v>6.8693899981682183E-3</v>
      </c>
      <c r="Q951" s="12">
        <f t="shared" si="156"/>
        <v>-2.847200253084381E-3</v>
      </c>
      <c r="R951" s="12">
        <f t="shared" si="157"/>
        <v>-2.0666011363908776E-2</v>
      </c>
      <c r="S951" s="12">
        <f t="shared" si="158"/>
        <v>2.9785079525813218E-2</v>
      </c>
      <c r="T951" s="12">
        <f t="shared" si="159"/>
        <v>2.1025130629509725E-2</v>
      </c>
      <c r="U951" s="12">
        <f t="shared" si="160"/>
        <v>2.4442522468317573E-3</v>
      </c>
      <c r="V951" s="12">
        <f t="shared" si="161"/>
        <v>-6.5948206530480946E-2</v>
      </c>
      <c r="W951" s="12">
        <f t="shared" si="162"/>
        <v>-4.6884639111659521E-2</v>
      </c>
      <c r="X951" s="12">
        <f t="shared" si="163"/>
        <v>-1.905717151454378E-2</v>
      </c>
      <c r="Y951" s="12">
        <f t="shared" si="164"/>
        <v>-3.2124758687258614E-2</v>
      </c>
    </row>
    <row r="952" spans="1:25" x14ac:dyDescent="0.35">
      <c r="A952" s="6">
        <v>45509</v>
      </c>
      <c r="B952" s="8">
        <v>5186.33</v>
      </c>
      <c r="C952" s="2">
        <v>209.27</v>
      </c>
      <c r="D952" s="2">
        <v>183.31</v>
      </c>
      <c r="E952" s="2">
        <v>395.15</v>
      </c>
      <c r="F952" s="2">
        <v>569.96</v>
      </c>
      <c r="G952" s="2">
        <v>161.25</v>
      </c>
      <c r="H952" s="2">
        <v>256.44</v>
      </c>
      <c r="I952" s="2">
        <v>225.92</v>
      </c>
      <c r="J952" s="2">
        <v>167.03</v>
      </c>
      <c r="K952" s="2">
        <v>67.59</v>
      </c>
      <c r="L952" s="2">
        <v>316.8</v>
      </c>
      <c r="M952" s="64" t="s">
        <v>77</v>
      </c>
      <c r="N952" s="1"/>
      <c r="O952" s="12">
        <f t="shared" si="154"/>
        <v>-2.9968802370122227E-2</v>
      </c>
      <c r="P952" s="12">
        <f t="shared" si="155"/>
        <v>-4.8167015373419497E-2</v>
      </c>
      <c r="Q952" s="12">
        <f t="shared" si="156"/>
        <v>-3.0721235194585472E-2</v>
      </c>
      <c r="R952" s="12">
        <f t="shared" si="157"/>
        <v>-3.2656858185022952E-2</v>
      </c>
      <c r="S952" s="12">
        <f t="shared" si="158"/>
        <v>-3.3687672719258099E-2</v>
      </c>
      <c r="T952" s="12">
        <f t="shared" si="159"/>
        <v>-1.7606920921164781E-2</v>
      </c>
      <c r="U952" s="12">
        <f t="shared" si="160"/>
        <v>-3.8037362142696374E-2</v>
      </c>
      <c r="V952" s="12">
        <f t="shared" si="161"/>
        <v>-2.7380747373859204E-2</v>
      </c>
      <c r="W952" s="12">
        <f t="shared" si="162"/>
        <v>-1.7181523977640389E-2</v>
      </c>
      <c r="X952" s="12">
        <f t="shared" si="163"/>
        <v>-1.2708150744960456E-2</v>
      </c>
      <c r="Y952" s="12">
        <f t="shared" si="164"/>
        <v>-1.2684264655467903E-2</v>
      </c>
    </row>
    <row r="953" spans="1:25" x14ac:dyDescent="0.35">
      <c r="A953" s="6">
        <v>45510</v>
      </c>
      <c r="B953" s="8">
        <v>5240.03</v>
      </c>
      <c r="C953" s="2">
        <v>207.23</v>
      </c>
      <c r="D953" s="2">
        <v>186.8</v>
      </c>
      <c r="E953" s="2">
        <v>399.61</v>
      </c>
      <c r="F953" s="2">
        <v>568.35</v>
      </c>
      <c r="G953" s="2">
        <v>158.97</v>
      </c>
      <c r="H953" s="2">
        <v>258.26</v>
      </c>
      <c r="I953" s="2">
        <v>231.12</v>
      </c>
      <c r="J953" s="2">
        <v>165.04</v>
      </c>
      <c r="K953" s="2">
        <v>67.739999999999995</v>
      </c>
      <c r="L953" s="2">
        <v>326.44</v>
      </c>
      <c r="M953" s="64">
        <v>10.78</v>
      </c>
      <c r="N953" s="1"/>
      <c r="O953" s="12">
        <f t="shared" si="154"/>
        <v>1.0354142524675369E-2</v>
      </c>
      <c r="P953" s="12">
        <f t="shared" si="155"/>
        <v>-9.7481722177092944E-3</v>
      </c>
      <c r="Q953" s="12">
        <f t="shared" si="156"/>
        <v>1.9038786754677961E-2</v>
      </c>
      <c r="R953" s="12">
        <f t="shared" si="157"/>
        <v>1.1286853093761984E-2</v>
      </c>
      <c r="S953" s="12">
        <f t="shared" si="158"/>
        <v>-2.8247596322549251E-3</v>
      </c>
      <c r="T953" s="12">
        <f t="shared" si="159"/>
        <v>-1.4139534883720883E-2</v>
      </c>
      <c r="U953" s="12">
        <f t="shared" si="160"/>
        <v>7.0971767274996544E-3</v>
      </c>
      <c r="V953" s="12">
        <f t="shared" si="161"/>
        <v>2.3016997167138786E-2</v>
      </c>
      <c r="W953" s="12">
        <f t="shared" si="162"/>
        <v>-1.191402742022396E-2</v>
      </c>
      <c r="X953" s="12">
        <f t="shared" si="163"/>
        <v>2.2192632046158511E-3</v>
      </c>
      <c r="Y953" s="12">
        <f t="shared" si="164"/>
        <v>3.0429292929292862E-2</v>
      </c>
    </row>
    <row r="954" spans="1:25" x14ac:dyDescent="0.35">
      <c r="A954" s="6">
        <v>45511</v>
      </c>
      <c r="B954" s="8">
        <v>5199.5</v>
      </c>
      <c r="C954" s="2">
        <v>209.82</v>
      </c>
      <c r="D954" s="2">
        <v>186.8</v>
      </c>
      <c r="E954" s="2">
        <v>398.43</v>
      </c>
      <c r="F954" s="2">
        <v>566.08000000000004</v>
      </c>
      <c r="G954" s="2">
        <v>158.9</v>
      </c>
      <c r="H954" s="2">
        <v>256.52</v>
      </c>
      <c r="I954" s="2">
        <v>228.8</v>
      </c>
      <c r="J954" s="2">
        <v>163.24</v>
      </c>
      <c r="K954" s="2">
        <v>66.91</v>
      </c>
      <c r="L954" s="2">
        <v>325.8</v>
      </c>
      <c r="M954" s="64" t="s">
        <v>77</v>
      </c>
      <c r="N954" s="1"/>
      <c r="O954" s="12">
        <f t="shared" si="154"/>
        <v>-7.7346885418594358E-3</v>
      </c>
      <c r="P954" s="12">
        <f t="shared" si="155"/>
        <v>1.249819041644562E-2</v>
      </c>
      <c r="Q954" s="12">
        <f t="shared" si="156"/>
        <v>0</v>
      </c>
      <c r="R954" s="12">
        <f t="shared" si="157"/>
        <v>-2.9528790570806374E-3</v>
      </c>
      <c r="S954" s="12">
        <f t="shared" si="158"/>
        <v>-3.9940177707398217E-3</v>
      </c>
      <c r="T954" s="12">
        <f t="shared" si="159"/>
        <v>-4.4033465433723773E-4</v>
      </c>
      <c r="U954" s="12">
        <f t="shared" si="160"/>
        <v>-6.7373964222101623E-3</v>
      </c>
      <c r="V954" s="12">
        <f t="shared" si="161"/>
        <v>-1.003807545863622E-2</v>
      </c>
      <c r="W954" s="12">
        <f t="shared" si="162"/>
        <v>-1.0906446921958191E-2</v>
      </c>
      <c r="X954" s="12">
        <f t="shared" si="163"/>
        <v>-1.2252731030410358E-2</v>
      </c>
      <c r="Y954" s="12">
        <f t="shared" si="164"/>
        <v>-1.9605440509741223E-3</v>
      </c>
    </row>
    <row r="955" spans="1:25" x14ac:dyDescent="0.35">
      <c r="A955" s="6">
        <v>45512</v>
      </c>
      <c r="B955" s="8">
        <v>5319.31</v>
      </c>
      <c r="C955" s="2">
        <v>213.31</v>
      </c>
      <c r="D955" s="2">
        <v>192.61</v>
      </c>
      <c r="E955" s="2">
        <v>402.69</v>
      </c>
      <c r="F955" s="2">
        <v>566.24</v>
      </c>
      <c r="G955" s="2">
        <v>160.22</v>
      </c>
      <c r="H955" s="2">
        <v>259.83</v>
      </c>
      <c r="I955" s="2">
        <v>233.54</v>
      </c>
      <c r="J955" s="2">
        <v>168.87</v>
      </c>
      <c r="K955" s="2">
        <v>67.66</v>
      </c>
      <c r="L955" s="2">
        <v>336.16</v>
      </c>
      <c r="M955" s="64" t="s">
        <v>77</v>
      </c>
      <c r="N955" s="1"/>
      <c r="O955" s="12">
        <f t="shared" si="154"/>
        <v>2.3042600250024137E-2</v>
      </c>
      <c r="P955" s="12">
        <f t="shared" si="155"/>
        <v>1.6633304737394106E-2</v>
      </c>
      <c r="Q955" s="12">
        <f t="shared" si="156"/>
        <v>3.1102783725910133E-2</v>
      </c>
      <c r="R955" s="12">
        <f t="shared" si="157"/>
        <v>1.0691965966418193E-2</v>
      </c>
      <c r="S955" s="12">
        <f t="shared" si="158"/>
        <v>2.8264556246471173E-4</v>
      </c>
      <c r="T955" s="12">
        <f t="shared" si="159"/>
        <v>8.30711139081175E-3</v>
      </c>
      <c r="U955" s="12">
        <f t="shared" si="160"/>
        <v>1.2903477311710487E-2</v>
      </c>
      <c r="V955" s="12">
        <f t="shared" si="161"/>
        <v>2.0716783216783163E-2</v>
      </c>
      <c r="W955" s="12">
        <f t="shared" si="162"/>
        <v>3.448909580985049E-2</v>
      </c>
      <c r="X955" s="12">
        <f t="shared" si="163"/>
        <v>1.1209086833059434E-2</v>
      </c>
      <c r="Y955" s="12">
        <f t="shared" si="164"/>
        <v>3.179864947820743E-2</v>
      </c>
    </row>
    <row r="956" spans="1:25" x14ac:dyDescent="0.35">
      <c r="A956" s="6">
        <v>45513</v>
      </c>
      <c r="B956" s="8">
        <v>5344.16</v>
      </c>
      <c r="C956" s="2">
        <v>216.24</v>
      </c>
      <c r="D956" s="2">
        <v>191.45</v>
      </c>
      <c r="E956" s="2">
        <v>406.02</v>
      </c>
      <c r="F956" s="2">
        <v>558.76</v>
      </c>
      <c r="G956" s="2">
        <v>160.62</v>
      </c>
      <c r="H956" s="2">
        <v>259.76</v>
      </c>
      <c r="I956" s="2">
        <v>237.85</v>
      </c>
      <c r="J956" s="2">
        <v>167.91</v>
      </c>
      <c r="K956" s="2">
        <v>67.95</v>
      </c>
      <c r="L956" s="2">
        <v>338.26</v>
      </c>
      <c r="M956" s="64" t="s">
        <v>77</v>
      </c>
      <c r="N956" s="1"/>
      <c r="O956" s="12">
        <f t="shared" si="154"/>
        <v>4.6716585421793244E-3</v>
      </c>
      <c r="P956" s="12">
        <f t="shared" si="155"/>
        <v>1.3735877361586546E-2</v>
      </c>
      <c r="Q956" s="12">
        <f t="shared" si="156"/>
        <v>-6.022532578786266E-3</v>
      </c>
      <c r="R956" s="12">
        <f t="shared" si="157"/>
        <v>8.2693883632569687E-3</v>
      </c>
      <c r="S956" s="12">
        <f t="shared" si="158"/>
        <v>-1.3209946312517706E-2</v>
      </c>
      <c r="T956" s="12">
        <f t="shared" si="159"/>
        <v>2.4965672200725209E-3</v>
      </c>
      <c r="U956" s="12">
        <f t="shared" si="160"/>
        <v>-2.6940691990917642E-4</v>
      </c>
      <c r="V956" s="12">
        <f t="shared" si="161"/>
        <v>1.8455082641089415E-2</v>
      </c>
      <c r="W956" s="12">
        <f t="shared" si="162"/>
        <v>-5.6848463314976838E-3</v>
      </c>
      <c r="X956" s="12">
        <f t="shared" si="163"/>
        <v>4.2861365651789551E-3</v>
      </c>
      <c r="Y956" s="12">
        <f t="shared" si="164"/>
        <v>6.2470252260826697E-3</v>
      </c>
    </row>
    <row r="957" spans="1:25" x14ac:dyDescent="0.35">
      <c r="A957" s="6">
        <v>45516</v>
      </c>
      <c r="B957" s="8">
        <v>5344.39</v>
      </c>
      <c r="C957" s="2">
        <v>217.53</v>
      </c>
      <c r="D957" s="2">
        <v>189.48</v>
      </c>
      <c r="E957" s="2">
        <v>406.81</v>
      </c>
      <c r="F957" s="2">
        <v>565.29</v>
      </c>
      <c r="G957" s="2">
        <v>159.88</v>
      </c>
      <c r="H957" s="2">
        <v>259.89</v>
      </c>
      <c r="I957" s="2">
        <v>237.05</v>
      </c>
      <c r="J957" s="2">
        <v>164.13</v>
      </c>
      <c r="K957" s="2">
        <v>68.7</v>
      </c>
      <c r="L957" s="2">
        <v>336.03</v>
      </c>
      <c r="M957" s="64" t="s">
        <v>77</v>
      </c>
      <c r="N957" s="1"/>
      <c r="O957" s="12">
        <f t="shared" si="154"/>
        <v>4.3037633603804082E-5</v>
      </c>
      <c r="P957" s="12">
        <f t="shared" si="155"/>
        <v>5.9655937846836427E-3</v>
      </c>
      <c r="Q957" s="12">
        <f t="shared" si="156"/>
        <v>-1.0289892922434096E-2</v>
      </c>
      <c r="R957" s="12">
        <f t="shared" si="157"/>
        <v>1.9457169597556501E-3</v>
      </c>
      <c r="S957" s="12">
        <f t="shared" si="158"/>
        <v>1.1686591738850227E-2</v>
      </c>
      <c r="T957" s="12">
        <f t="shared" si="159"/>
        <v>-4.6071473041963129E-3</v>
      </c>
      <c r="U957" s="12">
        <f t="shared" si="160"/>
        <v>5.0046196489073047E-4</v>
      </c>
      <c r="V957" s="12">
        <f t="shared" si="161"/>
        <v>-3.3634643682992627E-3</v>
      </c>
      <c r="W957" s="12">
        <f t="shared" si="162"/>
        <v>-2.2512060032160108E-2</v>
      </c>
      <c r="X957" s="12">
        <f t="shared" si="163"/>
        <v>1.1037527593819041E-2</v>
      </c>
      <c r="Y957" s="12">
        <f t="shared" si="164"/>
        <v>-6.5925619346065556E-3</v>
      </c>
    </row>
    <row r="958" spans="1:25" x14ac:dyDescent="0.35">
      <c r="A958" s="6">
        <v>45517</v>
      </c>
      <c r="B958" s="8">
        <v>5434.43</v>
      </c>
      <c r="C958" s="2">
        <v>221.27</v>
      </c>
      <c r="D958" s="2">
        <v>190.99</v>
      </c>
      <c r="E958" s="2">
        <v>414.01</v>
      </c>
      <c r="F958" s="2">
        <v>574.24</v>
      </c>
      <c r="G958" s="2">
        <v>158.38999999999999</v>
      </c>
      <c r="H958" s="2">
        <v>260.13</v>
      </c>
      <c r="I958" s="2">
        <v>238.99</v>
      </c>
      <c r="J958" s="2">
        <v>168.76</v>
      </c>
      <c r="K958" s="2">
        <v>68.13</v>
      </c>
      <c r="L958" s="2">
        <v>338.8</v>
      </c>
      <c r="M958" s="64">
        <v>11.25</v>
      </c>
      <c r="N958" s="1"/>
      <c r="O958" s="12">
        <f t="shared" si="154"/>
        <v>1.6847572875482442E-2</v>
      </c>
      <c r="P958" s="12">
        <f t="shared" si="155"/>
        <v>1.7193030846320179E-2</v>
      </c>
      <c r="Q958" s="12">
        <f t="shared" si="156"/>
        <v>7.9691788051510226E-3</v>
      </c>
      <c r="R958" s="12">
        <f t="shared" si="157"/>
        <v>1.7698679973451981E-2</v>
      </c>
      <c r="S958" s="12">
        <f t="shared" si="158"/>
        <v>1.5832581506837196E-2</v>
      </c>
      <c r="T958" s="12">
        <f t="shared" si="159"/>
        <v>-9.3194896172129615E-3</v>
      </c>
      <c r="U958" s="12">
        <f t="shared" si="160"/>
        <v>9.2346762091666257E-4</v>
      </c>
      <c r="V958" s="12">
        <f t="shared" si="161"/>
        <v>8.1839274414681196E-3</v>
      </c>
      <c r="W958" s="12">
        <f t="shared" si="162"/>
        <v>2.8209346249923772E-2</v>
      </c>
      <c r="X958" s="12">
        <f t="shared" si="163"/>
        <v>-8.2969432314411451E-3</v>
      </c>
      <c r="Y958" s="12">
        <f t="shared" si="164"/>
        <v>8.2433116090825376E-3</v>
      </c>
    </row>
    <row r="959" spans="1:25" x14ac:dyDescent="0.35">
      <c r="A959" s="6">
        <v>45518</v>
      </c>
      <c r="B959" s="8">
        <v>5455.21</v>
      </c>
      <c r="C959" s="2">
        <v>221.72</v>
      </c>
      <c r="D959" s="2">
        <v>192.32</v>
      </c>
      <c r="E959" s="2">
        <v>416.86</v>
      </c>
      <c r="F959" s="2">
        <v>579.66999999999996</v>
      </c>
      <c r="G959" s="2">
        <v>158.47999999999999</v>
      </c>
      <c r="H959" s="2">
        <v>261.14</v>
      </c>
      <c r="I959" s="2">
        <v>243.76</v>
      </c>
      <c r="J959" s="2">
        <v>168.5</v>
      </c>
      <c r="K959" s="2">
        <v>68.66</v>
      </c>
      <c r="L959" s="2">
        <v>337.59</v>
      </c>
      <c r="M959" s="64" t="s">
        <v>77</v>
      </c>
      <c r="N959" s="1"/>
      <c r="O959" s="12">
        <f t="shared" si="154"/>
        <v>3.8237680860733203E-3</v>
      </c>
      <c r="P959" s="12">
        <f t="shared" si="155"/>
        <v>2.0337144664888118E-3</v>
      </c>
      <c r="Q959" s="12">
        <f t="shared" si="156"/>
        <v>6.9637153777684091E-3</v>
      </c>
      <c r="R959" s="12">
        <f t="shared" si="157"/>
        <v>6.883891693437505E-3</v>
      </c>
      <c r="S959" s="12">
        <f t="shared" si="158"/>
        <v>9.4559765951518493E-3</v>
      </c>
      <c r="T959" s="12">
        <f t="shared" si="159"/>
        <v>5.6821769051085269E-4</v>
      </c>
      <c r="U959" s="12">
        <f t="shared" si="160"/>
        <v>3.8826740475914612E-3</v>
      </c>
      <c r="V959" s="12">
        <f t="shared" si="161"/>
        <v>1.9958994100171434E-2</v>
      </c>
      <c r="W959" s="12">
        <f t="shared" si="162"/>
        <v>-1.5406494429959228E-3</v>
      </c>
      <c r="X959" s="12">
        <f t="shared" si="163"/>
        <v>7.7792455599590138E-3</v>
      </c>
      <c r="Y959" s="12">
        <f t="shared" si="164"/>
        <v>-3.5714285714286698E-3</v>
      </c>
    </row>
    <row r="960" spans="1:25" x14ac:dyDescent="0.35">
      <c r="A960" s="6">
        <v>45519</v>
      </c>
      <c r="B960" s="8">
        <v>5543.22</v>
      </c>
      <c r="C960" s="2">
        <v>224.72</v>
      </c>
      <c r="D960" s="2">
        <v>193.95</v>
      </c>
      <c r="E960" s="2">
        <v>421.03</v>
      </c>
      <c r="F960" s="2">
        <v>579.61</v>
      </c>
      <c r="G960" s="2">
        <v>159.09</v>
      </c>
      <c r="H960" s="2">
        <v>266.8</v>
      </c>
      <c r="I960" s="2">
        <v>249.5</v>
      </c>
      <c r="J960" s="2">
        <v>176.41</v>
      </c>
      <c r="K960" s="2">
        <v>73.180000000000007</v>
      </c>
      <c r="L960" s="2">
        <v>345.64</v>
      </c>
      <c r="M960" s="64" t="s">
        <v>77</v>
      </c>
      <c r="N960" s="1"/>
      <c r="O960" s="12">
        <f t="shared" si="154"/>
        <v>1.6133201104998829E-2</v>
      </c>
      <c r="P960" s="12">
        <f t="shared" si="155"/>
        <v>1.3530579108785856E-2</v>
      </c>
      <c r="Q960" s="12">
        <f t="shared" si="156"/>
        <v>8.4754575707155499E-3</v>
      </c>
      <c r="R960" s="12">
        <f t="shared" si="157"/>
        <v>1.0003358441682986E-2</v>
      </c>
      <c r="S960" s="12">
        <f t="shared" si="158"/>
        <v>-1.0350716787133063E-4</v>
      </c>
      <c r="T960" s="12">
        <f t="shared" si="159"/>
        <v>3.8490661282182259E-3</v>
      </c>
      <c r="U960" s="12">
        <f t="shared" si="160"/>
        <v>2.1674197748334345E-2</v>
      </c>
      <c r="V960" s="12">
        <f t="shared" si="161"/>
        <v>2.354775188710212E-2</v>
      </c>
      <c r="W960" s="12">
        <f t="shared" si="162"/>
        <v>4.6943620178041545E-2</v>
      </c>
      <c r="X960" s="12">
        <f t="shared" si="163"/>
        <v>6.5831634139236872E-2</v>
      </c>
      <c r="Y960" s="12">
        <f t="shared" si="164"/>
        <v>2.3845493053704203E-2</v>
      </c>
    </row>
    <row r="961" spans="1:25" x14ac:dyDescent="0.35">
      <c r="A961" s="6">
        <v>45520</v>
      </c>
      <c r="B961" s="8">
        <v>5554.25</v>
      </c>
      <c r="C961" s="2">
        <v>226.05</v>
      </c>
      <c r="D961" s="2">
        <v>193.78</v>
      </c>
      <c r="E961" s="2">
        <v>418.47</v>
      </c>
      <c r="F961" s="2">
        <v>577.67999999999995</v>
      </c>
      <c r="G961" s="2">
        <v>159.38999999999999</v>
      </c>
      <c r="H961" s="2">
        <v>267.38</v>
      </c>
      <c r="I961" s="2">
        <v>251.71</v>
      </c>
      <c r="J961" s="2">
        <v>179.99</v>
      </c>
      <c r="K961" s="2">
        <v>73.45</v>
      </c>
      <c r="L961" s="2">
        <v>343.48</v>
      </c>
      <c r="M961" s="64" t="s">
        <v>77</v>
      </c>
      <c r="N961" s="1"/>
      <c r="O961" s="12">
        <f t="shared" si="154"/>
        <v>1.9898181923141411E-3</v>
      </c>
      <c r="P961" s="12">
        <f t="shared" si="155"/>
        <v>5.9184763260946571E-3</v>
      </c>
      <c r="Q961" s="12">
        <f t="shared" si="156"/>
        <v>-8.7651456560966512E-4</v>
      </c>
      <c r="R961" s="12">
        <f t="shared" si="157"/>
        <v>-6.0803268175663172E-3</v>
      </c>
      <c r="S961" s="12">
        <f t="shared" si="158"/>
        <v>-3.3298252273081808E-3</v>
      </c>
      <c r="T961" s="12">
        <f t="shared" si="159"/>
        <v>1.8857250612860366E-3</v>
      </c>
      <c r="U961" s="12">
        <f t="shared" si="160"/>
        <v>2.1739130434781373E-3</v>
      </c>
      <c r="V961" s="12">
        <f t="shared" si="161"/>
        <v>8.8577154308617789E-3</v>
      </c>
      <c r="W961" s="12">
        <f t="shared" si="162"/>
        <v>2.0293634147724227E-2</v>
      </c>
      <c r="X961" s="12">
        <f t="shared" si="163"/>
        <v>3.6895326591963595E-3</v>
      </c>
      <c r="Y961" s="12">
        <f t="shared" si="164"/>
        <v>-6.2492767040850383E-3</v>
      </c>
    </row>
    <row r="962" spans="1:25" x14ac:dyDescent="0.35">
      <c r="A962" s="6">
        <v>45523</v>
      </c>
      <c r="B962" s="8">
        <v>5608.25</v>
      </c>
      <c r="C962" s="2">
        <v>225.89</v>
      </c>
      <c r="D962" s="2">
        <v>194.73</v>
      </c>
      <c r="E962" s="2">
        <v>421.53</v>
      </c>
      <c r="F962" s="2">
        <v>578.78</v>
      </c>
      <c r="G962" s="2">
        <v>159.63</v>
      </c>
      <c r="H962" s="2">
        <v>266.47000000000003</v>
      </c>
      <c r="I962" s="2">
        <v>254.05</v>
      </c>
      <c r="J962" s="2">
        <v>179.64</v>
      </c>
      <c r="K962" s="2">
        <v>73.72</v>
      </c>
      <c r="L962" s="2">
        <v>344.65</v>
      </c>
      <c r="M962" s="64">
        <v>11.25</v>
      </c>
      <c r="N962" s="1"/>
      <c r="O962" s="12">
        <f t="shared" si="154"/>
        <v>9.7222847369131671E-3</v>
      </c>
      <c r="P962" s="12">
        <f t="shared" si="155"/>
        <v>-7.0780800707814784E-4</v>
      </c>
      <c r="Q962" s="12">
        <f t="shared" si="156"/>
        <v>4.9024667148311885E-3</v>
      </c>
      <c r="R962" s="12">
        <f t="shared" si="157"/>
        <v>7.3123521399383051E-3</v>
      </c>
      <c r="S962" s="12">
        <f t="shared" si="158"/>
        <v>1.9041683977287782E-3</v>
      </c>
      <c r="T962" s="12">
        <f t="shared" si="159"/>
        <v>1.5057406361753678E-3</v>
      </c>
      <c r="U962" s="12">
        <f t="shared" si="160"/>
        <v>-3.4033959159247562E-3</v>
      </c>
      <c r="V962" s="12">
        <f t="shared" si="161"/>
        <v>9.2964125382384299E-3</v>
      </c>
      <c r="W962" s="12">
        <f t="shared" si="162"/>
        <v>-1.9445524751375842E-3</v>
      </c>
      <c r="X962" s="12">
        <f t="shared" si="163"/>
        <v>3.6759700476514112E-3</v>
      </c>
      <c r="Y962" s="12">
        <f t="shared" si="164"/>
        <v>3.4063118667753134E-3</v>
      </c>
    </row>
    <row r="963" spans="1:25" x14ac:dyDescent="0.35">
      <c r="A963" s="6">
        <v>45524</v>
      </c>
      <c r="B963" s="8">
        <v>5597.12</v>
      </c>
      <c r="C963" s="2">
        <v>226.51</v>
      </c>
      <c r="D963" s="2">
        <v>196.03</v>
      </c>
      <c r="E963" s="2">
        <v>424.8</v>
      </c>
      <c r="F963" s="2">
        <v>580.65</v>
      </c>
      <c r="G963" s="2">
        <v>160.16</v>
      </c>
      <c r="H963" s="2">
        <v>268.04000000000002</v>
      </c>
      <c r="I963" s="2">
        <v>253.08</v>
      </c>
      <c r="J963" s="2">
        <v>172.1</v>
      </c>
      <c r="K963" s="2">
        <v>74.540000000000006</v>
      </c>
      <c r="L963" s="2">
        <v>343.3</v>
      </c>
      <c r="M963" s="64" t="s">
        <v>77</v>
      </c>
      <c r="N963" s="1"/>
      <c r="O963" s="12">
        <f t="shared" si="154"/>
        <v>-1.9845762938528466E-3</v>
      </c>
      <c r="P963" s="12">
        <f t="shared" si="155"/>
        <v>2.744698747177754E-3</v>
      </c>
      <c r="Q963" s="12">
        <f t="shared" si="156"/>
        <v>6.6759102346840571E-3</v>
      </c>
      <c r="R963" s="12">
        <f t="shared" si="157"/>
        <v>7.7574549854104724E-3</v>
      </c>
      <c r="S963" s="12">
        <f t="shared" si="158"/>
        <v>3.2309340336569292E-3</v>
      </c>
      <c r="T963" s="12">
        <f t="shared" si="159"/>
        <v>3.3201779114202523E-3</v>
      </c>
      <c r="U963" s="12">
        <f t="shared" si="160"/>
        <v>5.8918452358613926E-3</v>
      </c>
      <c r="V963" s="12">
        <f t="shared" si="161"/>
        <v>-3.81814603424524E-3</v>
      </c>
      <c r="W963" s="12">
        <f t="shared" si="162"/>
        <v>-4.1972834558004823E-2</v>
      </c>
      <c r="X963" s="12">
        <f t="shared" si="163"/>
        <v>1.1123168746608902E-2</v>
      </c>
      <c r="Y963" s="12">
        <f t="shared" si="164"/>
        <v>-3.9170172638908207E-3</v>
      </c>
    </row>
    <row r="964" spans="1:25" x14ac:dyDescent="0.35">
      <c r="A964" s="6">
        <v>45525</v>
      </c>
      <c r="B964" s="8">
        <v>5620.85</v>
      </c>
      <c r="C964" s="2">
        <v>226.4</v>
      </c>
      <c r="D964" s="2">
        <v>197.21</v>
      </c>
      <c r="E964" s="2">
        <v>424.14</v>
      </c>
      <c r="F964" s="2">
        <v>578.07000000000005</v>
      </c>
      <c r="G964" s="2">
        <v>161.43</v>
      </c>
      <c r="H964" s="2">
        <v>268.2</v>
      </c>
      <c r="I964" s="2">
        <v>246.3</v>
      </c>
      <c r="J964" s="2">
        <v>173.43</v>
      </c>
      <c r="K964" s="2">
        <v>75.239999999999995</v>
      </c>
      <c r="L964" s="2">
        <v>342.97</v>
      </c>
      <c r="M964" s="64" t="s">
        <v>77</v>
      </c>
      <c r="N964" s="1"/>
      <c r="O964" s="12">
        <f t="shared" si="154"/>
        <v>4.2396804070665706E-3</v>
      </c>
      <c r="P964" s="12">
        <f t="shared" si="155"/>
        <v>-4.8562977351984671E-4</v>
      </c>
      <c r="Q964" s="12">
        <f t="shared" si="156"/>
        <v>6.0194868132428248E-3</v>
      </c>
      <c r="R964" s="12">
        <f t="shared" si="157"/>
        <v>-1.5536723163842581E-3</v>
      </c>
      <c r="S964" s="12">
        <f t="shared" si="158"/>
        <v>-4.4432963058640418E-3</v>
      </c>
      <c r="T964" s="12">
        <f t="shared" si="159"/>
        <v>7.9295704295705427E-3</v>
      </c>
      <c r="U964" s="12">
        <f t="shared" si="160"/>
        <v>5.9692583196535587E-4</v>
      </c>
      <c r="V964" s="12">
        <f t="shared" si="161"/>
        <v>-2.6789947842579376E-2</v>
      </c>
      <c r="W964" s="12">
        <f t="shared" si="162"/>
        <v>7.728065078442814E-3</v>
      </c>
      <c r="X964" s="12">
        <f t="shared" si="163"/>
        <v>9.3909310437347848E-3</v>
      </c>
      <c r="Y964" s="12">
        <f t="shared" si="164"/>
        <v>-9.6125837459948293E-4</v>
      </c>
    </row>
    <row r="965" spans="1:25" x14ac:dyDescent="0.35">
      <c r="A965" s="6">
        <v>45526</v>
      </c>
      <c r="B965" s="8">
        <v>5570.64</v>
      </c>
      <c r="C965" s="2">
        <v>224.53</v>
      </c>
      <c r="D965" s="2">
        <v>195.96</v>
      </c>
      <c r="E965" s="2">
        <v>415.55</v>
      </c>
      <c r="F965" s="2">
        <v>578.72</v>
      </c>
      <c r="G965" s="2">
        <v>162.35</v>
      </c>
      <c r="H965" s="2">
        <v>267.94</v>
      </c>
      <c r="I965" s="2">
        <v>247.76</v>
      </c>
      <c r="J965" s="2">
        <v>172.76</v>
      </c>
      <c r="K965" s="2">
        <v>75.58</v>
      </c>
      <c r="L965" s="2">
        <v>342.36</v>
      </c>
      <c r="M965" s="64" t="s">
        <v>77</v>
      </c>
      <c r="N965" s="1"/>
      <c r="O965" s="12">
        <f t="shared" ref="O965:O1028" si="165">(B965/B964)-1</f>
        <v>-8.9328126528905871E-3</v>
      </c>
      <c r="P965" s="12">
        <f t="shared" ref="P965:P1028" si="166">(C965/C964)-1</f>
        <v>-8.2597173144876024E-3</v>
      </c>
      <c r="Q965" s="12">
        <f t="shared" ref="Q965:Q1028" si="167">(D965/D964)-1</f>
        <v>-6.3384209725673157E-3</v>
      </c>
      <c r="R965" s="12">
        <f t="shared" ref="R965:R1028" si="168">(E965/E964)-1</f>
        <v>-2.0252746734568672E-2</v>
      </c>
      <c r="S965" s="12">
        <f t="shared" ref="S965:S1028" si="169">(F965/F964)-1</f>
        <v>1.1244312972475967E-3</v>
      </c>
      <c r="T965" s="12">
        <f t="shared" ref="T965:T1028" si="170">(G965/G964)-1</f>
        <v>5.699064610047655E-3</v>
      </c>
      <c r="U965" s="12">
        <f t="shared" ref="U965:U1028" si="171">(H965/H964)-1</f>
        <v>-9.6942580164049996E-4</v>
      </c>
      <c r="V965" s="12">
        <f t="shared" ref="V965:V1028" si="172">(I965/I964)-1</f>
        <v>5.9277304100688877E-3</v>
      </c>
      <c r="W965" s="12">
        <f t="shared" ref="W965:W1028" si="173">(J965/J964)-1</f>
        <v>-3.8632301216630083E-3</v>
      </c>
      <c r="X965" s="12">
        <f t="shared" ref="X965:X1028" si="174">(K965/K964)-1</f>
        <v>4.5188729399256999E-3</v>
      </c>
      <c r="Y965" s="12">
        <f t="shared" ref="Y965:Y1028" si="175">(L965/L964)-1</f>
        <v>-1.7785812170161286E-3</v>
      </c>
    </row>
    <row r="966" spans="1:25" x14ac:dyDescent="0.35">
      <c r="A966" s="6">
        <v>45527</v>
      </c>
      <c r="B966" s="8">
        <v>5634.61</v>
      </c>
      <c r="C966" s="2">
        <v>226.84</v>
      </c>
      <c r="D966" s="2">
        <v>196.1</v>
      </c>
      <c r="E966" s="2">
        <v>416.79</v>
      </c>
      <c r="F966" s="2">
        <v>584.51</v>
      </c>
      <c r="G966" s="2">
        <v>164.13</v>
      </c>
      <c r="H966" s="2">
        <v>267.44</v>
      </c>
      <c r="I966" s="2">
        <v>251.3</v>
      </c>
      <c r="J966" s="2">
        <v>174.96</v>
      </c>
      <c r="K966" s="2">
        <v>75.7</v>
      </c>
      <c r="L966" s="2">
        <v>348.41</v>
      </c>
      <c r="M966" s="64" t="s">
        <v>77</v>
      </c>
      <c r="N966" s="1"/>
      <c r="O966" s="12">
        <f t="shared" si="165"/>
        <v>1.1483420217425433E-2</v>
      </c>
      <c r="P966" s="12">
        <f t="shared" si="166"/>
        <v>1.0288157484523275E-2</v>
      </c>
      <c r="Q966" s="12">
        <f t="shared" si="167"/>
        <v>7.1443151663608262E-4</v>
      </c>
      <c r="R966" s="12">
        <f t="shared" si="168"/>
        <v>2.9839971122609388E-3</v>
      </c>
      <c r="S966" s="12">
        <f t="shared" si="169"/>
        <v>1.0004838263754534E-2</v>
      </c>
      <c r="T966" s="12">
        <f t="shared" si="170"/>
        <v>1.0963966738527953E-2</v>
      </c>
      <c r="U966" s="12">
        <f t="shared" si="171"/>
        <v>-1.8660894230051461E-3</v>
      </c>
      <c r="V966" s="12">
        <f t="shared" si="172"/>
        <v>1.4288020665159884E-2</v>
      </c>
      <c r="W966" s="12">
        <f t="shared" si="173"/>
        <v>1.2734429266033853E-2</v>
      </c>
      <c r="X966" s="12">
        <f t="shared" si="174"/>
        <v>1.587721619476179E-3</v>
      </c>
      <c r="Y966" s="12">
        <f t="shared" si="175"/>
        <v>1.7671456945904884E-2</v>
      </c>
    </row>
    <row r="967" spans="1:25" x14ac:dyDescent="0.35">
      <c r="A967" s="6">
        <v>45530</v>
      </c>
      <c r="B967" s="8">
        <v>5616.84</v>
      </c>
      <c r="C967" s="2">
        <v>227.18</v>
      </c>
      <c r="D967" s="2">
        <v>197.98</v>
      </c>
      <c r="E967" s="2">
        <v>413.49</v>
      </c>
      <c r="F967" s="2">
        <v>587.13</v>
      </c>
      <c r="G967" s="2">
        <v>164.61</v>
      </c>
      <c r="H967" s="2">
        <v>268.20999999999998</v>
      </c>
      <c r="I967" s="2">
        <v>253.88</v>
      </c>
      <c r="J967" s="2">
        <v>173.48</v>
      </c>
      <c r="K967" s="2">
        <v>76.03</v>
      </c>
      <c r="L967" s="2">
        <v>351.16</v>
      </c>
      <c r="M967" s="64">
        <v>11.09</v>
      </c>
      <c r="N967" s="1"/>
      <c r="O967" s="12">
        <f t="shared" si="165"/>
        <v>-3.1537231503155905E-3</v>
      </c>
      <c r="P967" s="12">
        <f t="shared" si="166"/>
        <v>1.4988538176687882E-3</v>
      </c>
      <c r="Q967" s="12">
        <f t="shared" si="167"/>
        <v>9.5869454360020256E-3</v>
      </c>
      <c r="R967" s="12">
        <f t="shared" si="168"/>
        <v>-7.9176563737134442E-3</v>
      </c>
      <c r="S967" s="12">
        <f t="shared" si="169"/>
        <v>4.482386956596196E-3</v>
      </c>
      <c r="T967" s="12">
        <f t="shared" si="170"/>
        <v>2.9245110583075995E-3</v>
      </c>
      <c r="U967" s="12">
        <f t="shared" si="171"/>
        <v>2.8791504636553888E-3</v>
      </c>
      <c r="V967" s="12">
        <f t="shared" si="172"/>
        <v>1.0266613609231978E-2</v>
      </c>
      <c r="W967" s="12">
        <f t="shared" si="173"/>
        <v>-8.4590763603110686E-3</v>
      </c>
      <c r="X967" s="12">
        <f t="shared" si="174"/>
        <v>4.3593130779391309E-3</v>
      </c>
      <c r="Y967" s="12">
        <f t="shared" si="175"/>
        <v>7.8929996268763958E-3</v>
      </c>
    </row>
    <row r="968" spans="1:25" x14ac:dyDescent="0.35">
      <c r="A968" s="6">
        <v>45531</v>
      </c>
      <c r="B968" s="8">
        <v>5625.8</v>
      </c>
      <c r="C968" s="2">
        <v>228.03</v>
      </c>
      <c r="D968" s="2">
        <v>198.73</v>
      </c>
      <c r="E968" s="2">
        <v>413.84</v>
      </c>
      <c r="F968" s="2">
        <v>587.35</v>
      </c>
      <c r="G968" s="2">
        <v>162.94999999999999</v>
      </c>
      <c r="H968" s="2">
        <v>270.72000000000003</v>
      </c>
      <c r="I968" s="2">
        <v>255.03</v>
      </c>
      <c r="J968" s="2">
        <v>173.05</v>
      </c>
      <c r="K968" s="2">
        <v>76.13</v>
      </c>
      <c r="L968" s="2">
        <v>351.12</v>
      </c>
      <c r="M968" s="64" t="s">
        <v>77</v>
      </c>
      <c r="N968" s="1"/>
      <c r="O968" s="12">
        <f t="shared" si="165"/>
        <v>1.5952029967027936E-3</v>
      </c>
      <c r="P968" s="12">
        <f t="shared" si="166"/>
        <v>3.7415265428295541E-3</v>
      </c>
      <c r="Q968" s="12">
        <f t="shared" si="167"/>
        <v>3.7882614405495563E-3</v>
      </c>
      <c r="R968" s="12">
        <f t="shared" si="168"/>
        <v>8.4645336041977437E-4</v>
      </c>
      <c r="S968" s="12">
        <f t="shared" si="169"/>
        <v>3.7470406894568598E-4</v>
      </c>
      <c r="T968" s="12">
        <f t="shared" si="170"/>
        <v>-1.0084442014458572E-2</v>
      </c>
      <c r="U968" s="12">
        <f t="shared" si="171"/>
        <v>9.35833861526425E-3</v>
      </c>
      <c r="V968" s="12">
        <f t="shared" si="172"/>
        <v>4.5296990704271067E-3</v>
      </c>
      <c r="W968" s="12">
        <f t="shared" si="173"/>
        <v>-2.4786718930134288E-3</v>
      </c>
      <c r="X968" s="12">
        <f t="shared" si="174"/>
        <v>1.3152702880441236E-3</v>
      </c>
      <c r="Y968" s="12">
        <f t="shared" si="175"/>
        <v>-1.139081899989014E-4</v>
      </c>
    </row>
    <row r="969" spans="1:25" x14ac:dyDescent="0.35">
      <c r="A969" s="6">
        <v>45532</v>
      </c>
      <c r="B969" s="8">
        <v>5592.18</v>
      </c>
      <c r="C969" s="2">
        <v>226.49</v>
      </c>
      <c r="D969" s="2">
        <v>198.46</v>
      </c>
      <c r="E969" s="2">
        <v>410.6</v>
      </c>
      <c r="F969" s="2">
        <v>588.54</v>
      </c>
      <c r="G969" s="2">
        <v>163.92</v>
      </c>
      <c r="H969" s="2">
        <v>269.19</v>
      </c>
      <c r="I969" s="2">
        <v>257.08999999999997</v>
      </c>
      <c r="J969" s="2">
        <v>170.71</v>
      </c>
      <c r="K969" s="2">
        <v>76.08</v>
      </c>
      <c r="L969" s="2">
        <v>348.2</v>
      </c>
      <c r="M969" s="64" t="s">
        <v>77</v>
      </c>
      <c r="N969" s="1"/>
      <c r="O969" s="12">
        <f t="shared" si="165"/>
        <v>-5.9760389633474187E-3</v>
      </c>
      <c r="P969" s="12">
        <f t="shared" si="166"/>
        <v>-6.7534973468402759E-3</v>
      </c>
      <c r="Q969" s="12">
        <f t="shared" si="167"/>
        <v>-1.3586272832485369E-3</v>
      </c>
      <c r="R969" s="12">
        <f t="shared" si="168"/>
        <v>-7.8291127005605254E-3</v>
      </c>
      <c r="S969" s="12">
        <f t="shared" si="169"/>
        <v>2.0260492040520273E-3</v>
      </c>
      <c r="T969" s="12">
        <f t="shared" si="170"/>
        <v>5.9527462411783638E-3</v>
      </c>
      <c r="U969" s="12">
        <f t="shared" si="171"/>
        <v>-5.6515957446809928E-3</v>
      </c>
      <c r="V969" s="12">
        <f t="shared" si="172"/>
        <v>8.0774810806569786E-3</v>
      </c>
      <c r="W969" s="12">
        <f t="shared" si="173"/>
        <v>-1.3522103438312616E-2</v>
      </c>
      <c r="X969" s="12">
        <f t="shared" si="174"/>
        <v>-6.5677131222907636E-4</v>
      </c>
      <c r="Y969" s="12">
        <f t="shared" si="175"/>
        <v>-8.3162451583504993E-3</v>
      </c>
    </row>
    <row r="970" spans="1:25" x14ac:dyDescent="0.35">
      <c r="A970" s="6">
        <v>45533</v>
      </c>
      <c r="B970" s="8">
        <v>5591.96</v>
      </c>
      <c r="C970" s="2">
        <v>229.79</v>
      </c>
      <c r="D970" s="2">
        <v>198.9</v>
      </c>
      <c r="E970" s="2">
        <v>413.12</v>
      </c>
      <c r="F970" s="2">
        <v>591.57000000000005</v>
      </c>
      <c r="G970" s="2">
        <v>164.23</v>
      </c>
      <c r="H970" s="2">
        <v>274.32</v>
      </c>
      <c r="I970" s="2">
        <v>259.83999999999997</v>
      </c>
      <c r="J970" s="2">
        <v>172.26</v>
      </c>
      <c r="K970" s="2">
        <v>76.42</v>
      </c>
      <c r="L970" s="2">
        <v>351.64</v>
      </c>
      <c r="M970" s="64" t="s">
        <v>77</v>
      </c>
      <c r="N970" s="1"/>
      <c r="O970" s="12">
        <f t="shared" si="165"/>
        <v>-3.9340650694441592E-5</v>
      </c>
      <c r="P970" s="12">
        <f t="shared" si="166"/>
        <v>1.4570179698882857E-2</v>
      </c>
      <c r="Q970" s="12">
        <f t="shared" si="167"/>
        <v>2.2170714501663635E-3</v>
      </c>
      <c r="R970" s="12">
        <f t="shared" si="168"/>
        <v>6.1373599610325957E-3</v>
      </c>
      <c r="S970" s="12">
        <f t="shared" si="169"/>
        <v>5.148333163421448E-3</v>
      </c>
      <c r="T970" s="12">
        <f t="shared" si="170"/>
        <v>1.8911664226453073E-3</v>
      </c>
      <c r="U970" s="12">
        <f t="shared" si="171"/>
        <v>1.9057171514543558E-2</v>
      </c>
      <c r="V970" s="12">
        <f t="shared" si="172"/>
        <v>1.0696643198879752E-2</v>
      </c>
      <c r="W970" s="12">
        <f t="shared" si="173"/>
        <v>9.0797258508581447E-3</v>
      </c>
      <c r="X970" s="12">
        <f t="shared" si="174"/>
        <v>4.4689800210304664E-3</v>
      </c>
      <c r="Y970" s="12">
        <f t="shared" si="175"/>
        <v>9.8793796668581457E-3</v>
      </c>
    </row>
    <row r="971" spans="1:25" x14ac:dyDescent="0.35">
      <c r="A971" s="6">
        <v>45534</v>
      </c>
      <c r="B971" s="8">
        <v>5648.4</v>
      </c>
      <c r="C971" s="2">
        <v>229</v>
      </c>
      <c r="D971" s="2">
        <v>202.13</v>
      </c>
      <c r="E971" s="2">
        <v>417.14</v>
      </c>
      <c r="F971" s="2">
        <v>590.20000000000005</v>
      </c>
      <c r="G971" s="2">
        <v>165.86</v>
      </c>
      <c r="H971" s="2">
        <v>276.37</v>
      </c>
      <c r="I971" s="2">
        <v>258.64999999999998</v>
      </c>
      <c r="J971" s="2">
        <v>173.74</v>
      </c>
      <c r="K971" s="2">
        <v>77.23</v>
      </c>
      <c r="L971" s="2">
        <v>356.1</v>
      </c>
      <c r="M971" s="64">
        <v>11.26</v>
      </c>
      <c r="N971" s="1"/>
      <c r="O971" s="12">
        <f t="shared" si="165"/>
        <v>1.0093062182132906E-2</v>
      </c>
      <c r="P971" s="12">
        <f t="shared" si="166"/>
        <v>-3.4379215805735441E-3</v>
      </c>
      <c r="Q971" s="12">
        <f t="shared" si="167"/>
        <v>1.6239316239316182E-2</v>
      </c>
      <c r="R971" s="12">
        <f t="shared" si="168"/>
        <v>9.7308288148720834E-3</v>
      </c>
      <c r="S971" s="12">
        <f t="shared" si="169"/>
        <v>-2.3158713254559649E-3</v>
      </c>
      <c r="T971" s="12">
        <f t="shared" si="170"/>
        <v>9.9251050356208292E-3</v>
      </c>
      <c r="U971" s="12">
        <f t="shared" si="171"/>
        <v>7.4730242053078211E-3</v>
      </c>
      <c r="V971" s="12">
        <f t="shared" si="172"/>
        <v>-4.5797413793103869E-3</v>
      </c>
      <c r="W971" s="12">
        <f t="shared" si="173"/>
        <v>8.5916637640777171E-3</v>
      </c>
      <c r="X971" s="12">
        <f t="shared" si="174"/>
        <v>1.0599319549856157E-2</v>
      </c>
      <c r="Y971" s="12">
        <f t="shared" si="175"/>
        <v>1.2683426231373085E-2</v>
      </c>
    </row>
    <row r="972" spans="1:25" x14ac:dyDescent="0.35">
      <c r="A972" s="6">
        <v>45538</v>
      </c>
      <c r="B972" s="8">
        <v>5528.93</v>
      </c>
      <c r="C972" s="2">
        <v>222.77</v>
      </c>
      <c r="D972" s="2">
        <v>201.28</v>
      </c>
      <c r="E972" s="2">
        <v>409.44</v>
      </c>
      <c r="F972" s="2">
        <v>598.67999999999995</v>
      </c>
      <c r="G972" s="2">
        <v>167.16</v>
      </c>
      <c r="H972" s="2">
        <v>278.54000000000002</v>
      </c>
      <c r="I972" s="2">
        <v>254.31</v>
      </c>
      <c r="J972" s="2">
        <v>161.02000000000001</v>
      </c>
      <c r="K972" s="2">
        <v>77.17</v>
      </c>
      <c r="L972" s="2">
        <v>340.24</v>
      </c>
      <c r="M972" s="64" t="s">
        <v>77</v>
      </c>
      <c r="N972" s="1"/>
      <c r="O972" s="12">
        <f t="shared" si="165"/>
        <v>-2.1151122441753323E-2</v>
      </c>
      <c r="P972" s="12">
        <f t="shared" si="166"/>
        <v>-2.7205240174672407E-2</v>
      </c>
      <c r="Q972" s="12">
        <f t="shared" si="167"/>
        <v>-4.20521446593769E-3</v>
      </c>
      <c r="R972" s="12">
        <f t="shared" si="168"/>
        <v>-1.8459030541305044E-2</v>
      </c>
      <c r="S972" s="12">
        <f t="shared" si="169"/>
        <v>1.4368010843781587E-2</v>
      </c>
      <c r="T972" s="12">
        <f t="shared" si="170"/>
        <v>7.8379356083442264E-3</v>
      </c>
      <c r="U972" s="12">
        <f t="shared" si="171"/>
        <v>7.8517928863479636E-3</v>
      </c>
      <c r="V972" s="12">
        <f t="shared" si="172"/>
        <v>-1.6779431664411315E-2</v>
      </c>
      <c r="W972" s="12">
        <f t="shared" si="173"/>
        <v>-7.321284678254858E-2</v>
      </c>
      <c r="X972" s="12">
        <f t="shared" si="174"/>
        <v>-7.7690016832843156E-4</v>
      </c>
      <c r="Y972" s="12">
        <f t="shared" si="175"/>
        <v>-4.453805110923903E-2</v>
      </c>
    </row>
    <row r="973" spans="1:25" x14ac:dyDescent="0.35">
      <c r="A973" s="6">
        <v>45539</v>
      </c>
      <c r="B973" s="8">
        <v>5520.07</v>
      </c>
      <c r="C973" s="2">
        <v>220.85</v>
      </c>
      <c r="D973" s="2">
        <v>204.11</v>
      </c>
      <c r="E973" s="2">
        <v>408.9</v>
      </c>
      <c r="F973" s="2">
        <v>604.17999999999995</v>
      </c>
      <c r="G973" s="2">
        <v>167.36</v>
      </c>
      <c r="H973" s="2">
        <v>280.49</v>
      </c>
      <c r="I973" s="2">
        <v>251.74</v>
      </c>
      <c r="J973" s="2">
        <v>163.22</v>
      </c>
      <c r="K973" s="2">
        <v>77.239999999999995</v>
      </c>
      <c r="L973" s="2">
        <v>336.75</v>
      </c>
      <c r="M973" s="64" t="s">
        <v>77</v>
      </c>
      <c r="N973" s="1"/>
      <c r="O973" s="12">
        <f t="shared" si="165"/>
        <v>-1.6024800458679378E-3</v>
      </c>
      <c r="P973" s="12">
        <f t="shared" si="166"/>
        <v>-8.6187547694932531E-3</v>
      </c>
      <c r="Q973" s="12">
        <f t="shared" si="167"/>
        <v>1.4060015898251343E-2</v>
      </c>
      <c r="R973" s="12">
        <f t="shared" si="168"/>
        <v>-1.3188745603751606E-3</v>
      </c>
      <c r="S973" s="12">
        <f t="shared" si="169"/>
        <v>9.1868777978219018E-3</v>
      </c>
      <c r="T973" s="12">
        <f t="shared" si="170"/>
        <v>1.1964584828907388E-3</v>
      </c>
      <c r="U973" s="12">
        <f t="shared" si="171"/>
        <v>7.0007898326991391E-3</v>
      </c>
      <c r="V973" s="12">
        <f t="shared" si="172"/>
        <v>-1.0105776414612078E-2</v>
      </c>
      <c r="W973" s="12">
        <f t="shared" si="173"/>
        <v>1.3662899018755281E-2</v>
      </c>
      <c r="X973" s="12">
        <f t="shared" si="174"/>
        <v>9.0708824672791621E-4</v>
      </c>
      <c r="Y973" s="12">
        <f t="shared" si="175"/>
        <v>-1.0257465318598613E-2</v>
      </c>
    </row>
    <row r="974" spans="1:25" x14ac:dyDescent="0.35">
      <c r="A974" s="6">
        <v>45540</v>
      </c>
      <c r="B974" s="8">
        <v>5503.41</v>
      </c>
      <c r="C974" s="2">
        <v>222.38</v>
      </c>
      <c r="D974" s="2">
        <v>202.59</v>
      </c>
      <c r="E974" s="2">
        <v>408.39</v>
      </c>
      <c r="F974" s="2">
        <v>595.49</v>
      </c>
      <c r="G974" s="2">
        <v>164.99</v>
      </c>
      <c r="H974" s="2">
        <v>278.62</v>
      </c>
      <c r="I974" s="2">
        <v>251.84</v>
      </c>
      <c r="J974" s="2">
        <v>162.15</v>
      </c>
      <c r="K974" s="2">
        <v>76.959999999999994</v>
      </c>
      <c r="L974" s="2">
        <v>333.56</v>
      </c>
      <c r="M974" s="64" t="s">
        <v>77</v>
      </c>
      <c r="N974" s="1"/>
      <c r="O974" s="12">
        <f t="shared" si="165"/>
        <v>-3.0180776693048417E-3</v>
      </c>
      <c r="P974" s="12">
        <f t="shared" si="166"/>
        <v>6.9277790355444235E-3</v>
      </c>
      <c r="Q974" s="12">
        <f t="shared" si="167"/>
        <v>-7.4469648718828996E-3</v>
      </c>
      <c r="R974" s="12">
        <f t="shared" si="168"/>
        <v>-1.2472487160675172E-3</v>
      </c>
      <c r="S974" s="12">
        <f t="shared" si="169"/>
        <v>-1.4383130855043058E-2</v>
      </c>
      <c r="T974" s="12">
        <f t="shared" si="170"/>
        <v>-1.4161089866156829E-2</v>
      </c>
      <c r="U974" s="12">
        <f t="shared" si="171"/>
        <v>-6.6669043459659516E-3</v>
      </c>
      <c r="V974" s="12">
        <f t="shared" si="172"/>
        <v>3.9723524271062516E-4</v>
      </c>
      <c r="W974" s="12">
        <f t="shared" si="173"/>
        <v>-6.5555691704447527E-3</v>
      </c>
      <c r="X974" s="12">
        <f t="shared" si="174"/>
        <v>-3.6250647332988217E-3</v>
      </c>
      <c r="Y974" s="12">
        <f t="shared" si="175"/>
        <v>-9.472902746844869E-3</v>
      </c>
    </row>
    <row r="975" spans="1:25" x14ac:dyDescent="0.35">
      <c r="A975" s="6">
        <v>45541</v>
      </c>
      <c r="B975" s="8">
        <v>5408.42</v>
      </c>
      <c r="C975" s="2">
        <v>220.82</v>
      </c>
      <c r="D975" s="2">
        <v>200.74</v>
      </c>
      <c r="E975" s="2">
        <v>401.7</v>
      </c>
      <c r="F975" s="2">
        <v>596.88</v>
      </c>
      <c r="G975" s="2">
        <v>164.38</v>
      </c>
      <c r="H975" s="2">
        <v>279.37</v>
      </c>
      <c r="I975" s="2">
        <v>244.06</v>
      </c>
      <c r="J975" s="2">
        <v>157.62</v>
      </c>
      <c r="K975" s="2">
        <v>76.64</v>
      </c>
      <c r="L975" s="2">
        <v>329.36</v>
      </c>
      <c r="M975" s="64">
        <v>11.3</v>
      </c>
      <c r="N975" s="1"/>
      <c r="O975" s="12">
        <f t="shared" si="165"/>
        <v>-1.726020776209658E-2</v>
      </c>
      <c r="P975" s="12">
        <f t="shared" si="166"/>
        <v>-7.0150193362712443E-3</v>
      </c>
      <c r="Q975" s="12">
        <f t="shared" si="167"/>
        <v>-9.1317439162841296E-3</v>
      </c>
      <c r="R975" s="12">
        <f t="shared" si="168"/>
        <v>-1.6381400132226553E-2</v>
      </c>
      <c r="S975" s="12">
        <f t="shared" si="169"/>
        <v>2.3342121614131628E-3</v>
      </c>
      <c r="T975" s="12">
        <f t="shared" si="170"/>
        <v>-3.697193769319429E-3</v>
      </c>
      <c r="U975" s="12">
        <f t="shared" si="171"/>
        <v>2.6918383461345119E-3</v>
      </c>
      <c r="V975" s="12">
        <f t="shared" si="172"/>
        <v>-3.089263024142308E-2</v>
      </c>
      <c r="W975" s="12">
        <f t="shared" si="173"/>
        <v>-2.7937095282146163E-2</v>
      </c>
      <c r="X975" s="12">
        <f t="shared" si="174"/>
        <v>-4.1580041580040472E-3</v>
      </c>
      <c r="Y975" s="12">
        <f t="shared" si="175"/>
        <v>-1.2591437822280782E-2</v>
      </c>
    </row>
    <row r="976" spans="1:25" x14ac:dyDescent="0.35">
      <c r="A976" s="6">
        <v>45544</v>
      </c>
      <c r="B976" s="8">
        <v>5471.05</v>
      </c>
      <c r="C976" s="2">
        <v>220.91</v>
      </c>
      <c r="D976" s="2">
        <v>203.53</v>
      </c>
      <c r="E976" s="2">
        <v>405.72</v>
      </c>
      <c r="F976" s="2">
        <v>594.1</v>
      </c>
      <c r="G976" s="2">
        <v>166.61</v>
      </c>
      <c r="H976" s="2">
        <v>285.61</v>
      </c>
      <c r="I976" s="2">
        <v>250.92</v>
      </c>
      <c r="J976" s="2">
        <v>162.91</v>
      </c>
      <c r="K976" s="2">
        <v>77.34</v>
      </c>
      <c r="L976" s="2">
        <v>334.04</v>
      </c>
      <c r="M976" s="64" t="s">
        <v>77</v>
      </c>
      <c r="N976" s="1"/>
      <c r="O976" s="12">
        <f t="shared" si="165"/>
        <v>1.1580091782812829E-2</v>
      </c>
      <c r="P976" s="12">
        <f t="shared" si="166"/>
        <v>4.0757177791861388E-4</v>
      </c>
      <c r="Q976" s="12">
        <f t="shared" si="167"/>
        <v>1.3898575271495517E-2</v>
      </c>
      <c r="R976" s="12">
        <f t="shared" si="168"/>
        <v>1.0007468259895624E-2</v>
      </c>
      <c r="S976" s="12">
        <f t="shared" si="169"/>
        <v>-4.6575526068891593E-3</v>
      </c>
      <c r="T976" s="12">
        <f t="shared" si="170"/>
        <v>1.3566127266090966E-2</v>
      </c>
      <c r="U976" s="12">
        <f t="shared" si="171"/>
        <v>2.233597021870648E-2</v>
      </c>
      <c r="V976" s="12">
        <f t="shared" si="172"/>
        <v>2.8107842333852329E-2</v>
      </c>
      <c r="W976" s="12">
        <f t="shared" si="173"/>
        <v>3.3561730744829266E-2</v>
      </c>
      <c r="X976" s="12">
        <f t="shared" si="174"/>
        <v>9.1336116910230025E-3</v>
      </c>
      <c r="Y976" s="12">
        <f t="shared" si="175"/>
        <v>1.4209375759047793E-2</v>
      </c>
    </row>
    <row r="977" spans="1:25" x14ac:dyDescent="0.35">
      <c r="A977" s="6">
        <v>45545</v>
      </c>
      <c r="B977" s="8">
        <v>5495.52</v>
      </c>
      <c r="C977" s="2">
        <v>220.11</v>
      </c>
      <c r="D977" s="2">
        <v>205.32</v>
      </c>
      <c r="E977" s="2">
        <v>414.2</v>
      </c>
      <c r="F977" s="2">
        <v>599.03</v>
      </c>
      <c r="G977" s="2">
        <v>167.38</v>
      </c>
      <c r="H977" s="2">
        <v>285.33999999999997</v>
      </c>
      <c r="I977" s="2">
        <v>245.42</v>
      </c>
      <c r="J977" s="2">
        <v>160.07</v>
      </c>
      <c r="K977" s="2">
        <v>78.81</v>
      </c>
      <c r="L977" s="2">
        <v>334.16</v>
      </c>
      <c r="M977" s="64" t="s">
        <v>77</v>
      </c>
      <c r="N977" s="1"/>
      <c r="O977" s="12">
        <f t="shared" si="165"/>
        <v>4.4726332239699573E-3</v>
      </c>
      <c r="P977" s="12">
        <f t="shared" si="166"/>
        <v>-3.621384274138717E-3</v>
      </c>
      <c r="Q977" s="12">
        <f t="shared" si="167"/>
        <v>8.794772269444362E-3</v>
      </c>
      <c r="R977" s="12">
        <f t="shared" si="168"/>
        <v>2.0901114068815785E-2</v>
      </c>
      <c r="S977" s="12">
        <f t="shared" si="169"/>
        <v>8.2982662851371902E-3</v>
      </c>
      <c r="T977" s="12">
        <f t="shared" si="170"/>
        <v>4.6215713342534492E-3</v>
      </c>
      <c r="U977" s="12">
        <f t="shared" si="171"/>
        <v>-9.4534505094368004E-4</v>
      </c>
      <c r="V977" s="12">
        <f t="shared" si="172"/>
        <v>-2.1919336840427239E-2</v>
      </c>
      <c r="W977" s="12">
        <f t="shared" si="173"/>
        <v>-1.7432938432263234E-2</v>
      </c>
      <c r="X977" s="12">
        <f t="shared" si="174"/>
        <v>1.9006982156710706E-2</v>
      </c>
      <c r="Y977" s="12">
        <f t="shared" si="175"/>
        <v>3.5923841456120265E-4</v>
      </c>
    </row>
    <row r="978" spans="1:25" x14ac:dyDescent="0.35">
      <c r="A978" s="6">
        <v>45546</v>
      </c>
      <c r="B978" s="8">
        <v>5554.13</v>
      </c>
      <c r="C978" s="2">
        <v>222.66</v>
      </c>
      <c r="D978" s="2">
        <v>209.89</v>
      </c>
      <c r="E978" s="2">
        <v>423.04</v>
      </c>
      <c r="F978" s="2">
        <v>589.75</v>
      </c>
      <c r="G978" s="2">
        <v>164.82</v>
      </c>
      <c r="H978" s="2">
        <v>283.95999999999998</v>
      </c>
      <c r="I978" s="2">
        <v>254.18</v>
      </c>
      <c r="J978" s="2">
        <v>161.33000000000001</v>
      </c>
      <c r="K978" s="2">
        <v>78.84</v>
      </c>
      <c r="L978" s="2">
        <v>335</v>
      </c>
      <c r="M978" s="64" t="s">
        <v>77</v>
      </c>
      <c r="N978" s="1"/>
      <c r="O978" s="12">
        <f t="shared" si="165"/>
        <v>1.0665050805019227E-2</v>
      </c>
      <c r="P978" s="12">
        <f t="shared" si="166"/>
        <v>1.1585116532642603E-2</v>
      </c>
      <c r="Q978" s="12">
        <f t="shared" si="167"/>
        <v>2.2257938827196622E-2</v>
      </c>
      <c r="R978" s="12">
        <f t="shared" si="168"/>
        <v>2.134234669241919E-2</v>
      </c>
      <c r="S978" s="12">
        <f t="shared" si="169"/>
        <v>-1.5491711600420621E-2</v>
      </c>
      <c r="T978" s="12">
        <f t="shared" si="170"/>
        <v>-1.5294539371490057E-2</v>
      </c>
      <c r="U978" s="12">
        <f t="shared" si="171"/>
        <v>-4.8363355996354773E-3</v>
      </c>
      <c r="V978" s="12">
        <f t="shared" si="172"/>
        <v>3.5693912476570944E-2</v>
      </c>
      <c r="W978" s="12">
        <f t="shared" si="173"/>
        <v>7.8715561941651302E-3</v>
      </c>
      <c r="X978" s="12">
        <f t="shared" si="174"/>
        <v>3.806623524933439E-4</v>
      </c>
      <c r="Y978" s="12">
        <f t="shared" si="175"/>
        <v>2.51376586066554E-3</v>
      </c>
    </row>
    <row r="979" spans="1:25" x14ac:dyDescent="0.35">
      <c r="A979" s="6">
        <v>45547</v>
      </c>
      <c r="B979" s="8">
        <v>5595.76</v>
      </c>
      <c r="C979" s="2">
        <v>222.77</v>
      </c>
      <c r="D979" s="2">
        <v>211.61</v>
      </c>
      <c r="E979" s="2">
        <v>427</v>
      </c>
      <c r="F979" s="2">
        <v>588.41999999999996</v>
      </c>
      <c r="G979" s="2">
        <v>164.64</v>
      </c>
      <c r="H979" s="2">
        <v>285.37</v>
      </c>
      <c r="I979" s="2">
        <v>255.15</v>
      </c>
      <c r="J979" s="2">
        <v>162.77000000000001</v>
      </c>
      <c r="K979" s="2">
        <v>79.66</v>
      </c>
      <c r="L979" s="2">
        <v>339.58</v>
      </c>
      <c r="M979" s="64" t="s">
        <v>77</v>
      </c>
      <c r="N979" s="1"/>
      <c r="O979" s="12">
        <f t="shared" si="165"/>
        <v>7.4953232999588337E-3</v>
      </c>
      <c r="P979" s="12">
        <f t="shared" si="166"/>
        <v>4.9402676726861827E-4</v>
      </c>
      <c r="Q979" s="12">
        <f t="shared" si="167"/>
        <v>8.1947686883607762E-3</v>
      </c>
      <c r="R979" s="12">
        <f t="shared" si="168"/>
        <v>9.3608169440242417E-3</v>
      </c>
      <c r="S979" s="12">
        <f t="shared" si="169"/>
        <v>-2.2551928783383079E-3</v>
      </c>
      <c r="T979" s="12">
        <f t="shared" si="170"/>
        <v>-1.0921004732435957E-3</v>
      </c>
      <c r="U979" s="12">
        <f t="shared" si="171"/>
        <v>4.965488096915216E-3</v>
      </c>
      <c r="V979" s="12">
        <f t="shared" si="172"/>
        <v>3.8161932488787187E-3</v>
      </c>
      <c r="W979" s="12">
        <f t="shared" si="173"/>
        <v>8.925804252154057E-3</v>
      </c>
      <c r="X979" s="12">
        <f t="shared" si="174"/>
        <v>1.0400811770674645E-2</v>
      </c>
      <c r="Y979" s="12">
        <f t="shared" si="175"/>
        <v>1.3671641791044742E-2</v>
      </c>
    </row>
    <row r="980" spans="1:25" x14ac:dyDescent="0.35">
      <c r="A980" s="6">
        <v>45548</v>
      </c>
      <c r="B980" s="8">
        <v>5626.02</v>
      </c>
      <c r="C980" s="2">
        <v>222.5</v>
      </c>
      <c r="D980" s="2">
        <v>214.79</v>
      </c>
      <c r="E980" s="2">
        <v>430.59</v>
      </c>
      <c r="F980" s="2">
        <v>594.32000000000005</v>
      </c>
      <c r="G980" s="2">
        <v>165.52</v>
      </c>
      <c r="H980" s="2">
        <v>287.35000000000002</v>
      </c>
      <c r="I980" s="2">
        <v>259</v>
      </c>
      <c r="J980" s="2">
        <v>156.77000000000001</v>
      </c>
      <c r="K980" s="2">
        <v>80.599999999999994</v>
      </c>
      <c r="L980" s="2">
        <v>345.31</v>
      </c>
      <c r="M980" s="64">
        <v>11.28</v>
      </c>
      <c r="N980" s="1"/>
      <c r="O980" s="12">
        <f t="shared" si="165"/>
        <v>5.4076658041088965E-3</v>
      </c>
      <c r="P980" s="12">
        <f t="shared" si="166"/>
        <v>-1.2120123894600043E-3</v>
      </c>
      <c r="Q980" s="12">
        <f t="shared" si="167"/>
        <v>1.502764519635158E-2</v>
      </c>
      <c r="R980" s="12">
        <f t="shared" si="168"/>
        <v>8.4074941451990348E-3</v>
      </c>
      <c r="S980" s="12">
        <f t="shared" si="169"/>
        <v>1.002685156860772E-2</v>
      </c>
      <c r="T980" s="12">
        <f t="shared" si="170"/>
        <v>5.3449951409136887E-3</v>
      </c>
      <c r="U980" s="12">
        <f t="shared" si="171"/>
        <v>6.9383607246733536E-3</v>
      </c>
      <c r="V980" s="12">
        <f t="shared" si="172"/>
        <v>1.5089163237311354E-2</v>
      </c>
      <c r="W980" s="12">
        <f t="shared" si="173"/>
        <v>-3.686182957547457E-2</v>
      </c>
      <c r="X980" s="12">
        <f t="shared" si="174"/>
        <v>1.1800150640220997E-2</v>
      </c>
      <c r="Y980" s="12">
        <f t="shared" si="175"/>
        <v>1.6873785264149843E-2</v>
      </c>
    </row>
    <row r="981" spans="1:25" x14ac:dyDescent="0.35">
      <c r="A981" s="6">
        <v>45551</v>
      </c>
      <c r="B981" s="8">
        <v>5633.09</v>
      </c>
      <c r="C981" s="2">
        <v>216.32</v>
      </c>
      <c r="D981" s="2">
        <v>217.16</v>
      </c>
      <c r="E981" s="2">
        <v>431.34</v>
      </c>
      <c r="F981" s="2">
        <v>589.14</v>
      </c>
      <c r="G981" s="2">
        <v>166.99</v>
      </c>
      <c r="H981" s="2">
        <v>290.48</v>
      </c>
      <c r="I981" s="2">
        <v>261.08999999999997</v>
      </c>
      <c r="J981" s="2">
        <v>155.55000000000001</v>
      </c>
      <c r="K981" s="2">
        <v>80.56</v>
      </c>
      <c r="L981" s="2">
        <v>347.96</v>
      </c>
      <c r="M981" s="64" t="s">
        <v>77</v>
      </c>
      <c r="N981" s="1"/>
      <c r="O981" s="12">
        <f t="shared" si="165"/>
        <v>1.2566610143582846E-3</v>
      </c>
      <c r="P981" s="12">
        <f t="shared" si="166"/>
        <v>-2.7775280898876487E-2</v>
      </c>
      <c r="Q981" s="12">
        <f t="shared" si="167"/>
        <v>1.1034033241771102E-2</v>
      </c>
      <c r="R981" s="12">
        <f t="shared" si="168"/>
        <v>1.7417961401797744E-3</v>
      </c>
      <c r="S981" s="12">
        <f t="shared" si="169"/>
        <v>-8.7158433167318083E-3</v>
      </c>
      <c r="T981" s="12">
        <f t="shared" si="170"/>
        <v>8.8811019816337211E-3</v>
      </c>
      <c r="U981" s="12">
        <f t="shared" si="171"/>
        <v>1.0892639638071966E-2</v>
      </c>
      <c r="V981" s="12">
        <f t="shared" si="172"/>
        <v>8.0694980694979712E-3</v>
      </c>
      <c r="W981" s="12">
        <f t="shared" si="173"/>
        <v>-7.7821011673151474E-3</v>
      </c>
      <c r="X981" s="12">
        <f t="shared" si="174"/>
        <v>-4.9627791563267021E-4</v>
      </c>
      <c r="Y981" s="12">
        <f t="shared" si="175"/>
        <v>7.6742637050766227E-3</v>
      </c>
    </row>
    <row r="982" spans="1:25" x14ac:dyDescent="0.35">
      <c r="A982" s="6">
        <v>45552</v>
      </c>
      <c r="B982" s="8">
        <v>5634.58</v>
      </c>
      <c r="C982" s="2">
        <v>216.79</v>
      </c>
      <c r="D982" s="2">
        <v>214.13</v>
      </c>
      <c r="E982" s="2">
        <v>435.15</v>
      </c>
      <c r="F982" s="2">
        <v>577.96</v>
      </c>
      <c r="G982" s="2">
        <v>167.07</v>
      </c>
      <c r="H982" s="2">
        <v>291.56</v>
      </c>
      <c r="I982" s="2">
        <v>265.39999999999998</v>
      </c>
      <c r="J982" s="2">
        <v>156.38999999999999</v>
      </c>
      <c r="K982" s="2">
        <v>78.599999999999994</v>
      </c>
      <c r="L982" s="2">
        <v>353.69</v>
      </c>
      <c r="M982" s="64" t="s">
        <v>77</v>
      </c>
      <c r="N982" s="1"/>
      <c r="O982" s="12">
        <f t="shared" si="165"/>
        <v>2.6450846693371055E-4</v>
      </c>
      <c r="P982" s="12">
        <f t="shared" si="166"/>
        <v>2.1727071005916976E-3</v>
      </c>
      <c r="Q982" s="12">
        <f t="shared" si="167"/>
        <v>-1.3952845827960969E-2</v>
      </c>
      <c r="R982" s="12">
        <f t="shared" si="168"/>
        <v>8.8329392126860196E-3</v>
      </c>
      <c r="S982" s="12">
        <f t="shared" si="169"/>
        <v>-1.8976813660589897E-2</v>
      </c>
      <c r="T982" s="12">
        <f t="shared" si="170"/>
        <v>4.7907060302998516E-4</v>
      </c>
      <c r="U982" s="12">
        <f t="shared" si="171"/>
        <v>3.7179840264389696E-3</v>
      </c>
      <c r="V982" s="12">
        <f t="shared" si="172"/>
        <v>1.6507717645256381E-2</v>
      </c>
      <c r="W982" s="12">
        <f t="shared" si="173"/>
        <v>5.4001928640305952E-3</v>
      </c>
      <c r="X982" s="12">
        <f t="shared" si="174"/>
        <v>-2.432969215491565E-2</v>
      </c>
      <c r="Y982" s="12">
        <f t="shared" si="175"/>
        <v>1.6467410047131814E-2</v>
      </c>
    </row>
    <row r="983" spans="1:25" x14ac:dyDescent="0.35">
      <c r="A983" s="6">
        <v>45553</v>
      </c>
      <c r="B983" s="8">
        <v>5618.26</v>
      </c>
      <c r="C983" s="2">
        <v>220.69</v>
      </c>
      <c r="D983" s="2">
        <v>214.94</v>
      </c>
      <c r="E983" s="2">
        <v>430.81</v>
      </c>
      <c r="F983" s="2">
        <v>580.65</v>
      </c>
      <c r="G983" s="2">
        <v>166.15</v>
      </c>
      <c r="H983" s="2">
        <v>288.48</v>
      </c>
      <c r="I983" s="2">
        <v>262.18</v>
      </c>
      <c r="J983" s="2">
        <v>155.11000000000001</v>
      </c>
      <c r="K983" s="2">
        <v>79.03</v>
      </c>
      <c r="L983" s="2">
        <v>355.12</v>
      </c>
      <c r="M983" s="64" t="s">
        <v>77</v>
      </c>
      <c r="N983" s="1"/>
      <c r="O983" s="12">
        <f t="shared" si="165"/>
        <v>-2.8964004415590328E-3</v>
      </c>
      <c r="P983" s="12">
        <f t="shared" si="166"/>
        <v>1.798975967526184E-2</v>
      </c>
      <c r="Q983" s="12">
        <f t="shared" si="167"/>
        <v>3.7827487974595453E-3</v>
      </c>
      <c r="R983" s="12">
        <f t="shared" si="168"/>
        <v>-9.9735723313799651E-3</v>
      </c>
      <c r="S983" s="12">
        <f t="shared" si="169"/>
        <v>4.6543013357325247E-3</v>
      </c>
      <c r="T983" s="12">
        <f t="shared" si="170"/>
        <v>-5.5066738492846046E-3</v>
      </c>
      <c r="U983" s="12">
        <f t="shared" si="171"/>
        <v>-1.0563863355741443E-2</v>
      </c>
      <c r="V983" s="12">
        <f t="shared" si="172"/>
        <v>-1.2132629992464117E-2</v>
      </c>
      <c r="W983" s="12">
        <f t="shared" si="173"/>
        <v>-8.1846665387810269E-3</v>
      </c>
      <c r="X983" s="12">
        <f t="shared" si="174"/>
        <v>5.4707379134861789E-3</v>
      </c>
      <c r="Y983" s="12">
        <f t="shared" si="175"/>
        <v>4.0430885803952599E-3</v>
      </c>
    </row>
    <row r="984" spans="1:25" x14ac:dyDescent="0.35">
      <c r="A984" s="6">
        <v>45554</v>
      </c>
      <c r="B984" s="8">
        <v>5713.64</v>
      </c>
      <c r="C984" s="2">
        <v>228.87</v>
      </c>
      <c r="D984" s="2">
        <v>213.89</v>
      </c>
      <c r="E984" s="2">
        <v>438.69</v>
      </c>
      <c r="F984" s="2">
        <v>577.07000000000005</v>
      </c>
      <c r="G984" s="2">
        <v>164.82</v>
      </c>
      <c r="H984" s="2">
        <v>285.24</v>
      </c>
      <c r="I984" s="2">
        <v>268.75</v>
      </c>
      <c r="J984" s="2">
        <v>154.59</v>
      </c>
      <c r="K984" s="2">
        <v>78.040000000000006</v>
      </c>
      <c r="L984" s="2">
        <v>373.31</v>
      </c>
      <c r="M984" s="64" t="s">
        <v>77</v>
      </c>
      <c r="N984" s="1"/>
      <c r="O984" s="12">
        <f t="shared" si="165"/>
        <v>1.6976786407179478E-2</v>
      </c>
      <c r="P984" s="12">
        <f t="shared" si="166"/>
        <v>3.7065567085051487E-2</v>
      </c>
      <c r="Q984" s="12">
        <f t="shared" si="167"/>
        <v>-4.8850842095469194E-3</v>
      </c>
      <c r="R984" s="12">
        <f t="shared" si="168"/>
        <v>1.8291126018430415E-2</v>
      </c>
      <c r="S984" s="12">
        <f t="shared" si="169"/>
        <v>-6.1655041763539753E-3</v>
      </c>
      <c r="T984" s="12">
        <f t="shared" si="170"/>
        <v>-8.0048149262714752E-3</v>
      </c>
      <c r="U984" s="12">
        <f t="shared" si="171"/>
        <v>-1.1231281198003318E-2</v>
      </c>
      <c r="V984" s="12">
        <f t="shared" si="172"/>
        <v>2.5059119688763509E-2</v>
      </c>
      <c r="W984" s="12">
        <f t="shared" si="173"/>
        <v>-3.3524595448392036E-3</v>
      </c>
      <c r="X984" s="12">
        <f t="shared" si="174"/>
        <v>-1.2526888523345492E-2</v>
      </c>
      <c r="Y984" s="12">
        <f t="shared" si="175"/>
        <v>5.1222122099571887E-2</v>
      </c>
    </row>
    <row r="985" spans="1:25" x14ac:dyDescent="0.35">
      <c r="A985" s="6">
        <v>45555</v>
      </c>
      <c r="B985" s="8">
        <v>5702.55</v>
      </c>
      <c r="C985" s="2">
        <v>228.2</v>
      </c>
      <c r="D985" s="2">
        <v>217.7</v>
      </c>
      <c r="E985" s="2">
        <v>435.27</v>
      </c>
      <c r="F985" s="2">
        <v>575</v>
      </c>
      <c r="G985" s="2">
        <v>164.16</v>
      </c>
      <c r="H985" s="2">
        <v>284.77</v>
      </c>
      <c r="I985" s="2">
        <v>268.99</v>
      </c>
      <c r="J985" s="2">
        <v>153.29</v>
      </c>
      <c r="K985" s="2">
        <v>79.06</v>
      </c>
      <c r="L985" s="2">
        <v>368.82</v>
      </c>
      <c r="M985" s="64">
        <v>11.3</v>
      </c>
      <c r="N985" s="1"/>
      <c r="O985" s="12">
        <f t="shared" si="165"/>
        <v>-1.9409693295342478E-3</v>
      </c>
      <c r="P985" s="12">
        <f t="shared" si="166"/>
        <v>-2.9274260497226257E-3</v>
      </c>
      <c r="Q985" s="12">
        <f t="shared" si="167"/>
        <v>1.7812894478470342E-2</v>
      </c>
      <c r="R985" s="12">
        <f t="shared" si="168"/>
        <v>-7.795937906038497E-3</v>
      </c>
      <c r="S985" s="12">
        <f t="shared" si="169"/>
        <v>-3.5870864886410336E-3</v>
      </c>
      <c r="T985" s="12">
        <f t="shared" si="170"/>
        <v>-4.0043684018929993E-3</v>
      </c>
      <c r="U985" s="12">
        <f t="shared" si="171"/>
        <v>-1.6477352404993262E-3</v>
      </c>
      <c r="V985" s="12">
        <f t="shared" si="172"/>
        <v>8.930232558139739E-4</v>
      </c>
      <c r="W985" s="12">
        <f t="shared" si="173"/>
        <v>-8.4093408370529144E-3</v>
      </c>
      <c r="X985" s="12">
        <f t="shared" si="174"/>
        <v>1.3070220399794996E-2</v>
      </c>
      <c r="Y985" s="12">
        <f t="shared" si="175"/>
        <v>-1.2027537435375435E-2</v>
      </c>
    </row>
    <row r="986" spans="1:25" x14ac:dyDescent="0.35">
      <c r="A986" s="6">
        <v>45558</v>
      </c>
      <c r="B986" s="8">
        <v>5718.57</v>
      </c>
      <c r="C986" s="2">
        <v>226.47</v>
      </c>
      <c r="D986" s="2">
        <v>220.5</v>
      </c>
      <c r="E986" s="2">
        <v>433.51</v>
      </c>
      <c r="F986" s="2">
        <v>573.41</v>
      </c>
      <c r="G986" s="2">
        <v>163.22</v>
      </c>
      <c r="H986" s="2">
        <v>288.63</v>
      </c>
      <c r="I986" s="2">
        <v>267.3</v>
      </c>
      <c r="J986" s="2">
        <v>156.30000000000001</v>
      </c>
      <c r="K986" s="2">
        <v>80.33</v>
      </c>
      <c r="L986" s="2">
        <v>371.17</v>
      </c>
      <c r="M986" s="64" t="s">
        <v>77</v>
      </c>
      <c r="N986" s="1"/>
      <c r="O986" s="12">
        <f t="shared" si="165"/>
        <v>2.8092695373120868E-3</v>
      </c>
      <c r="P986" s="12">
        <f t="shared" si="166"/>
        <v>-7.5810692375108957E-3</v>
      </c>
      <c r="Q986" s="12">
        <f t="shared" si="167"/>
        <v>1.2861736334405238E-2</v>
      </c>
      <c r="R986" s="12">
        <f t="shared" si="168"/>
        <v>-4.0434672731867183E-3</v>
      </c>
      <c r="S986" s="12">
        <f t="shared" si="169"/>
        <v>-2.7652173913044198E-3</v>
      </c>
      <c r="T986" s="12">
        <f t="shared" si="170"/>
        <v>-5.7261208576997458E-3</v>
      </c>
      <c r="U986" s="12">
        <f t="shared" si="171"/>
        <v>1.3554798609404228E-2</v>
      </c>
      <c r="V986" s="12">
        <f t="shared" si="172"/>
        <v>-6.28276144094575E-3</v>
      </c>
      <c r="W986" s="12">
        <f t="shared" si="173"/>
        <v>1.9635984082458258E-2</v>
      </c>
      <c r="X986" s="12">
        <f t="shared" si="174"/>
        <v>1.6063749051353327E-2</v>
      </c>
      <c r="Y986" s="12">
        <f t="shared" si="175"/>
        <v>6.3716718182311727E-3</v>
      </c>
    </row>
    <row r="987" spans="1:25" x14ac:dyDescent="0.35">
      <c r="A987" s="6">
        <v>45559</v>
      </c>
      <c r="B987" s="8">
        <v>5732.93</v>
      </c>
      <c r="C987" s="2">
        <v>227.37</v>
      </c>
      <c r="D987" s="2">
        <v>220.97</v>
      </c>
      <c r="E987" s="2">
        <v>429.17</v>
      </c>
      <c r="F987" s="2">
        <v>575.19000000000005</v>
      </c>
      <c r="G987" s="2">
        <v>162.78</v>
      </c>
      <c r="H987" s="2">
        <v>272.77999999999997</v>
      </c>
      <c r="I987" s="2">
        <v>266.20999999999998</v>
      </c>
      <c r="J987" s="2">
        <v>155.81</v>
      </c>
      <c r="K987" s="2">
        <v>80.67</v>
      </c>
      <c r="L987" s="2">
        <v>385.93</v>
      </c>
      <c r="M987" s="64" t="s">
        <v>77</v>
      </c>
      <c r="N987" s="1"/>
      <c r="O987" s="12">
        <f t="shared" si="165"/>
        <v>2.5111172898120149E-3</v>
      </c>
      <c r="P987" s="12">
        <f t="shared" si="166"/>
        <v>3.9740362961981912E-3</v>
      </c>
      <c r="Q987" s="12">
        <f t="shared" si="167"/>
        <v>2.1315192743764921E-3</v>
      </c>
      <c r="R987" s="12">
        <f t="shared" si="168"/>
        <v>-1.0011303084127232E-2</v>
      </c>
      <c r="S987" s="12">
        <f t="shared" si="169"/>
        <v>3.1042360614570441E-3</v>
      </c>
      <c r="T987" s="12">
        <f t="shared" si="170"/>
        <v>-2.6957480700894321E-3</v>
      </c>
      <c r="U987" s="12">
        <f t="shared" si="171"/>
        <v>-5.4914596542286032E-2</v>
      </c>
      <c r="V987" s="12">
        <f t="shared" si="172"/>
        <v>-4.0778151889264702E-3</v>
      </c>
      <c r="W987" s="12">
        <f t="shared" si="173"/>
        <v>-3.1349968010236928E-3</v>
      </c>
      <c r="X987" s="12">
        <f t="shared" si="174"/>
        <v>4.2325407693266648E-3</v>
      </c>
      <c r="Y987" s="12">
        <f t="shared" si="175"/>
        <v>3.9766144893175648E-2</v>
      </c>
    </row>
    <row r="988" spans="1:25" x14ac:dyDescent="0.35">
      <c r="A988" s="6">
        <v>45560</v>
      </c>
      <c r="B988" s="8">
        <v>5722.26</v>
      </c>
      <c r="C988" s="2">
        <v>226.37</v>
      </c>
      <c r="D988" s="2">
        <v>221.23</v>
      </c>
      <c r="E988" s="2">
        <v>432.11</v>
      </c>
      <c r="F988" s="2">
        <v>576.30999999999995</v>
      </c>
      <c r="G988" s="2">
        <v>160.6</v>
      </c>
      <c r="H988" s="2">
        <v>269.63</v>
      </c>
      <c r="I988" s="2">
        <v>266.17</v>
      </c>
      <c r="J988" s="2">
        <v>152.22</v>
      </c>
      <c r="K988" s="2">
        <v>81.400000000000006</v>
      </c>
      <c r="L988" s="2">
        <v>378.25</v>
      </c>
      <c r="M988" s="64" t="s">
        <v>77</v>
      </c>
      <c r="N988" s="1"/>
      <c r="O988" s="12">
        <f t="shared" si="165"/>
        <v>-1.8611774432969463E-3</v>
      </c>
      <c r="P988" s="12">
        <f t="shared" si="166"/>
        <v>-4.3981176056647753E-3</v>
      </c>
      <c r="Q988" s="12">
        <f t="shared" si="167"/>
        <v>1.1766303118070365E-3</v>
      </c>
      <c r="R988" s="12">
        <f t="shared" si="168"/>
        <v>6.8504322296525366E-3</v>
      </c>
      <c r="S988" s="12">
        <f t="shared" si="169"/>
        <v>1.9471826700740991E-3</v>
      </c>
      <c r="T988" s="12">
        <f t="shared" si="170"/>
        <v>-1.3392308637424799E-2</v>
      </c>
      <c r="U988" s="12">
        <f t="shared" si="171"/>
        <v>-1.1547767431629774E-2</v>
      </c>
      <c r="V988" s="12">
        <f t="shared" si="172"/>
        <v>-1.502573156528797E-4</v>
      </c>
      <c r="W988" s="12">
        <f t="shared" si="173"/>
        <v>-2.3040883126885348E-2</v>
      </c>
      <c r="X988" s="12">
        <f t="shared" si="174"/>
        <v>9.0492128424446427E-3</v>
      </c>
      <c r="Y988" s="12">
        <f t="shared" si="175"/>
        <v>-1.9899981861995708E-2</v>
      </c>
    </row>
    <row r="989" spans="1:25" x14ac:dyDescent="0.35">
      <c r="A989" s="6">
        <v>45561</v>
      </c>
      <c r="B989" s="8">
        <v>5745.37</v>
      </c>
      <c r="C989" s="2">
        <v>227.52</v>
      </c>
      <c r="D989" s="2">
        <v>223.43</v>
      </c>
      <c r="E989" s="2">
        <v>431.31</v>
      </c>
      <c r="F989" s="2">
        <v>574.80999999999995</v>
      </c>
      <c r="G989" s="2">
        <v>161.38999999999999</v>
      </c>
      <c r="H989" s="2">
        <v>271.69</v>
      </c>
      <c r="I989" s="2">
        <v>268.14999999999998</v>
      </c>
      <c r="J989" s="2">
        <v>154.58000000000001</v>
      </c>
      <c r="K989" s="2">
        <v>79.92</v>
      </c>
      <c r="L989" s="2">
        <v>390.96</v>
      </c>
      <c r="M989" s="64" t="s">
        <v>77</v>
      </c>
      <c r="N989" s="1"/>
      <c r="O989" s="12">
        <f t="shared" si="165"/>
        <v>4.0386141140038578E-3</v>
      </c>
      <c r="P989" s="12">
        <f t="shared" si="166"/>
        <v>5.0801784688783158E-3</v>
      </c>
      <c r="Q989" s="12">
        <f t="shared" si="167"/>
        <v>9.9444017538308227E-3</v>
      </c>
      <c r="R989" s="12">
        <f t="shared" si="168"/>
        <v>-1.851380435537231E-3</v>
      </c>
      <c r="S989" s="12">
        <f t="shared" si="169"/>
        <v>-2.6027658725338298E-3</v>
      </c>
      <c r="T989" s="12">
        <f t="shared" si="170"/>
        <v>4.9190535491905329E-3</v>
      </c>
      <c r="U989" s="12">
        <f t="shared" si="171"/>
        <v>7.6400993954679475E-3</v>
      </c>
      <c r="V989" s="12">
        <f t="shared" si="172"/>
        <v>7.4388548671899812E-3</v>
      </c>
      <c r="W989" s="12">
        <f t="shared" si="173"/>
        <v>1.5503875968992276E-2</v>
      </c>
      <c r="X989" s="12">
        <f t="shared" si="174"/>
        <v>-1.8181818181818188E-2</v>
      </c>
      <c r="Y989" s="12">
        <f t="shared" si="175"/>
        <v>3.3602115003304567E-2</v>
      </c>
    </row>
    <row r="990" spans="1:25" x14ac:dyDescent="0.35">
      <c r="A990" s="6">
        <v>45562</v>
      </c>
      <c r="B990" s="8">
        <v>5738.17</v>
      </c>
      <c r="C990" s="2">
        <v>227.79</v>
      </c>
      <c r="D990" s="2">
        <v>220.84</v>
      </c>
      <c r="E990" s="2">
        <v>428.02</v>
      </c>
      <c r="F990" s="2">
        <v>581.85</v>
      </c>
      <c r="G990" s="2">
        <v>161.4</v>
      </c>
      <c r="H990" s="2">
        <v>275.17</v>
      </c>
      <c r="I990" s="2">
        <v>271.06</v>
      </c>
      <c r="J990" s="2">
        <v>156.32</v>
      </c>
      <c r="K990" s="2">
        <v>79.78</v>
      </c>
      <c r="L990" s="2">
        <v>391.08</v>
      </c>
      <c r="M990" s="64">
        <v>11.28</v>
      </c>
      <c r="N990" s="1"/>
      <c r="O990" s="12">
        <f t="shared" si="165"/>
        <v>-1.2531829977877607E-3</v>
      </c>
      <c r="P990" s="12">
        <f t="shared" si="166"/>
        <v>1.1867088607593335E-3</v>
      </c>
      <c r="Q990" s="12">
        <f t="shared" si="167"/>
        <v>-1.1591997493622164E-2</v>
      </c>
      <c r="R990" s="12">
        <f t="shared" si="168"/>
        <v>-7.6279242308316952E-3</v>
      </c>
      <c r="S990" s="12">
        <f t="shared" si="169"/>
        <v>1.2247525269219572E-2</v>
      </c>
      <c r="T990" s="12">
        <f t="shared" si="170"/>
        <v>6.196170766470388E-5</v>
      </c>
      <c r="U990" s="12">
        <f t="shared" si="171"/>
        <v>1.280871581581966E-2</v>
      </c>
      <c r="V990" s="12">
        <f t="shared" si="172"/>
        <v>1.0852134999067786E-2</v>
      </c>
      <c r="W990" s="12">
        <f t="shared" si="173"/>
        <v>1.1256307413636923E-2</v>
      </c>
      <c r="X990" s="12">
        <f t="shared" si="174"/>
        <v>-1.7517517517517955E-3</v>
      </c>
      <c r="Y990" s="12">
        <f t="shared" si="175"/>
        <v>3.0693677102511252E-4</v>
      </c>
    </row>
    <row r="991" spans="1:25" x14ac:dyDescent="0.35">
      <c r="A991" s="6">
        <v>45565</v>
      </c>
      <c r="B991" s="8">
        <v>5762.48</v>
      </c>
      <c r="C991" s="2">
        <v>233</v>
      </c>
      <c r="D991" s="2">
        <v>221.08</v>
      </c>
      <c r="E991" s="2">
        <v>430.3</v>
      </c>
      <c r="F991" s="2">
        <v>584.67999999999995</v>
      </c>
      <c r="G991" s="2">
        <v>162.06</v>
      </c>
      <c r="H991" s="2">
        <v>274.95</v>
      </c>
      <c r="I991" s="2">
        <v>271.2</v>
      </c>
      <c r="J991" s="2">
        <v>152.04</v>
      </c>
      <c r="K991" s="2">
        <v>80.75</v>
      </c>
      <c r="L991" s="2">
        <v>391.12</v>
      </c>
      <c r="M991" s="64" t="s">
        <v>77</v>
      </c>
      <c r="N991" s="1"/>
      <c r="O991" s="12">
        <f t="shared" si="165"/>
        <v>4.2365423122701085E-3</v>
      </c>
      <c r="P991" s="12">
        <f t="shared" si="166"/>
        <v>2.2871943456692634E-2</v>
      </c>
      <c r="Q991" s="12">
        <f t="shared" si="167"/>
        <v>1.0867596449919414E-3</v>
      </c>
      <c r="R991" s="12">
        <f t="shared" si="168"/>
        <v>5.3268538853326053E-3</v>
      </c>
      <c r="S991" s="12">
        <f t="shared" si="169"/>
        <v>4.8637965111282266E-3</v>
      </c>
      <c r="T991" s="12">
        <f t="shared" si="170"/>
        <v>4.0892193308550429E-3</v>
      </c>
      <c r="U991" s="12">
        <f t="shared" si="171"/>
        <v>-7.9950576007570273E-4</v>
      </c>
      <c r="V991" s="12">
        <f t="shared" si="172"/>
        <v>5.1649081384197437E-4</v>
      </c>
      <c r="W991" s="12">
        <f t="shared" si="173"/>
        <v>-2.7379733879222101E-2</v>
      </c>
      <c r="X991" s="12">
        <f t="shared" si="174"/>
        <v>1.2158435698169878E-2</v>
      </c>
      <c r="Y991" s="12">
        <f t="shared" si="175"/>
        <v>1.0228086325048125E-4</v>
      </c>
    </row>
    <row r="992" spans="1:25" x14ac:dyDescent="0.35">
      <c r="A992" s="6">
        <v>45566</v>
      </c>
      <c r="B992" s="8">
        <v>5708.75</v>
      </c>
      <c r="C992" s="2">
        <v>226.21</v>
      </c>
      <c r="D992" s="2">
        <v>219.35</v>
      </c>
      <c r="E992" s="2">
        <v>420.69</v>
      </c>
      <c r="F992" s="2">
        <v>583.29999999999995</v>
      </c>
      <c r="G992" s="2">
        <v>161.99</v>
      </c>
      <c r="H992" s="2">
        <v>277.60000000000002</v>
      </c>
      <c r="I992" s="2">
        <v>268.60000000000002</v>
      </c>
      <c r="J992" s="2">
        <v>154.22</v>
      </c>
      <c r="K992" s="2">
        <v>81.27</v>
      </c>
      <c r="L992" s="2">
        <v>392.39</v>
      </c>
      <c r="M992" s="64" t="s">
        <v>77</v>
      </c>
      <c r="N992" s="1"/>
      <c r="O992" s="12">
        <f t="shared" si="165"/>
        <v>-9.3241104524439677E-3</v>
      </c>
      <c r="P992" s="12">
        <f t="shared" si="166"/>
        <v>-2.9141630901287519E-2</v>
      </c>
      <c r="Q992" s="12">
        <f t="shared" si="167"/>
        <v>-7.8252216392257212E-3</v>
      </c>
      <c r="R992" s="12">
        <f t="shared" si="168"/>
        <v>-2.2333255867999058E-2</v>
      </c>
      <c r="S992" s="12">
        <f t="shared" si="169"/>
        <v>-2.3602654443456439E-3</v>
      </c>
      <c r="T992" s="12">
        <f t="shared" si="170"/>
        <v>-4.3193878810310338E-4</v>
      </c>
      <c r="U992" s="12">
        <f t="shared" si="171"/>
        <v>9.6381160210947669E-3</v>
      </c>
      <c r="V992" s="12">
        <f t="shared" si="172"/>
        <v>-9.587020648967437E-3</v>
      </c>
      <c r="W992" s="12">
        <f t="shared" si="173"/>
        <v>1.4338332017890032E-2</v>
      </c>
      <c r="X992" s="12">
        <f t="shared" si="174"/>
        <v>6.4396284829721928E-3</v>
      </c>
      <c r="Y992" s="12">
        <f t="shared" si="175"/>
        <v>3.2470852935160277E-3</v>
      </c>
    </row>
    <row r="993" spans="1:25" x14ac:dyDescent="0.35">
      <c r="A993" s="6">
        <v>45567</v>
      </c>
      <c r="B993" s="8">
        <v>5709.54</v>
      </c>
      <c r="C993" s="2">
        <v>226.78</v>
      </c>
      <c r="D993" s="2">
        <v>219.73</v>
      </c>
      <c r="E993" s="2">
        <v>417.13</v>
      </c>
      <c r="F993" s="2">
        <v>592.30999999999995</v>
      </c>
      <c r="G993" s="2">
        <v>161.16999999999999</v>
      </c>
      <c r="H993" s="2">
        <v>277</v>
      </c>
      <c r="I993" s="2">
        <v>270.92</v>
      </c>
      <c r="J993" s="2">
        <v>152.88999999999999</v>
      </c>
      <c r="K993" s="2">
        <v>80.430000000000007</v>
      </c>
      <c r="L993" s="2">
        <v>394.05</v>
      </c>
      <c r="M993" s="64" t="s">
        <v>77</v>
      </c>
      <c r="N993" s="1"/>
      <c r="O993" s="12">
        <f t="shared" si="165"/>
        <v>1.3838405955768351E-4</v>
      </c>
      <c r="P993" s="12">
        <f t="shared" si="166"/>
        <v>2.5197825029839027E-3</v>
      </c>
      <c r="Q993" s="12">
        <f t="shared" si="167"/>
        <v>1.7323911556872407E-3</v>
      </c>
      <c r="R993" s="12">
        <f t="shared" si="168"/>
        <v>-8.4622881456654087E-3</v>
      </c>
      <c r="S993" s="12">
        <f t="shared" si="169"/>
        <v>1.5446596948397007E-2</v>
      </c>
      <c r="T993" s="12">
        <f t="shared" si="170"/>
        <v>-5.062040866720352E-3</v>
      </c>
      <c r="U993" s="12">
        <f t="shared" si="171"/>
        <v>-2.1613832853026871E-3</v>
      </c>
      <c r="V993" s="12">
        <f t="shared" si="172"/>
        <v>8.6373790022338248E-3</v>
      </c>
      <c r="W993" s="12">
        <f t="shared" si="173"/>
        <v>-8.6240435741149479E-3</v>
      </c>
      <c r="X993" s="12">
        <f t="shared" si="174"/>
        <v>-1.0335917312661369E-2</v>
      </c>
      <c r="Y993" s="12">
        <f t="shared" si="175"/>
        <v>4.2304849766814367E-3</v>
      </c>
    </row>
    <row r="994" spans="1:25" x14ac:dyDescent="0.35">
      <c r="A994" s="6">
        <v>45568</v>
      </c>
      <c r="B994" s="8">
        <v>5699.94</v>
      </c>
      <c r="C994" s="2">
        <v>225.67</v>
      </c>
      <c r="D994" s="2">
        <v>222.72</v>
      </c>
      <c r="E994" s="2">
        <v>416.54</v>
      </c>
      <c r="F994" s="2">
        <v>592.75</v>
      </c>
      <c r="G994" s="2">
        <v>160.5</v>
      </c>
      <c r="H994" s="2">
        <v>276.86</v>
      </c>
      <c r="I994" s="2">
        <v>268.58999999999997</v>
      </c>
      <c r="J994" s="2">
        <v>150.52000000000001</v>
      </c>
      <c r="K994" s="2">
        <v>80.430000000000007</v>
      </c>
      <c r="L994" s="2">
        <v>391.09</v>
      </c>
      <c r="M994" s="64" t="s">
        <v>77</v>
      </c>
      <c r="N994" s="1"/>
      <c r="O994" s="12">
        <f t="shared" si="165"/>
        <v>-1.681396399709989E-3</v>
      </c>
      <c r="P994" s="12">
        <f t="shared" si="166"/>
        <v>-4.8946115177705973E-3</v>
      </c>
      <c r="Q994" s="12">
        <f t="shared" si="167"/>
        <v>1.3607609338733839E-2</v>
      </c>
      <c r="R994" s="12">
        <f t="shared" si="168"/>
        <v>-1.4144271570013522E-3</v>
      </c>
      <c r="S994" s="12">
        <f t="shared" si="169"/>
        <v>7.4285424861986193E-4</v>
      </c>
      <c r="T994" s="12">
        <f t="shared" si="170"/>
        <v>-4.1571011974932404E-3</v>
      </c>
      <c r="U994" s="12">
        <f t="shared" si="171"/>
        <v>-5.0541516245483642E-4</v>
      </c>
      <c r="V994" s="12">
        <f t="shared" si="172"/>
        <v>-8.6003248191349746E-3</v>
      </c>
      <c r="W994" s="12">
        <f t="shared" si="173"/>
        <v>-1.5501340833278698E-2</v>
      </c>
      <c r="X994" s="12">
        <f t="shared" si="174"/>
        <v>0</v>
      </c>
      <c r="Y994" s="12">
        <f t="shared" si="175"/>
        <v>-7.5117370892019419E-3</v>
      </c>
    </row>
    <row r="995" spans="1:25" x14ac:dyDescent="0.35">
      <c r="A995" s="6">
        <v>45569</v>
      </c>
      <c r="B995" s="8">
        <v>5751.07</v>
      </c>
      <c r="C995" s="2">
        <v>226.8</v>
      </c>
      <c r="D995" s="2">
        <v>226</v>
      </c>
      <c r="E995" s="2">
        <v>416.06</v>
      </c>
      <c r="F995" s="2">
        <v>591.20000000000005</v>
      </c>
      <c r="G995" s="2">
        <v>160.29</v>
      </c>
      <c r="H995" s="2">
        <v>277.93</v>
      </c>
      <c r="I995" s="2">
        <v>275.97000000000003</v>
      </c>
      <c r="J995" s="2">
        <v>155</v>
      </c>
      <c r="K995" s="2">
        <v>80.94</v>
      </c>
      <c r="L995" s="2">
        <v>397.09</v>
      </c>
      <c r="M995" s="64">
        <v>11.15</v>
      </c>
      <c r="N995" s="1"/>
      <c r="O995" s="12">
        <f t="shared" si="165"/>
        <v>8.9702698624898325E-3</v>
      </c>
      <c r="P995" s="12">
        <f t="shared" si="166"/>
        <v>5.0073115611291019E-3</v>
      </c>
      <c r="Q995" s="12">
        <f t="shared" si="167"/>
        <v>1.4727011494252817E-2</v>
      </c>
      <c r="R995" s="12">
        <f t="shared" si="168"/>
        <v>-1.1523503144956759E-3</v>
      </c>
      <c r="S995" s="12">
        <f t="shared" si="169"/>
        <v>-2.6149304091099834E-3</v>
      </c>
      <c r="T995" s="12">
        <f t="shared" si="170"/>
        <v>-1.3084112149532867E-3</v>
      </c>
      <c r="U995" s="12">
        <f t="shared" si="171"/>
        <v>3.8647691974282861E-3</v>
      </c>
      <c r="V995" s="12">
        <f t="shared" si="172"/>
        <v>2.7476823411147322E-2</v>
      </c>
      <c r="W995" s="12">
        <f t="shared" si="173"/>
        <v>2.9763486579856391E-2</v>
      </c>
      <c r="X995" s="12">
        <f t="shared" si="174"/>
        <v>6.3409175680715357E-3</v>
      </c>
      <c r="Y995" s="12">
        <f t="shared" si="175"/>
        <v>1.5341737196041816E-2</v>
      </c>
    </row>
    <row r="996" spans="1:25" x14ac:dyDescent="0.35">
      <c r="A996" s="6">
        <v>45572</v>
      </c>
      <c r="B996" s="8">
        <v>5695.94</v>
      </c>
      <c r="C996" s="2">
        <v>221.69</v>
      </c>
      <c r="D996" s="2">
        <v>227.12</v>
      </c>
      <c r="E996" s="2">
        <v>409.54</v>
      </c>
      <c r="F996" s="2">
        <v>583.55999999999995</v>
      </c>
      <c r="G996" s="2">
        <v>159.53</v>
      </c>
      <c r="H996" s="2">
        <v>273.79000000000002</v>
      </c>
      <c r="I996" s="2">
        <v>273.79000000000002</v>
      </c>
      <c r="J996" s="2">
        <v>155.91</v>
      </c>
      <c r="K996" s="2">
        <v>79.099999999999994</v>
      </c>
      <c r="L996" s="2">
        <v>398.25</v>
      </c>
      <c r="M996" s="64" t="s">
        <v>77</v>
      </c>
      <c r="N996" s="1"/>
      <c r="O996" s="12">
        <f t="shared" si="165"/>
        <v>-9.5860422495291919E-3</v>
      </c>
      <c r="P996" s="12">
        <f t="shared" si="166"/>
        <v>-2.253086419753092E-2</v>
      </c>
      <c r="Q996" s="12">
        <f t="shared" si="167"/>
        <v>4.9557522123893083E-3</v>
      </c>
      <c r="R996" s="12">
        <f t="shared" si="168"/>
        <v>-1.5670816709128399E-2</v>
      </c>
      <c r="S996" s="12">
        <f t="shared" si="169"/>
        <v>-1.2922868741542803E-2</v>
      </c>
      <c r="T996" s="12">
        <f t="shared" si="170"/>
        <v>-4.7414062012601788E-3</v>
      </c>
      <c r="U996" s="12">
        <f t="shared" si="171"/>
        <v>-1.4895837081279395E-2</v>
      </c>
      <c r="V996" s="12">
        <f t="shared" si="172"/>
        <v>-7.8994093560894596E-3</v>
      </c>
      <c r="W996" s="12">
        <f t="shared" si="173"/>
        <v>5.8709677419355177E-3</v>
      </c>
      <c r="X996" s="12">
        <f t="shared" si="174"/>
        <v>-2.2732888559426789E-2</v>
      </c>
      <c r="Y996" s="12">
        <f t="shared" si="175"/>
        <v>2.9212521090937749E-3</v>
      </c>
    </row>
    <row r="997" spans="1:25" x14ac:dyDescent="0.35">
      <c r="A997" s="6">
        <v>45573</v>
      </c>
      <c r="B997" s="8">
        <v>5751.13</v>
      </c>
      <c r="C997" s="2">
        <v>225.77</v>
      </c>
      <c r="D997" s="2">
        <v>228.62</v>
      </c>
      <c r="E997" s="2">
        <v>414.71</v>
      </c>
      <c r="F997" s="2">
        <v>581.58000000000004</v>
      </c>
      <c r="G997" s="2">
        <v>159.69</v>
      </c>
      <c r="H997" s="2">
        <v>274.95999999999998</v>
      </c>
      <c r="I997" s="2">
        <v>269.11</v>
      </c>
      <c r="J997" s="2">
        <v>154.65</v>
      </c>
      <c r="K997" s="2">
        <v>79.709999999999994</v>
      </c>
      <c r="L997" s="2">
        <v>387.96</v>
      </c>
      <c r="M997" s="64" t="s">
        <v>77</v>
      </c>
      <c r="N997" s="1"/>
      <c r="O997" s="12">
        <f t="shared" si="165"/>
        <v>9.68935768284096E-3</v>
      </c>
      <c r="P997" s="12">
        <f t="shared" si="166"/>
        <v>1.8404077766250193E-2</v>
      </c>
      <c r="Q997" s="12">
        <f t="shared" si="167"/>
        <v>6.604438182458594E-3</v>
      </c>
      <c r="R997" s="12">
        <f t="shared" si="168"/>
        <v>1.2623919519460847E-2</v>
      </c>
      <c r="S997" s="12">
        <f t="shared" si="169"/>
        <v>-3.3929673041330766E-3</v>
      </c>
      <c r="T997" s="12">
        <f t="shared" si="170"/>
        <v>1.002946154328388E-3</v>
      </c>
      <c r="U997" s="12">
        <f t="shared" si="171"/>
        <v>4.2733481865662171E-3</v>
      </c>
      <c r="V997" s="12">
        <f t="shared" si="172"/>
        <v>-1.7093392746265423E-2</v>
      </c>
      <c r="W997" s="12">
        <f t="shared" si="173"/>
        <v>-8.0815855301135109E-3</v>
      </c>
      <c r="X997" s="12">
        <f t="shared" si="174"/>
        <v>7.7117572692793068E-3</v>
      </c>
      <c r="Y997" s="12">
        <f t="shared" si="175"/>
        <v>-2.5838041431261782E-2</v>
      </c>
    </row>
    <row r="998" spans="1:25" x14ac:dyDescent="0.35">
      <c r="A998" s="6">
        <v>45574</v>
      </c>
      <c r="B998" s="8">
        <v>5792.04</v>
      </c>
      <c r="C998" s="2">
        <v>229.54</v>
      </c>
      <c r="D998" s="2">
        <v>234.3</v>
      </c>
      <c r="E998" s="2">
        <v>417.46</v>
      </c>
      <c r="F998" s="2">
        <v>591.22</v>
      </c>
      <c r="G998" s="2">
        <v>160.65</v>
      </c>
      <c r="H998" s="2">
        <v>276.93</v>
      </c>
      <c r="I998" s="2">
        <v>271.42</v>
      </c>
      <c r="J998" s="2">
        <v>149.37</v>
      </c>
      <c r="K998" s="2">
        <v>80.400000000000006</v>
      </c>
      <c r="L998" s="2">
        <v>396.19</v>
      </c>
      <c r="M998" s="64" t="s">
        <v>77</v>
      </c>
      <c r="N998" s="1"/>
      <c r="O998" s="12">
        <f t="shared" si="165"/>
        <v>7.1133846739683815E-3</v>
      </c>
      <c r="P998" s="12">
        <f t="shared" si="166"/>
        <v>1.6698409886167331E-2</v>
      </c>
      <c r="Q998" s="12">
        <f t="shared" si="167"/>
        <v>2.4844720496894457E-2</v>
      </c>
      <c r="R998" s="12">
        <f t="shared" si="168"/>
        <v>6.6311398326541759E-3</v>
      </c>
      <c r="S998" s="12">
        <f t="shared" si="169"/>
        <v>1.6575535609890224E-2</v>
      </c>
      <c r="T998" s="12">
        <f t="shared" si="170"/>
        <v>6.0116475671614378E-3</v>
      </c>
      <c r="U998" s="12">
        <f t="shared" si="171"/>
        <v>7.1646784986907353E-3</v>
      </c>
      <c r="V998" s="12">
        <f t="shared" si="172"/>
        <v>8.583850470067933E-3</v>
      </c>
      <c r="W998" s="12">
        <f t="shared" si="173"/>
        <v>-3.4141610087293883E-2</v>
      </c>
      <c r="X998" s="12">
        <f t="shared" si="174"/>
        <v>8.6563793752354457E-3</v>
      </c>
      <c r="Y998" s="12">
        <f t="shared" si="175"/>
        <v>2.121352716774938E-2</v>
      </c>
    </row>
    <row r="999" spans="1:25" x14ac:dyDescent="0.35">
      <c r="A999" s="6">
        <v>45575</v>
      </c>
      <c r="B999" s="8">
        <v>5780.05</v>
      </c>
      <c r="C999" s="2">
        <v>229.04</v>
      </c>
      <c r="D999" s="2">
        <v>233.02</v>
      </c>
      <c r="E999" s="2">
        <v>415.84</v>
      </c>
      <c r="F999" s="2">
        <v>597.70000000000005</v>
      </c>
      <c r="G999" s="2">
        <v>160.51</v>
      </c>
      <c r="H999" s="2">
        <v>277.47000000000003</v>
      </c>
      <c r="I999" s="2">
        <v>270.47000000000003</v>
      </c>
      <c r="J999" s="2">
        <v>146.62</v>
      </c>
      <c r="K999" s="2">
        <v>79.61</v>
      </c>
      <c r="L999" s="2">
        <v>396.64</v>
      </c>
      <c r="M999" s="64">
        <v>11.06</v>
      </c>
      <c r="N999" s="1"/>
      <c r="O999" s="12">
        <f t="shared" si="165"/>
        <v>-2.0700823889336917E-3</v>
      </c>
      <c r="P999" s="12">
        <f t="shared" si="166"/>
        <v>-2.178269582643555E-3</v>
      </c>
      <c r="Q999" s="12">
        <f t="shared" si="167"/>
        <v>-5.4630815194195437E-3</v>
      </c>
      <c r="R999" s="12">
        <f t="shared" si="168"/>
        <v>-3.8806113160542166E-3</v>
      </c>
      <c r="S999" s="12">
        <f t="shared" si="169"/>
        <v>1.0960386996380356E-2</v>
      </c>
      <c r="T999" s="12">
        <f t="shared" si="170"/>
        <v>-8.7145969498925169E-4</v>
      </c>
      <c r="U999" s="12">
        <f t="shared" si="171"/>
        <v>1.9499512512188844E-3</v>
      </c>
      <c r="V999" s="12">
        <f t="shared" si="172"/>
        <v>-3.5001105298061441E-3</v>
      </c>
      <c r="W999" s="12">
        <f t="shared" si="173"/>
        <v>-1.8410658097342214E-2</v>
      </c>
      <c r="X999" s="12">
        <f t="shared" si="174"/>
        <v>-9.8258706467662105E-3</v>
      </c>
      <c r="Y999" s="12">
        <f t="shared" si="175"/>
        <v>1.1358186728589459E-3</v>
      </c>
    </row>
    <row r="1000" spans="1:25" x14ac:dyDescent="0.35">
      <c r="A1000" s="6">
        <v>45576</v>
      </c>
      <c r="B1000" s="8">
        <v>5815.03</v>
      </c>
      <c r="C1000" s="2">
        <v>227.55</v>
      </c>
      <c r="D1000" s="2">
        <v>233.26</v>
      </c>
      <c r="E1000" s="2">
        <v>416.32</v>
      </c>
      <c r="F1000" s="2">
        <v>598.04999999999995</v>
      </c>
      <c r="G1000" s="2">
        <v>161.46</v>
      </c>
      <c r="H1000" s="2">
        <v>277.83999999999997</v>
      </c>
      <c r="I1000" s="2">
        <v>276.16000000000003</v>
      </c>
      <c r="J1000" s="2">
        <v>151.02000000000001</v>
      </c>
      <c r="K1000" s="2">
        <v>80.099999999999994</v>
      </c>
      <c r="L1000" s="2">
        <v>402.02</v>
      </c>
      <c r="M1000" s="64" t="s">
        <v>77</v>
      </c>
      <c r="N1000" s="1"/>
      <c r="O1000" s="12">
        <f t="shared" si="165"/>
        <v>6.0518507625366702E-3</v>
      </c>
      <c r="P1000" s="12">
        <f t="shared" si="166"/>
        <v>-6.5054139015018331E-3</v>
      </c>
      <c r="Q1000" s="12">
        <f t="shared" si="167"/>
        <v>1.029954510342268E-3</v>
      </c>
      <c r="R1000" s="12">
        <f t="shared" si="168"/>
        <v>1.1542901115815241E-3</v>
      </c>
      <c r="S1000" s="12">
        <f t="shared" si="169"/>
        <v>5.855780491883511E-4</v>
      </c>
      <c r="T1000" s="12">
        <f t="shared" si="170"/>
        <v>5.9186343529999963E-3</v>
      </c>
      <c r="U1000" s="12">
        <f t="shared" si="171"/>
        <v>1.3334774930622295E-3</v>
      </c>
      <c r="V1000" s="12">
        <f t="shared" si="172"/>
        <v>2.1037453321995025E-2</v>
      </c>
      <c r="W1000" s="12">
        <f t="shared" si="173"/>
        <v>3.000954849270232E-2</v>
      </c>
      <c r="X1000" s="12">
        <f t="shared" si="174"/>
        <v>6.1550056525561114E-3</v>
      </c>
      <c r="Y1000" s="12">
        <f t="shared" si="175"/>
        <v>1.3563937071399801E-2</v>
      </c>
    </row>
    <row r="1001" spans="1:25" x14ac:dyDescent="0.35">
      <c r="A1001" s="6">
        <v>45579</v>
      </c>
      <c r="B1001" s="8">
        <v>5859.85</v>
      </c>
      <c r="C1001" s="2">
        <v>231.3</v>
      </c>
      <c r="D1001" s="2">
        <v>235.26</v>
      </c>
      <c r="E1001" s="2">
        <v>419.14</v>
      </c>
      <c r="F1001" s="2">
        <v>605.4</v>
      </c>
      <c r="G1001" s="2">
        <v>161.6</v>
      </c>
      <c r="H1001" s="2">
        <v>280.68</v>
      </c>
      <c r="I1001" s="2">
        <v>276.52</v>
      </c>
      <c r="J1001" s="2">
        <v>148.99</v>
      </c>
      <c r="K1001" s="2">
        <v>80.290000000000006</v>
      </c>
      <c r="L1001" s="2">
        <v>393.95</v>
      </c>
      <c r="M1001" s="64" t="s">
        <v>77</v>
      </c>
      <c r="N1001" s="1"/>
      <c r="O1001" s="12">
        <f t="shared" si="165"/>
        <v>7.7076128584032677E-3</v>
      </c>
      <c r="P1001" s="12">
        <f t="shared" si="166"/>
        <v>1.6479894528675043E-2</v>
      </c>
      <c r="Q1001" s="12">
        <f t="shared" si="167"/>
        <v>8.5741232958929103E-3</v>
      </c>
      <c r="R1001" s="12">
        <f t="shared" si="168"/>
        <v>6.7736356648731011E-3</v>
      </c>
      <c r="S1001" s="12">
        <f t="shared" si="169"/>
        <v>1.2289942312515789E-2</v>
      </c>
      <c r="T1001" s="12">
        <f t="shared" si="170"/>
        <v>8.6708782360944703E-4</v>
      </c>
      <c r="U1001" s="12">
        <f t="shared" si="171"/>
        <v>1.0221710336884682E-2</v>
      </c>
      <c r="V1001" s="12">
        <f t="shared" si="172"/>
        <v>1.3035921205097889E-3</v>
      </c>
      <c r="W1001" s="12">
        <f t="shared" si="173"/>
        <v>-1.3441928221427646E-2</v>
      </c>
      <c r="X1001" s="12">
        <f t="shared" si="174"/>
        <v>2.3720349563047805E-3</v>
      </c>
      <c r="Y1001" s="12">
        <f t="shared" si="175"/>
        <v>-2.007362817770264E-2</v>
      </c>
    </row>
    <row r="1002" spans="1:25" x14ac:dyDescent="0.35">
      <c r="A1002" s="6">
        <v>45580</v>
      </c>
      <c r="B1002" s="8">
        <v>5815.26</v>
      </c>
      <c r="C1002" s="2">
        <v>233.85</v>
      </c>
      <c r="D1002" s="2">
        <v>232.96</v>
      </c>
      <c r="E1002" s="2">
        <v>418.74</v>
      </c>
      <c r="F1002" s="2">
        <v>556.29</v>
      </c>
      <c r="G1002" s="2">
        <v>164.1</v>
      </c>
      <c r="H1002" s="2">
        <v>279.29000000000002</v>
      </c>
      <c r="I1002" s="2">
        <v>277.31</v>
      </c>
      <c r="J1002" s="2">
        <v>152.35</v>
      </c>
      <c r="K1002" s="2">
        <v>81.650000000000006</v>
      </c>
      <c r="L1002" s="2">
        <v>387.99</v>
      </c>
      <c r="M1002" s="64" t="s">
        <v>77</v>
      </c>
      <c r="N1002" s="1"/>
      <c r="O1002" s="12">
        <f t="shared" si="165"/>
        <v>-7.6094097971791674E-3</v>
      </c>
      <c r="P1002" s="12">
        <f t="shared" si="166"/>
        <v>1.1024643320363126E-2</v>
      </c>
      <c r="Q1002" s="12">
        <f t="shared" si="167"/>
        <v>-9.776417580549146E-3</v>
      </c>
      <c r="R1002" s="12">
        <f t="shared" si="168"/>
        <v>-9.5433506704201143E-4</v>
      </c>
      <c r="S1002" s="12">
        <f t="shared" si="169"/>
        <v>-8.1119920713577875E-2</v>
      </c>
      <c r="T1002" s="12">
        <f t="shared" si="170"/>
        <v>1.5470297029702929E-2</v>
      </c>
      <c r="U1002" s="12">
        <f t="shared" si="171"/>
        <v>-4.9522588000570078E-3</v>
      </c>
      <c r="V1002" s="12">
        <f t="shared" si="172"/>
        <v>2.8569362071459992E-3</v>
      </c>
      <c r="W1002" s="12">
        <f t="shared" si="173"/>
        <v>2.2551849117390388E-2</v>
      </c>
      <c r="X1002" s="12">
        <f t="shared" si="174"/>
        <v>1.6938597583758819E-2</v>
      </c>
      <c r="Y1002" s="12">
        <f t="shared" si="175"/>
        <v>-1.5128823454753082E-2</v>
      </c>
    </row>
    <row r="1003" spans="1:25" x14ac:dyDescent="0.35">
      <c r="A1003" s="6">
        <v>45581</v>
      </c>
      <c r="B1003" s="8">
        <v>5842.47</v>
      </c>
      <c r="C1003" s="2">
        <v>231.78</v>
      </c>
      <c r="D1003" s="2">
        <v>233.67</v>
      </c>
      <c r="E1003" s="2">
        <v>416.12</v>
      </c>
      <c r="F1003" s="2">
        <v>571.34</v>
      </c>
      <c r="G1003" s="2">
        <v>164.28</v>
      </c>
      <c r="H1003" s="2">
        <v>287.52</v>
      </c>
      <c r="I1003" s="2">
        <v>281.68</v>
      </c>
      <c r="J1003" s="2">
        <v>154.9</v>
      </c>
      <c r="K1003" s="2">
        <v>81.22</v>
      </c>
      <c r="L1003" s="2">
        <v>393.62</v>
      </c>
      <c r="M1003" s="64" t="s">
        <v>77</v>
      </c>
      <c r="N1003" s="1"/>
      <c r="O1003" s="12">
        <f t="shared" si="165"/>
        <v>4.6790685197222182E-3</v>
      </c>
      <c r="P1003" s="12">
        <f t="shared" si="166"/>
        <v>-8.8518280949325678E-3</v>
      </c>
      <c r="Q1003" s="12">
        <f t="shared" si="167"/>
        <v>3.047733516483353E-3</v>
      </c>
      <c r="R1003" s="12">
        <f t="shared" si="168"/>
        <v>-6.2568658356020324E-3</v>
      </c>
      <c r="S1003" s="12">
        <f t="shared" si="169"/>
        <v>2.7054234302252622E-2</v>
      </c>
      <c r="T1003" s="12">
        <f t="shared" si="170"/>
        <v>1.0968921389398201E-3</v>
      </c>
      <c r="U1003" s="12">
        <f t="shared" si="171"/>
        <v>2.9467578502631486E-2</v>
      </c>
      <c r="V1003" s="12">
        <f t="shared" si="172"/>
        <v>1.5758537376942883E-2</v>
      </c>
      <c r="W1003" s="12">
        <f t="shared" si="173"/>
        <v>1.6737774860518639E-2</v>
      </c>
      <c r="X1003" s="12">
        <f t="shared" si="174"/>
        <v>-5.2663808940600632E-3</v>
      </c>
      <c r="Y1003" s="12">
        <f t="shared" si="175"/>
        <v>1.4510683265032576E-2</v>
      </c>
    </row>
    <row r="1004" spans="1:25" x14ac:dyDescent="0.35">
      <c r="A1004" s="6">
        <v>45582</v>
      </c>
      <c r="B1004" s="8">
        <v>5841.47</v>
      </c>
      <c r="C1004" s="2">
        <v>232.15</v>
      </c>
      <c r="D1004" s="2">
        <v>232.88</v>
      </c>
      <c r="E1004" s="2">
        <v>416.72</v>
      </c>
      <c r="F1004" s="2">
        <v>566.03</v>
      </c>
      <c r="G1004" s="2">
        <v>164.47</v>
      </c>
      <c r="H1004" s="2">
        <v>290.39</v>
      </c>
      <c r="I1004" s="2">
        <v>285.77999999999997</v>
      </c>
      <c r="J1004" s="2">
        <v>155.31</v>
      </c>
      <c r="K1004" s="2">
        <v>80.89</v>
      </c>
      <c r="L1004" s="2">
        <v>394.49</v>
      </c>
      <c r="M1004" s="64">
        <v>11.05</v>
      </c>
      <c r="N1004" s="1"/>
      <c r="O1004" s="12">
        <f t="shared" si="165"/>
        <v>-1.7116048520571248E-4</v>
      </c>
      <c r="P1004" s="12">
        <f t="shared" si="166"/>
        <v>1.5963413581845387E-3</v>
      </c>
      <c r="Q1004" s="12">
        <f t="shared" si="167"/>
        <v>-3.3808362220224542E-3</v>
      </c>
      <c r="R1004" s="12">
        <f t="shared" si="168"/>
        <v>1.4418917619918314E-3</v>
      </c>
      <c r="S1004" s="12">
        <f t="shared" si="169"/>
        <v>-9.2939405607870285E-3</v>
      </c>
      <c r="T1004" s="12">
        <f t="shared" si="170"/>
        <v>1.1565619673727934E-3</v>
      </c>
      <c r="U1004" s="12">
        <f t="shared" si="171"/>
        <v>9.9819143016137701E-3</v>
      </c>
      <c r="V1004" s="12">
        <f t="shared" si="172"/>
        <v>1.4555523998863729E-2</v>
      </c>
      <c r="W1004" s="12">
        <f t="shared" si="173"/>
        <v>2.6468689477081586E-3</v>
      </c>
      <c r="X1004" s="12">
        <f t="shared" si="174"/>
        <v>-4.063038660428453E-3</v>
      </c>
      <c r="Y1004" s="12">
        <f t="shared" si="175"/>
        <v>2.210253544027152E-3</v>
      </c>
    </row>
    <row r="1005" spans="1:25" x14ac:dyDescent="0.35">
      <c r="A1005" s="6">
        <v>45583</v>
      </c>
      <c r="B1005" s="8">
        <v>5864.67</v>
      </c>
      <c r="C1005" s="2">
        <v>235</v>
      </c>
      <c r="D1005" s="2">
        <v>232.2</v>
      </c>
      <c r="E1005" s="2">
        <v>418.16</v>
      </c>
      <c r="F1005" s="2">
        <v>569.61</v>
      </c>
      <c r="G1005" s="2">
        <v>165.12</v>
      </c>
      <c r="H1005" s="2">
        <v>290.62</v>
      </c>
      <c r="I1005" s="2">
        <v>276.79000000000002</v>
      </c>
      <c r="J1005" s="2">
        <v>155</v>
      </c>
      <c r="K1005" s="2">
        <v>81.31</v>
      </c>
      <c r="L1005" s="2">
        <v>393.86</v>
      </c>
      <c r="M1005" s="64" t="s">
        <v>77</v>
      </c>
      <c r="N1005" s="1"/>
      <c r="O1005" s="12">
        <f t="shared" si="165"/>
        <v>3.9716030382763723E-3</v>
      </c>
      <c r="P1005" s="12">
        <f t="shared" si="166"/>
        <v>1.2276545337066569E-2</v>
      </c>
      <c r="Q1005" s="12">
        <f t="shared" si="167"/>
        <v>-2.9199587770525337E-3</v>
      </c>
      <c r="R1005" s="12">
        <f t="shared" si="168"/>
        <v>3.45555768861594E-3</v>
      </c>
      <c r="S1005" s="12">
        <f t="shared" si="169"/>
        <v>6.3247531049592798E-3</v>
      </c>
      <c r="T1005" s="12">
        <f t="shared" si="170"/>
        <v>3.9520885267829708E-3</v>
      </c>
      <c r="U1005" s="12">
        <f t="shared" si="171"/>
        <v>7.9203829332974429E-4</v>
      </c>
      <c r="V1005" s="12">
        <f t="shared" si="172"/>
        <v>-3.1457764714115544E-2</v>
      </c>
      <c r="W1005" s="12">
        <f t="shared" si="173"/>
        <v>-1.9960079840319889E-3</v>
      </c>
      <c r="X1005" s="12">
        <f t="shared" si="174"/>
        <v>5.1922363703795771E-3</v>
      </c>
      <c r="Y1005" s="12">
        <f t="shared" si="175"/>
        <v>-1.5969986564932093E-3</v>
      </c>
    </row>
    <row r="1006" spans="1:25" x14ac:dyDescent="0.35">
      <c r="A1006" s="6">
        <v>45586</v>
      </c>
      <c r="B1006" s="8">
        <v>5853.98</v>
      </c>
      <c r="C1006" s="2">
        <v>236.48</v>
      </c>
      <c r="D1006" s="2">
        <v>231.75</v>
      </c>
      <c r="E1006" s="2">
        <v>418.78</v>
      </c>
      <c r="F1006" s="2">
        <v>571.47</v>
      </c>
      <c r="G1006" s="2">
        <v>162.83000000000001</v>
      </c>
      <c r="H1006" s="2">
        <v>286.85000000000002</v>
      </c>
      <c r="I1006" s="2">
        <v>270.74</v>
      </c>
      <c r="J1006" s="2">
        <v>159.82</v>
      </c>
      <c r="K1006" s="2">
        <v>80.81</v>
      </c>
      <c r="L1006" s="2">
        <v>390.48</v>
      </c>
      <c r="M1006" s="64" t="s">
        <v>77</v>
      </c>
      <c r="N1006" s="1"/>
      <c r="O1006" s="12">
        <f t="shared" si="165"/>
        <v>-1.8227794573267841E-3</v>
      </c>
      <c r="P1006" s="12">
        <f t="shared" si="166"/>
        <v>6.2978723404254477E-3</v>
      </c>
      <c r="Q1006" s="12">
        <f t="shared" si="167"/>
        <v>-1.9379844961240345E-3</v>
      </c>
      <c r="R1006" s="12">
        <f t="shared" si="168"/>
        <v>1.4826860531853558E-3</v>
      </c>
      <c r="S1006" s="12">
        <f t="shared" si="169"/>
        <v>3.2653921103913408E-3</v>
      </c>
      <c r="T1006" s="12">
        <f t="shared" si="170"/>
        <v>-1.3868701550387552E-2</v>
      </c>
      <c r="U1006" s="12">
        <f t="shared" si="171"/>
        <v>-1.2972266189525739E-2</v>
      </c>
      <c r="V1006" s="12">
        <f t="shared" si="172"/>
        <v>-2.1857726073918893E-2</v>
      </c>
      <c r="W1006" s="12">
        <f t="shared" si="173"/>
        <v>3.1096774193548393E-2</v>
      </c>
      <c r="X1006" s="12">
        <f t="shared" si="174"/>
        <v>-6.1493051285205214E-3</v>
      </c>
      <c r="Y1006" s="12">
        <f t="shared" si="175"/>
        <v>-8.5817295485705047E-3</v>
      </c>
    </row>
    <row r="1007" spans="1:25" x14ac:dyDescent="0.35">
      <c r="A1007" s="6">
        <v>45587</v>
      </c>
      <c r="B1007" s="8">
        <v>5851.2</v>
      </c>
      <c r="C1007" s="2">
        <v>235.86</v>
      </c>
      <c r="D1007" s="2">
        <v>232.25</v>
      </c>
      <c r="E1007" s="2">
        <v>427.51</v>
      </c>
      <c r="F1007" s="2">
        <v>569.86</v>
      </c>
      <c r="G1007" s="2">
        <v>163.44999999999999</v>
      </c>
      <c r="H1007" s="2">
        <v>284.79000000000002</v>
      </c>
      <c r="I1007" s="2">
        <v>272.39999999999998</v>
      </c>
      <c r="J1007" s="2">
        <v>159.88</v>
      </c>
      <c r="K1007" s="2">
        <v>82.02</v>
      </c>
      <c r="L1007" s="2">
        <v>388.46</v>
      </c>
      <c r="M1007" s="64" t="s">
        <v>77</v>
      </c>
      <c r="N1007" s="1"/>
      <c r="O1007" s="12">
        <f t="shared" si="165"/>
        <v>-4.7489058725858069E-4</v>
      </c>
      <c r="P1007" s="12">
        <f t="shared" si="166"/>
        <v>-2.6217861975641465E-3</v>
      </c>
      <c r="Q1007" s="12">
        <f t="shared" si="167"/>
        <v>2.1574973031284195E-3</v>
      </c>
      <c r="R1007" s="12">
        <f t="shared" si="168"/>
        <v>2.0846267730073142E-2</v>
      </c>
      <c r="S1007" s="12">
        <f t="shared" si="169"/>
        <v>-2.8172957460583792E-3</v>
      </c>
      <c r="T1007" s="12">
        <f t="shared" si="170"/>
        <v>3.8076521525516327E-3</v>
      </c>
      <c r="U1007" s="12">
        <f t="shared" si="171"/>
        <v>-7.1814537214571761E-3</v>
      </c>
      <c r="V1007" s="12">
        <f t="shared" si="172"/>
        <v>6.1313437246064417E-3</v>
      </c>
      <c r="W1007" s="12">
        <f t="shared" si="173"/>
        <v>3.7542235014398351E-4</v>
      </c>
      <c r="X1007" s="12">
        <f t="shared" si="174"/>
        <v>1.4973394381883276E-2</v>
      </c>
      <c r="Y1007" s="12">
        <f t="shared" si="175"/>
        <v>-5.1731202622414818E-3</v>
      </c>
    </row>
    <row r="1008" spans="1:25" x14ac:dyDescent="0.35">
      <c r="A1008" s="6">
        <v>45588</v>
      </c>
      <c r="B1008" s="8">
        <v>5797.42</v>
      </c>
      <c r="C1008" s="2">
        <v>230.76</v>
      </c>
      <c r="D1008" s="2">
        <v>232.75</v>
      </c>
      <c r="E1008" s="2">
        <v>424.6</v>
      </c>
      <c r="F1008" s="2">
        <v>564.64</v>
      </c>
      <c r="G1008" s="2">
        <v>165.86</v>
      </c>
      <c r="H1008" s="2">
        <v>283.76</v>
      </c>
      <c r="I1008" s="2">
        <v>271.23</v>
      </c>
      <c r="J1008" s="2">
        <v>157.06</v>
      </c>
      <c r="K1008" s="2">
        <v>83.27</v>
      </c>
      <c r="L1008" s="2">
        <v>385.73</v>
      </c>
      <c r="M1008" s="64" t="s">
        <v>77</v>
      </c>
      <c r="N1008" s="1"/>
      <c r="O1008" s="12">
        <f t="shared" si="165"/>
        <v>-9.1912770030079249E-3</v>
      </c>
      <c r="P1008" s="12">
        <f t="shared" si="166"/>
        <v>-2.1622996692953533E-2</v>
      </c>
      <c r="Q1008" s="12">
        <f t="shared" si="167"/>
        <v>2.1528525296017342E-3</v>
      </c>
      <c r="R1008" s="12">
        <f t="shared" si="168"/>
        <v>-6.8068583191035481E-3</v>
      </c>
      <c r="S1008" s="12">
        <f t="shared" si="169"/>
        <v>-9.1601445969186068E-3</v>
      </c>
      <c r="T1008" s="12">
        <f t="shared" si="170"/>
        <v>1.4744570204955787E-2</v>
      </c>
      <c r="U1008" s="12">
        <f t="shared" si="171"/>
        <v>-3.6167000245795888E-3</v>
      </c>
      <c r="V1008" s="12">
        <f t="shared" si="172"/>
        <v>-4.2951541850219099E-3</v>
      </c>
      <c r="W1008" s="12">
        <f t="shared" si="173"/>
        <v>-1.7638228671503553E-2</v>
      </c>
      <c r="X1008" s="12">
        <f t="shared" si="174"/>
        <v>1.524018532065341E-2</v>
      </c>
      <c r="Y1008" s="12">
        <f t="shared" si="175"/>
        <v>-7.0277506049527538E-3</v>
      </c>
    </row>
    <row r="1009" spans="1:25" x14ac:dyDescent="0.35">
      <c r="A1009" s="6">
        <v>45589</v>
      </c>
      <c r="B1009" s="8">
        <v>5809.86</v>
      </c>
      <c r="C1009" s="2">
        <v>230.57</v>
      </c>
      <c r="D1009" s="2">
        <v>218.39</v>
      </c>
      <c r="E1009" s="2">
        <v>424.73</v>
      </c>
      <c r="F1009" s="2">
        <v>560.80999999999995</v>
      </c>
      <c r="G1009" s="2">
        <v>163.66999999999999</v>
      </c>
      <c r="H1009" s="2">
        <v>283.22000000000003</v>
      </c>
      <c r="I1009" s="2">
        <v>269.98</v>
      </c>
      <c r="J1009" s="2">
        <v>155.19999999999999</v>
      </c>
      <c r="K1009" s="2">
        <v>83.04</v>
      </c>
      <c r="L1009" s="2">
        <v>387.06</v>
      </c>
      <c r="M1009" s="64">
        <v>11</v>
      </c>
      <c r="N1009" s="1"/>
      <c r="O1009" s="12">
        <f t="shared" si="165"/>
        <v>2.1457820892740731E-3</v>
      </c>
      <c r="P1009" s="12">
        <f t="shared" si="166"/>
        <v>-8.2336626798407142E-4</v>
      </c>
      <c r="Q1009" s="12">
        <f t="shared" si="167"/>
        <v>-6.1697099892588647E-2</v>
      </c>
      <c r="R1009" s="12">
        <f t="shared" si="168"/>
        <v>3.061705134244086E-4</v>
      </c>
      <c r="S1009" s="12">
        <f t="shared" si="169"/>
        <v>-6.7830830263531094E-3</v>
      </c>
      <c r="T1009" s="12">
        <f t="shared" si="170"/>
        <v>-1.3203906909441843E-2</v>
      </c>
      <c r="U1009" s="12">
        <f t="shared" si="171"/>
        <v>-1.903016633774901E-3</v>
      </c>
      <c r="V1009" s="12">
        <f t="shared" si="172"/>
        <v>-4.6086347380451809E-3</v>
      </c>
      <c r="W1009" s="12">
        <f t="shared" si="173"/>
        <v>-1.1842607920540038E-2</v>
      </c>
      <c r="X1009" s="12">
        <f t="shared" si="174"/>
        <v>-2.76209919538839E-3</v>
      </c>
      <c r="Y1009" s="12">
        <f t="shared" si="175"/>
        <v>3.4480076737612997E-3</v>
      </c>
    </row>
    <row r="1010" spans="1:25" x14ac:dyDescent="0.35">
      <c r="A1010" s="6">
        <v>45590</v>
      </c>
      <c r="B1010" s="8">
        <v>5808.12</v>
      </c>
      <c r="C1010" s="2">
        <v>231.41</v>
      </c>
      <c r="D1010" s="2">
        <v>214.67</v>
      </c>
      <c r="E1010" s="2">
        <v>428.15</v>
      </c>
      <c r="F1010" s="2">
        <v>564.55999999999995</v>
      </c>
      <c r="G1010" s="2">
        <v>160.88</v>
      </c>
      <c r="H1010" s="2">
        <v>281.73</v>
      </c>
      <c r="I1010" s="2">
        <v>267.35000000000002</v>
      </c>
      <c r="J1010" s="2">
        <v>155.01</v>
      </c>
      <c r="K1010" s="2">
        <v>82.51</v>
      </c>
      <c r="L1010" s="2">
        <v>385.97</v>
      </c>
      <c r="M1010" s="64" t="s">
        <v>77</v>
      </c>
      <c r="N1010" s="1"/>
      <c r="O1010" s="12">
        <f t="shared" si="165"/>
        <v>-2.994908655286066E-4</v>
      </c>
      <c r="P1010" s="12">
        <f t="shared" si="166"/>
        <v>3.6431452487313276E-3</v>
      </c>
      <c r="Q1010" s="12">
        <f t="shared" si="167"/>
        <v>-1.7033746966436225E-2</v>
      </c>
      <c r="R1010" s="12">
        <f t="shared" si="168"/>
        <v>8.0521743225105968E-3</v>
      </c>
      <c r="S1010" s="12">
        <f t="shared" si="169"/>
        <v>6.6867566555517399E-3</v>
      </c>
      <c r="T1010" s="12">
        <f t="shared" si="170"/>
        <v>-1.7046495998044753E-2</v>
      </c>
      <c r="U1010" s="12">
        <f t="shared" si="171"/>
        <v>-5.2609279005719767E-3</v>
      </c>
      <c r="V1010" s="12">
        <f t="shared" si="172"/>
        <v>-9.7414623305429604E-3</v>
      </c>
      <c r="W1010" s="12">
        <f t="shared" si="173"/>
        <v>-1.224226804123707E-3</v>
      </c>
      <c r="X1010" s="12">
        <f t="shared" si="174"/>
        <v>-6.3824662813102284E-3</v>
      </c>
      <c r="Y1010" s="12">
        <f t="shared" si="175"/>
        <v>-2.8161008629152828E-3</v>
      </c>
    </row>
    <row r="1011" spans="1:25" x14ac:dyDescent="0.35">
      <c r="A1011" s="6">
        <v>45593</v>
      </c>
      <c r="B1011" s="8">
        <v>5823.52</v>
      </c>
      <c r="C1011" s="2">
        <v>233.4</v>
      </c>
      <c r="D1011" s="2">
        <v>212.91</v>
      </c>
      <c r="E1011" s="2">
        <v>426.59</v>
      </c>
      <c r="F1011" s="2">
        <v>565.24</v>
      </c>
      <c r="G1011" s="2">
        <v>161.6</v>
      </c>
      <c r="H1011" s="2">
        <v>284.19</v>
      </c>
      <c r="I1011" s="2">
        <v>271.47000000000003</v>
      </c>
      <c r="J1011" s="2">
        <v>150.69</v>
      </c>
      <c r="K1011" s="2">
        <v>82.75</v>
      </c>
      <c r="L1011" s="2">
        <v>390.61</v>
      </c>
      <c r="M1011" s="64" t="s">
        <v>77</v>
      </c>
      <c r="N1011" s="1"/>
      <c r="O1011" s="12">
        <f t="shared" si="165"/>
        <v>2.6514603692762151E-3</v>
      </c>
      <c r="P1011" s="12">
        <f t="shared" si="166"/>
        <v>8.5994555118620308E-3</v>
      </c>
      <c r="Q1011" s="12">
        <f t="shared" si="167"/>
        <v>-8.1986304560487389E-3</v>
      </c>
      <c r="R1011" s="12">
        <f t="shared" si="168"/>
        <v>-3.6435828564755912E-3</v>
      </c>
      <c r="S1011" s="12">
        <f t="shared" si="169"/>
        <v>1.2044778234379105E-3</v>
      </c>
      <c r="T1011" s="12">
        <f t="shared" si="170"/>
        <v>4.4753853804078148E-3</v>
      </c>
      <c r="U1011" s="12">
        <f t="shared" si="171"/>
        <v>8.7317644553295271E-3</v>
      </c>
      <c r="V1011" s="12">
        <f t="shared" si="172"/>
        <v>1.5410510566672864E-2</v>
      </c>
      <c r="W1011" s="12">
        <f t="shared" si="173"/>
        <v>-2.7869169730985077E-2</v>
      </c>
      <c r="X1011" s="12">
        <f t="shared" si="174"/>
        <v>2.9087383347472517E-3</v>
      </c>
      <c r="Y1011" s="12">
        <f t="shared" si="175"/>
        <v>1.2021659714485544E-2</v>
      </c>
    </row>
    <row r="1012" spans="1:25" x14ac:dyDescent="0.35">
      <c r="A1012" s="6">
        <v>45594</v>
      </c>
      <c r="B1012" s="8">
        <v>5832.92</v>
      </c>
      <c r="C1012" s="2">
        <v>233.67</v>
      </c>
      <c r="D1012" s="2">
        <v>210.43</v>
      </c>
      <c r="E1012" s="2">
        <v>431.95</v>
      </c>
      <c r="F1012" s="2">
        <v>562.13</v>
      </c>
      <c r="G1012" s="2">
        <v>160.09</v>
      </c>
      <c r="H1012" s="2">
        <v>281.88</v>
      </c>
      <c r="I1012" s="2">
        <v>270.43</v>
      </c>
      <c r="J1012" s="2">
        <v>152.97999999999999</v>
      </c>
      <c r="K1012" s="2">
        <v>81.7</v>
      </c>
      <c r="L1012" s="2">
        <v>387.51</v>
      </c>
      <c r="M1012" s="64" t="s">
        <v>77</v>
      </c>
      <c r="N1012" s="1"/>
      <c r="O1012" s="12">
        <f t="shared" si="165"/>
        <v>1.6141440228589765E-3</v>
      </c>
      <c r="P1012" s="12">
        <f t="shared" si="166"/>
        <v>1.1568123393315144E-3</v>
      </c>
      <c r="Q1012" s="12">
        <f t="shared" si="167"/>
        <v>-1.1648114226668449E-2</v>
      </c>
      <c r="R1012" s="12">
        <f t="shared" si="168"/>
        <v>1.2564757729904619E-2</v>
      </c>
      <c r="S1012" s="12">
        <f t="shared" si="169"/>
        <v>-5.5020876088033299E-3</v>
      </c>
      <c r="T1012" s="12">
        <f t="shared" si="170"/>
        <v>-9.3440594059405191E-3</v>
      </c>
      <c r="U1012" s="12">
        <f t="shared" si="171"/>
        <v>-8.1283648263485997E-3</v>
      </c>
      <c r="V1012" s="12">
        <f t="shared" si="172"/>
        <v>-3.8309942166722122E-3</v>
      </c>
      <c r="W1012" s="12">
        <f t="shared" si="173"/>
        <v>1.5196761563474714E-2</v>
      </c>
      <c r="X1012" s="12">
        <f t="shared" si="174"/>
        <v>-1.2688821752265822E-2</v>
      </c>
      <c r="Y1012" s="12">
        <f t="shared" si="175"/>
        <v>-7.9363047541025633E-3</v>
      </c>
    </row>
    <row r="1013" spans="1:25" x14ac:dyDescent="0.35">
      <c r="A1013" s="6">
        <v>45595</v>
      </c>
      <c r="B1013" s="8">
        <v>5813.67</v>
      </c>
      <c r="C1013" s="2">
        <v>230.1</v>
      </c>
      <c r="D1013" s="2">
        <v>204.9</v>
      </c>
      <c r="E1013" s="2">
        <v>432.53</v>
      </c>
      <c r="F1013" s="2">
        <v>562.96</v>
      </c>
      <c r="G1013" s="2">
        <v>160.61000000000001</v>
      </c>
      <c r="H1013" s="2">
        <v>290.16000000000003</v>
      </c>
      <c r="I1013" s="2">
        <v>274.08</v>
      </c>
      <c r="J1013" s="2">
        <v>154.29</v>
      </c>
      <c r="K1013" s="2">
        <v>81.39</v>
      </c>
      <c r="L1013" s="2">
        <v>379.24</v>
      </c>
      <c r="M1013" s="64" t="s">
        <v>77</v>
      </c>
      <c r="N1013" s="1"/>
      <c r="O1013" s="12">
        <f t="shared" si="165"/>
        <v>-3.3002338451409985E-3</v>
      </c>
      <c r="P1013" s="12">
        <f t="shared" si="166"/>
        <v>-1.5277956091924505E-2</v>
      </c>
      <c r="Q1013" s="12">
        <f t="shared" si="167"/>
        <v>-2.627952288171842E-2</v>
      </c>
      <c r="R1013" s="12">
        <f t="shared" si="168"/>
        <v>1.3427480032410788E-3</v>
      </c>
      <c r="S1013" s="12">
        <f t="shared" si="169"/>
        <v>1.4765267820611161E-3</v>
      </c>
      <c r="T1013" s="12">
        <f t="shared" si="170"/>
        <v>3.2481729027422634E-3</v>
      </c>
      <c r="U1013" s="12">
        <f t="shared" si="171"/>
        <v>2.9374201787994991E-2</v>
      </c>
      <c r="V1013" s="12">
        <f t="shared" si="172"/>
        <v>1.3497023259253726E-2</v>
      </c>
      <c r="W1013" s="12">
        <f t="shared" si="173"/>
        <v>8.5632108772388804E-3</v>
      </c>
      <c r="X1013" s="12">
        <f t="shared" si="174"/>
        <v>-3.7943696450428721E-3</v>
      </c>
      <c r="Y1013" s="12">
        <f t="shared" si="175"/>
        <v>-2.1341384738458369E-2</v>
      </c>
    </row>
    <row r="1014" spans="1:25" x14ac:dyDescent="0.35">
      <c r="A1014" s="6">
        <v>45596</v>
      </c>
      <c r="B1014" s="8">
        <v>5705.45</v>
      </c>
      <c r="C1014" s="2">
        <v>225.91</v>
      </c>
      <c r="D1014" s="2">
        <v>206.72</v>
      </c>
      <c r="E1014" s="2">
        <v>406.35</v>
      </c>
      <c r="F1014" s="2">
        <v>564.5</v>
      </c>
      <c r="G1014" s="2">
        <v>159.86000000000001</v>
      </c>
      <c r="H1014" s="2">
        <v>289.85000000000002</v>
      </c>
      <c r="I1014" s="2">
        <v>270.08</v>
      </c>
      <c r="J1014" s="2">
        <v>149.31</v>
      </c>
      <c r="K1014" s="2">
        <v>81.95</v>
      </c>
      <c r="L1014" s="2">
        <v>376.2</v>
      </c>
      <c r="M1014" s="64">
        <v>11</v>
      </c>
      <c r="N1014" s="1"/>
      <c r="O1014" s="12">
        <f t="shared" si="165"/>
        <v>-1.8614747655095742E-2</v>
      </c>
      <c r="P1014" s="12">
        <f t="shared" si="166"/>
        <v>-1.8209474141677506E-2</v>
      </c>
      <c r="Q1014" s="12">
        <f t="shared" si="167"/>
        <v>8.8823816495851027E-3</v>
      </c>
      <c r="R1014" s="12">
        <f t="shared" si="168"/>
        <v>-6.0527593461725093E-2</v>
      </c>
      <c r="S1014" s="12">
        <f t="shared" si="169"/>
        <v>2.7355407133720089E-3</v>
      </c>
      <c r="T1014" s="12">
        <f t="shared" si="170"/>
        <v>-4.6696967810223589E-3</v>
      </c>
      <c r="U1014" s="12">
        <f t="shared" si="171"/>
        <v>-1.0683760683760646E-3</v>
      </c>
      <c r="V1014" s="12">
        <f t="shared" si="172"/>
        <v>-1.4594279042615343E-2</v>
      </c>
      <c r="W1014" s="12">
        <f t="shared" si="173"/>
        <v>-3.2276881197744411E-2</v>
      </c>
      <c r="X1014" s="12">
        <f t="shared" si="174"/>
        <v>6.8804521439980171E-3</v>
      </c>
      <c r="Y1014" s="12">
        <f t="shared" si="175"/>
        <v>-8.0160320641282645E-3</v>
      </c>
    </row>
    <row r="1015" spans="1:25" x14ac:dyDescent="0.35">
      <c r="A1015" s="6">
        <v>45597</v>
      </c>
      <c r="B1015" s="8">
        <v>5728.8</v>
      </c>
      <c r="C1015" s="2">
        <v>222.91</v>
      </c>
      <c r="D1015" s="2">
        <v>208.25</v>
      </c>
      <c r="E1015" s="2">
        <v>410.37</v>
      </c>
      <c r="F1015" s="2">
        <v>567.55999999999995</v>
      </c>
      <c r="G1015" s="2">
        <v>160.13</v>
      </c>
      <c r="H1015" s="2">
        <v>290.74</v>
      </c>
      <c r="I1015" s="2">
        <v>272.69</v>
      </c>
      <c r="J1015" s="2">
        <v>154.59</v>
      </c>
      <c r="K1015" s="2">
        <v>82.19</v>
      </c>
      <c r="L1015" s="2">
        <v>379.63</v>
      </c>
      <c r="M1015" s="64" t="s">
        <v>77</v>
      </c>
      <c r="N1015" s="1"/>
      <c r="O1015" s="12">
        <f t="shared" si="165"/>
        <v>4.0925781489629109E-3</v>
      </c>
      <c r="P1015" s="12">
        <f t="shared" si="166"/>
        <v>-1.327962462927712E-2</v>
      </c>
      <c r="Q1015" s="12">
        <f t="shared" si="167"/>
        <v>7.4013157894736725E-3</v>
      </c>
      <c r="R1015" s="12">
        <f t="shared" si="168"/>
        <v>9.892949427833031E-3</v>
      </c>
      <c r="S1015" s="12">
        <f t="shared" si="169"/>
        <v>5.4207263064658395E-3</v>
      </c>
      <c r="T1015" s="12">
        <f t="shared" si="170"/>
        <v>1.6889778556234969E-3</v>
      </c>
      <c r="U1015" s="12">
        <f t="shared" si="171"/>
        <v>3.070553734690229E-3</v>
      </c>
      <c r="V1015" s="12">
        <f t="shared" si="172"/>
        <v>9.6638033175355798E-3</v>
      </c>
      <c r="W1015" s="12">
        <f t="shared" si="173"/>
        <v>3.5362668274060649E-2</v>
      </c>
      <c r="X1015" s="12">
        <f t="shared" si="174"/>
        <v>2.9286150091518692E-3</v>
      </c>
      <c r="Y1015" s="12">
        <f t="shared" si="175"/>
        <v>9.1174906964381908E-3</v>
      </c>
    </row>
    <row r="1016" spans="1:25" x14ac:dyDescent="0.35">
      <c r="A1016" s="6">
        <v>45600</v>
      </c>
      <c r="B1016" s="8">
        <v>5712.69</v>
      </c>
      <c r="C1016" s="2">
        <v>222.01</v>
      </c>
      <c r="D1016" s="2">
        <v>206.32</v>
      </c>
      <c r="E1016" s="2">
        <v>408.46</v>
      </c>
      <c r="F1016" s="2">
        <v>557.77</v>
      </c>
      <c r="G1016" s="2">
        <v>158.24</v>
      </c>
      <c r="H1016" s="2">
        <v>291.85000000000002</v>
      </c>
      <c r="I1016" s="2">
        <v>270.19</v>
      </c>
      <c r="J1016" s="2">
        <v>155.07</v>
      </c>
      <c r="K1016" s="2">
        <v>82.45</v>
      </c>
      <c r="L1016" s="2">
        <v>376.52</v>
      </c>
      <c r="M1016" s="64" t="s">
        <v>77</v>
      </c>
      <c r="N1016" s="1"/>
      <c r="O1016" s="12">
        <f t="shared" si="165"/>
        <v>-2.8121072475911779E-3</v>
      </c>
      <c r="P1016" s="12">
        <f t="shared" si="166"/>
        <v>-4.0375039253510714E-3</v>
      </c>
      <c r="Q1016" s="12">
        <f t="shared" si="167"/>
        <v>-9.2677070828331987E-3</v>
      </c>
      <c r="R1016" s="12">
        <f t="shared" si="168"/>
        <v>-4.6543363306285057E-3</v>
      </c>
      <c r="S1016" s="12">
        <f t="shared" si="169"/>
        <v>-1.7249277609415636E-2</v>
      </c>
      <c r="T1016" s="12">
        <f t="shared" si="170"/>
        <v>-1.1802910135514821E-2</v>
      </c>
      <c r="U1016" s="12">
        <f t="shared" si="171"/>
        <v>3.8178441218958969E-3</v>
      </c>
      <c r="V1016" s="12">
        <f t="shared" si="172"/>
        <v>-9.167919615680864E-3</v>
      </c>
      <c r="W1016" s="12">
        <f t="shared" si="173"/>
        <v>3.1049873859887445E-3</v>
      </c>
      <c r="X1016" s="12">
        <f t="shared" si="174"/>
        <v>3.1634018737072278E-3</v>
      </c>
      <c r="Y1016" s="12">
        <f t="shared" si="175"/>
        <v>-8.1921871295735915E-3</v>
      </c>
    </row>
    <row r="1017" spans="1:25" x14ac:dyDescent="0.35">
      <c r="A1017" s="6">
        <v>45601</v>
      </c>
      <c r="B1017" s="8">
        <v>5782.76</v>
      </c>
      <c r="C1017" s="2">
        <v>223.45</v>
      </c>
      <c r="D1017" s="2">
        <v>207.57</v>
      </c>
      <c r="E1017" s="2">
        <v>411.46</v>
      </c>
      <c r="F1017" s="2">
        <v>567.03</v>
      </c>
      <c r="G1017" s="2">
        <v>158.35</v>
      </c>
      <c r="H1017" s="2">
        <v>293.29000000000002</v>
      </c>
      <c r="I1017" s="2">
        <v>275.94</v>
      </c>
      <c r="J1017" s="2">
        <v>151</v>
      </c>
      <c r="K1017" s="2">
        <v>83.68</v>
      </c>
      <c r="L1017" s="2">
        <v>383.37</v>
      </c>
      <c r="M1017" s="64" t="s">
        <v>77</v>
      </c>
      <c r="N1017" s="1"/>
      <c r="O1017" s="12">
        <f t="shared" si="165"/>
        <v>1.2265675189796932E-2</v>
      </c>
      <c r="P1017" s="12">
        <f t="shared" si="166"/>
        <v>6.486194315571403E-3</v>
      </c>
      <c r="Q1017" s="12">
        <f t="shared" si="167"/>
        <v>6.0585498255136816E-3</v>
      </c>
      <c r="R1017" s="12">
        <f t="shared" si="168"/>
        <v>7.3446604318661013E-3</v>
      </c>
      <c r="S1017" s="12">
        <f t="shared" si="169"/>
        <v>1.6601825125051484E-2</v>
      </c>
      <c r="T1017" s="12">
        <f t="shared" si="170"/>
        <v>6.9514661274006073E-4</v>
      </c>
      <c r="U1017" s="12">
        <f t="shared" si="171"/>
        <v>4.9340414596539262E-3</v>
      </c>
      <c r="V1017" s="12">
        <f t="shared" si="172"/>
        <v>2.1281320552203997E-2</v>
      </c>
      <c r="W1017" s="12">
        <f t="shared" si="173"/>
        <v>-2.6246211388405216E-2</v>
      </c>
      <c r="X1017" s="12">
        <f t="shared" si="174"/>
        <v>1.4918132201334089E-2</v>
      </c>
      <c r="Y1017" s="12">
        <f t="shared" si="175"/>
        <v>1.8192924678636091E-2</v>
      </c>
    </row>
    <row r="1018" spans="1:25" x14ac:dyDescent="0.35">
      <c r="A1018" s="6">
        <v>45602</v>
      </c>
      <c r="B1018" s="8">
        <v>5929.04</v>
      </c>
      <c r="C1018" s="2">
        <v>222.72</v>
      </c>
      <c r="D1018" s="2">
        <v>213.6</v>
      </c>
      <c r="E1018" s="2">
        <v>420.18</v>
      </c>
      <c r="F1018" s="2">
        <v>596.69000000000005</v>
      </c>
      <c r="G1018" s="2">
        <v>157.88</v>
      </c>
      <c r="H1018" s="2">
        <v>307.39999999999998</v>
      </c>
      <c r="I1018" s="2">
        <v>295.16000000000003</v>
      </c>
      <c r="J1018" s="2">
        <v>147.16</v>
      </c>
      <c r="K1018" s="2">
        <v>83.44</v>
      </c>
      <c r="L1018" s="2">
        <v>416.88</v>
      </c>
      <c r="M1018" s="64" t="s">
        <v>77</v>
      </c>
      <c r="N1018" s="1"/>
      <c r="O1018" s="12">
        <f t="shared" si="165"/>
        <v>2.5295879476236127E-2</v>
      </c>
      <c r="P1018" s="12">
        <f t="shared" si="166"/>
        <v>-3.2669501006936663E-3</v>
      </c>
      <c r="Q1018" s="12">
        <f t="shared" si="167"/>
        <v>2.9050440815146628E-2</v>
      </c>
      <c r="R1018" s="12">
        <f t="shared" si="168"/>
        <v>2.1192825548048466E-2</v>
      </c>
      <c r="S1018" s="12">
        <f t="shared" si="169"/>
        <v>5.230763804384253E-2</v>
      </c>
      <c r="T1018" s="12">
        <f t="shared" si="170"/>
        <v>-2.9681086201452933E-3</v>
      </c>
      <c r="U1018" s="12">
        <f t="shared" si="171"/>
        <v>4.810937979474228E-2</v>
      </c>
      <c r="V1018" s="12">
        <f t="shared" si="172"/>
        <v>6.9652823077480663E-2</v>
      </c>
      <c r="W1018" s="12">
        <f t="shared" si="173"/>
        <v>-2.5430463576158968E-2</v>
      </c>
      <c r="X1018" s="12">
        <f t="shared" si="174"/>
        <v>-2.8680688336520932E-3</v>
      </c>
      <c r="Y1018" s="12">
        <f t="shared" si="175"/>
        <v>8.7409030440566582E-2</v>
      </c>
    </row>
    <row r="1019" spans="1:25" x14ac:dyDescent="0.35">
      <c r="A1019" s="6">
        <v>45603</v>
      </c>
      <c r="B1019" s="8">
        <v>5973.1</v>
      </c>
      <c r="C1019" s="2">
        <v>227.48</v>
      </c>
      <c r="D1019" s="2">
        <v>213.69</v>
      </c>
      <c r="E1019" s="2">
        <v>425.43</v>
      </c>
      <c r="F1019" s="2">
        <v>605.45000000000005</v>
      </c>
      <c r="G1019" s="2">
        <v>156.72999999999999</v>
      </c>
      <c r="H1019" s="2">
        <v>305.8</v>
      </c>
      <c r="I1019" s="2">
        <v>286.82</v>
      </c>
      <c r="J1019" s="2">
        <v>150.97999999999999</v>
      </c>
      <c r="K1019" s="2">
        <v>83.85</v>
      </c>
      <c r="L1019" s="2">
        <v>408.21</v>
      </c>
      <c r="M1019" s="64">
        <v>11</v>
      </c>
      <c r="N1019" s="1"/>
      <c r="O1019" s="12">
        <f t="shared" si="165"/>
        <v>7.4312198939459062E-3</v>
      </c>
      <c r="P1019" s="12">
        <f t="shared" si="166"/>
        <v>2.1372126436781658E-2</v>
      </c>
      <c r="Q1019" s="12">
        <f t="shared" si="167"/>
        <v>4.2134831460671762E-4</v>
      </c>
      <c r="R1019" s="12">
        <f t="shared" si="168"/>
        <v>1.2494645152077766E-2</v>
      </c>
      <c r="S1019" s="12">
        <f t="shared" si="169"/>
        <v>1.468099012887758E-2</v>
      </c>
      <c r="T1019" s="12">
        <f t="shared" si="170"/>
        <v>-7.2840131745629533E-3</v>
      </c>
      <c r="U1019" s="12">
        <f t="shared" si="171"/>
        <v>-5.2049446974624658E-3</v>
      </c>
      <c r="V1019" s="12">
        <f t="shared" si="172"/>
        <v>-2.8255861227808765E-2</v>
      </c>
      <c r="W1019" s="12">
        <f t="shared" si="173"/>
        <v>2.5958140799130058E-2</v>
      </c>
      <c r="X1019" s="12">
        <f t="shared" si="174"/>
        <v>4.9137104506231655E-3</v>
      </c>
      <c r="Y1019" s="12">
        <f t="shared" si="175"/>
        <v>-2.0797351755901028E-2</v>
      </c>
    </row>
    <row r="1020" spans="1:25" x14ac:dyDescent="0.35">
      <c r="A1020" s="6">
        <v>45604</v>
      </c>
      <c r="B1020" s="8">
        <v>5995.54</v>
      </c>
      <c r="C1020" s="2">
        <v>226.96</v>
      </c>
      <c r="D1020" s="2">
        <v>213.72</v>
      </c>
      <c r="E1020" s="2">
        <v>422.54</v>
      </c>
      <c r="F1020" s="2">
        <v>615.80999999999995</v>
      </c>
      <c r="G1020" s="2">
        <v>155.47</v>
      </c>
      <c r="H1020" s="2">
        <v>307.87</v>
      </c>
      <c r="I1020" s="2">
        <v>287.60000000000002</v>
      </c>
      <c r="J1020" s="2">
        <v>151.68</v>
      </c>
      <c r="K1020" s="2">
        <v>84.83</v>
      </c>
      <c r="L1020" s="2">
        <v>393.37</v>
      </c>
      <c r="M1020" s="64" t="s">
        <v>77</v>
      </c>
      <c r="N1020" s="1"/>
      <c r="O1020" s="12">
        <f t="shared" si="165"/>
        <v>3.7568431802581514E-3</v>
      </c>
      <c r="P1020" s="12">
        <f t="shared" si="166"/>
        <v>-2.2859152452961995E-3</v>
      </c>
      <c r="Q1020" s="12">
        <f t="shared" si="167"/>
        <v>1.4039028499235329E-4</v>
      </c>
      <c r="R1020" s="12">
        <f t="shared" si="168"/>
        <v>-6.7931269539054373E-3</v>
      </c>
      <c r="S1020" s="12">
        <f t="shared" si="169"/>
        <v>1.7111239573870618E-2</v>
      </c>
      <c r="T1020" s="12">
        <f t="shared" si="170"/>
        <v>-8.0393032603840453E-3</v>
      </c>
      <c r="U1020" s="12">
        <f t="shared" si="171"/>
        <v>6.7691301504251289E-3</v>
      </c>
      <c r="V1020" s="12">
        <f t="shared" si="172"/>
        <v>2.7194756293147382E-3</v>
      </c>
      <c r="W1020" s="12">
        <f t="shared" si="173"/>
        <v>4.6363756788980748E-3</v>
      </c>
      <c r="X1020" s="12">
        <f t="shared" si="174"/>
        <v>1.168753726893268E-2</v>
      </c>
      <c r="Y1020" s="12">
        <f t="shared" si="175"/>
        <v>-3.6353837485607832E-2</v>
      </c>
    </row>
    <row r="1021" spans="1:25" x14ac:dyDescent="0.35">
      <c r="A1021" s="6">
        <v>45607</v>
      </c>
      <c r="B1021" s="8">
        <v>6001.35</v>
      </c>
      <c r="C1021" s="2">
        <v>224.23</v>
      </c>
      <c r="D1021" s="2">
        <v>213.57</v>
      </c>
      <c r="E1021" s="2">
        <v>418.01</v>
      </c>
      <c r="F1021" s="2">
        <v>625.25</v>
      </c>
      <c r="G1021" s="2">
        <v>155.04</v>
      </c>
      <c r="H1021" s="2">
        <v>310.92</v>
      </c>
      <c r="I1021" s="2">
        <v>292.97000000000003</v>
      </c>
      <c r="J1021" s="2">
        <v>148.96</v>
      </c>
      <c r="K1021" s="2">
        <v>84.21</v>
      </c>
      <c r="L1021" s="2">
        <v>396.54</v>
      </c>
      <c r="M1021" s="64" t="s">
        <v>77</v>
      </c>
      <c r="N1021" s="1"/>
      <c r="O1021" s="12">
        <f t="shared" si="165"/>
        <v>9.6905366322297404E-4</v>
      </c>
      <c r="P1021" s="12">
        <f t="shared" si="166"/>
        <v>-1.2028551286570432E-2</v>
      </c>
      <c r="Q1021" s="12">
        <f t="shared" si="167"/>
        <v>-7.0185289163393616E-4</v>
      </c>
      <c r="R1021" s="12">
        <f t="shared" si="168"/>
        <v>-1.072087849671044E-2</v>
      </c>
      <c r="S1021" s="12">
        <f t="shared" si="169"/>
        <v>1.5329403549796394E-2</v>
      </c>
      <c r="T1021" s="12">
        <f t="shared" si="170"/>
        <v>-2.7658069080852554E-3</v>
      </c>
      <c r="U1021" s="12">
        <f t="shared" si="171"/>
        <v>9.9067788352227293E-3</v>
      </c>
      <c r="V1021" s="12">
        <f t="shared" si="172"/>
        <v>1.8671766342141849E-2</v>
      </c>
      <c r="W1021" s="12">
        <f t="shared" si="173"/>
        <v>-1.7932489451476741E-2</v>
      </c>
      <c r="X1021" s="12">
        <f t="shared" si="174"/>
        <v>-7.3087351172934634E-3</v>
      </c>
      <c r="Y1021" s="12">
        <f t="shared" si="175"/>
        <v>8.0585708111955423E-3</v>
      </c>
    </row>
    <row r="1022" spans="1:25" x14ac:dyDescent="0.35">
      <c r="A1022" s="6">
        <v>45608</v>
      </c>
      <c r="B1022" s="8">
        <v>5983.99</v>
      </c>
      <c r="C1022" s="2">
        <v>224.23</v>
      </c>
      <c r="D1022" s="2">
        <v>210.86</v>
      </c>
      <c r="E1022" s="2">
        <v>423.03</v>
      </c>
      <c r="F1022" s="2">
        <v>614.66999999999996</v>
      </c>
      <c r="G1022" s="2">
        <v>152.63999999999999</v>
      </c>
      <c r="H1022" s="2">
        <v>309.85000000000002</v>
      </c>
      <c r="I1022" s="2">
        <v>288.51</v>
      </c>
      <c r="J1022" s="2">
        <v>145.16999999999999</v>
      </c>
      <c r="K1022" s="2">
        <v>84.99</v>
      </c>
      <c r="L1022" s="2">
        <v>393.01</v>
      </c>
      <c r="M1022" s="64" t="s">
        <v>77</v>
      </c>
      <c r="N1022" s="1"/>
      <c r="O1022" s="12">
        <f t="shared" si="165"/>
        <v>-2.8926824797754769E-3</v>
      </c>
      <c r="P1022" s="12">
        <f t="shared" si="166"/>
        <v>0</v>
      </c>
      <c r="Q1022" s="12">
        <f t="shared" si="167"/>
        <v>-1.268904808727811E-2</v>
      </c>
      <c r="R1022" s="12">
        <f t="shared" si="168"/>
        <v>1.2009282074591399E-2</v>
      </c>
      <c r="S1022" s="12">
        <f t="shared" si="169"/>
        <v>-1.6921231507397105E-2</v>
      </c>
      <c r="T1022" s="12">
        <f t="shared" si="170"/>
        <v>-1.547987616099078E-2</v>
      </c>
      <c r="U1022" s="12">
        <f t="shared" si="171"/>
        <v>-3.4413997169689958E-3</v>
      </c>
      <c r="V1022" s="12">
        <f t="shared" si="172"/>
        <v>-1.5223401713486129E-2</v>
      </c>
      <c r="W1022" s="12">
        <f t="shared" si="173"/>
        <v>-2.544307196562845E-2</v>
      </c>
      <c r="X1022" s="12">
        <f t="shared" si="174"/>
        <v>9.2625578909868445E-3</v>
      </c>
      <c r="Y1022" s="12">
        <f t="shared" si="175"/>
        <v>-8.9020023200686582E-3</v>
      </c>
    </row>
    <row r="1023" spans="1:25" x14ac:dyDescent="0.35">
      <c r="A1023" s="6">
        <v>45609</v>
      </c>
      <c r="B1023" s="8">
        <v>5985.38</v>
      </c>
      <c r="C1023" s="2">
        <v>225.12</v>
      </c>
      <c r="D1023" s="2">
        <v>210.92</v>
      </c>
      <c r="E1023" s="2">
        <v>425.2</v>
      </c>
      <c r="F1023" s="2">
        <v>605.87</v>
      </c>
      <c r="G1023" s="2">
        <v>153.24</v>
      </c>
      <c r="H1023" s="2">
        <v>309.48</v>
      </c>
      <c r="I1023" s="2">
        <v>287.64</v>
      </c>
      <c r="J1023" s="2">
        <v>139.97</v>
      </c>
      <c r="K1023" s="2">
        <v>85.5</v>
      </c>
      <c r="L1023" s="2">
        <v>387.07</v>
      </c>
      <c r="M1023" s="64" t="s">
        <v>77</v>
      </c>
      <c r="N1023" s="1"/>
      <c r="O1023" s="12">
        <f t="shared" si="165"/>
        <v>2.3228648443596178E-4</v>
      </c>
      <c r="P1023" s="12">
        <f t="shared" si="166"/>
        <v>3.9691388306650754E-3</v>
      </c>
      <c r="Q1023" s="12">
        <f t="shared" si="167"/>
        <v>2.8454898985086352E-4</v>
      </c>
      <c r="R1023" s="12">
        <f t="shared" si="168"/>
        <v>5.1296598349999112E-3</v>
      </c>
      <c r="S1023" s="12">
        <f t="shared" si="169"/>
        <v>-1.4316625180991305E-2</v>
      </c>
      <c r="T1023" s="12">
        <f t="shared" si="170"/>
        <v>3.9308176100629755E-3</v>
      </c>
      <c r="U1023" s="12">
        <f t="shared" si="171"/>
        <v>-1.1941261900919597E-3</v>
      </c>
      <c r="V1023" s="12">
        <f t="shared" si="172"/>
        <v>-3.0154933971092701E-3</v>
      </c>
      <c r="W1023" s="12">
        <f t="shared" si="173"/>
        <v>-3.582007301784107E-2</v>
      </c>
      <c r="X1023" s="12">
        <f t="shared" si="174"/>
        <v>6.0007059654076933E-3</v>
      </c>
      <c r="Y1023" s="12">
        <f t="shared" si="175"/>
        <v>-1.5114119233607282E-2</v>
      </c>
    </row>
    <row r="1024" spans="1:25" x14ac:dyDescent="0.35">
      <c r="A1024" s="6">
        <v>45610</v>
      </c>
      <c r="B1024" s="8">
        <v>5949.17</v>
      </c>
      <c r="C1024" s="2">
        <v>228.22</v>
      </c>
      <c r="D1024" s="2">
        <v>208.99</v>
      </c>
      <c r="E1024" s="2">
        <v>426.89</v>
      </c>
      <c r="F1024" s="2">
        <v>593.15</v>
      </c>
      <c r="G1024" s="2">
        <v>151.87</v>
      </c>
      <c r="H1024" s="2">
        <v>308.25</v>
      </c>
      <c r="I1024" s="2">
        <v>288.3</v>
      </c>
      <c r="J1024" s="2">
        <v>138.13999999999999</v>
      </c>
      <c r="K1024" s="2">
        <v>84.47</v>
      </c>
      <c r="L1024" s="2">
        <v>387.36</v>
      </c>
      <c r="M1024" s="64">
        <v>11.18</v>
      </c>
      <c r="N1024" s="1"/>
      <c r="O1024" s="12">
        <f t="shared" si="165"/>
        <v>-6.0497412027306074E-3</v>
      </c>
      <c r="P1024" s="12">
        <f t="shared" si="166"/>
        <v>1.377043354655294E-2</v>
      </c>
      <c r="Q1024" s="12">
        <f t="shared" si="167"/>
        <v>-9.1503887729943445E-3</v>
      </c>
      <c r="R1024" s="12">
        <f t="shared" si="168"/>
        <v>3.9746001881466597E-3</v>
      </c>
      <c r="S1024" s="12">
        <f t="shared" si="169"/>
        <v>-2.0994602802581475E-2</v>
      </c>
      <c r="T1024" s="12">
        <f t="shared" si="170"/>
        <v>-8.9402244844688505E-3</v>
      </c>
      <c r="U1024" s="12">
        <f t="shared" si="171"/>
        <v>-3.9744086855371119E-3</v>
      </c>
      <c r="V1024" s="12">
        <f t="shared" si="172"/>
        <v>2.2945348352108041E-3</v>
      </c>
      <c r="W1024" s="12">
        <f t="shared" si="173"/>
        <v>-1.3074230192184122E-2</v>
      </c>
      <c r="X1024" s="12">
        <f t="shared" si="174"/>
        <v>-1.2046783625730972E-2</v>
      </c>
      <c r="Y1024" s="12">
        <f t="shared" si="175"/>
        <v>7.4921848761211329E-4</v>
      </c>
    </row>
    <row r="1025" spans="1:25" x14ac:dyDescent="0.35">
      <c r="A1025" s="6">
        <v>45611</v>
      </c>
      <c r="B1025" s="8">
        <v>5870.62</v>
      </c>
      <c r="C1025" s="2">
        <v>225</v>
      </c>
      <c r="D1025" s="2">
        <v>204.99</v>
      </c>
      <c r="E1025" s="2">
        <v>415</v>
      </c>
      <c r="F1025" s="2">
        <v>592.23</v>
      </c>
      <c r="G1025" s="2">
        <v>154</v>
      </c>
      <c r="H1025" s="2">
        <v>309.64</v>
      </c>
      <c r="I1025" s="2">
        <v>286.87</v>
      </c>
      <c r="J1025" s="2">
        <v>140.19</v>
      </c>
      <c r="K1025" s="2">
        <v>84.25</v>
      </c>
      <c r="L1025" s="2">
        <v>384.07</v>
      </c>
      <c r="M1025" s="64" t="s">
        <v>77</v>
      </c>
      <c r="N1025" s="1"/>
      <c r="O1025" s="12">
        <f t="shared" si="165"/>
        <v>-1.3203522508181798E-2</v>
      </c>
      <c r="P1025" s="12">
        <f t="shared" si="166"/>
        <v>-1.4109192884059207E-2</v>
      </c>
      <c r="Q1025" s="12">
        <f t="shared" si="167"/>
        <v>-1.9139671754629384E-2</v>
      </c>
      <c r="R1025" s="12">
        <f t="shared" si="168"/>
        <v>-2.7852608400290468E-2</v>
      </c>
      <c r="S1025" s="12">
        <f t="shared" si="169"/>
        <v>-1.5510410520104267E-3</v>
      </c>
      <c r="T1025" s="12">
        <f t="shared" si="170"/>
        <v>1.4025153091459686E-2</v>
      </c>
      <c r="U1025" s="12">
        <f t="shared" si="171"/>
        <v>4.5093268450933088E-3</v>
      </c>
      <c r="V1025" s="12">
        <f t="shared" si="172"/>
        <v>-4.960110995490874E-3</v>
      </c>
      <c r="W1025" s="12">
        <f t="shared" si="173"/>
        <v>1.4840017373678904E-2</v>
      </c>
      <c r="X1025" s="12">
        <f t="shared" si="174"/>
        <v>-2.6044749615248275E-3</v>
      </c>
      <c r="Y1025" s="12">
        <f t="shared" si="175"/>
        <v>-8.4933911606774881E-3</v>
      </c>
    </row>
    <row r="1026" spans="1:25" x14ac:dyDescent="0.35">
      <c r="A1026" s="6">
        <v>45614</v>
      </c>
      <c r="B1026" s="8">
        <v>5893.62</v>
      </c>
      <c r="C1026" s="2">
        <v>228.02</v>
      </c>
      <c r="D1026" s="2">
        <v>208.09</v>
      </c>
      <c r="E1026" s="2">
        <v>415.76</v>
      </c>
      <c r="F1026" s="2">
        <v>589.65</v>
      </c>
      <c r="G1026" s="2">
        <v>154.77000000000001</v>
      </c>
      <c r="H1026" s="2">
        <v>312.16000000000003</v>
      </c>
      <c r="I1026" s="2">
        <v>285.54000000000002</v>
      </c>
      <c r="J1026" s="2">
        <v>143.87</v>
      </c>
      <c r="K1026" s="2">
        <v>84.08</v>
      </c>
      <c r="L1026" s="2">
        <v>384.46</v>
      </c>
      <c r="M1026" s="64" t="s">
        <v>77</v>
      </c>
      <c r="N1026" s="1"/>
      <c r="O1026" s="12">
        <f t="shared" si="165"/>
        <v>3.9178144727474162E-3</v>
      </c>
      <c r="P1026" s="12">
        <f t="shared" si="166"/>
        <v>1.3422222222222224E-2</v>
      </c>
      <c r="Q1026" s="12">
        <f t="shared" si="167"/>
        <v>1.5122688911654247E-2</v>
      </c>
      <c r="R1026" s="12">
        <f t="shared" si="168"/>
        <v>1.8313253012047781E-3</v>
      </c>
      <c r="S1026" s="12">
        <f t="shared" si="169"/>
        <v>-4.3564155817841232E-3</v>
      </c>
      <c r="T1026" s="12">
        <f t="shared" si="170"/>
        <v>5.0000000000001155E-3</v>
      </c>
      <c r="U1026" s="12">
        <f t="shared" si="171"/>
        <v>8.1384834000777229E-3</v>
      </c>
      <c r="V1026" s="12">
        <f t="shared" si="172"/>
        <v>-4.6362463833792278E-3</v>
      </c>
      <c r="W1026" s="12">
        <f t="shared" si="173"/>
        <v>2.6250089164705059E-2</v>
      </c>
      <c r="X1026" s="12">
        <f t="shared" si="174"/>
        <v>-2.0178041543026382E-3</v>
      </c>
      <c r="Y1026" s="12">
        <f t="shared" si="175"/>
        <v>1.0154398937693987E-3</v>
      </c>
    </row>
    <row r="1027" spans="1:25" x14ac:dyDescent="0.35">
      <c r="A1027" s="6">
        <v>45615</v>
      </c>
      <c r="B1027" s="8">
        <v>5916.98</v>
      </c>
      <c r="C1027" s="2">
        <v>228.28</v>
      </c>
      <c r="D1027" s="2">
        <v>210.25</v>
      </c>
      <c r="E1027" s="2">
        <v>417.79</v>
      </c>
      <c r="F1027" s="2">
        <v>577</v>
      </c>
      <c r="G1027" s="2">
        <v>153</v>
      </c>
      <c r="H1027" s="2">
        <v>311.85000000000002</v>
      </c>
      <c r="I1027" s="2">
        <v>285.55</v>
      </c>
      <c r="J1027" s="2">
        <v>145.6</v>
      </c>
      <c r="K1027" s="2">
        <v>86.6</v>
      </c>
      <c r="L1027" s="2">
        <v>382.33</v>
      </c>
      <c r="M1027" s="64" t="s">
        <v>77</v>
      </c>
      <c r="N1027" s="1"/>
      <c r="O1027" s="12">
        <f t="shared" si="165"/>
        <v>3.9636081050355987E-3</v>
      </c>
      <c r="P1027" s="12">
        <f t="shared" si="166"/>
        <v>1.1402508551880963E-3</v>
      </c>
      <c r="Q1027" s="12">
        <f t="shared" si="167"/>
        <v>1.0380123984814249E-2</v>
      </c>
      <c r="R1027" s="12">
        <f t="shared" si="168"/>
        <v>4.8826245911102184E-3</v>
      </c>
      <c r="S1027" s="12">
        <f t="shared" si="169"/>
        <v>-2.1453404562028267E-2</v>
      </c>
      <c r="T1027" s="12">
        <f t="shared" si="170"/>
        <v>-1.1436324869160797E-2</v>
      </c>
      <c r="U1027" s="12">
        <f t="shared" si="171"/>
        <v>-9.9308047155310941E-4</v>
      </c>
      <c r="V1027" s="12">
        <f t="shared" si="172"/>
        <v>3.5021363031351171E-5</v>
      </c>
      <c r="W1027" s="12">
        <f t="shared" si="173"/>
        <v>1.2024744561061951E-2</v>
      </c>
      <c r="X1027" s="12">
        <f t="shared" si="174"/>
        <v>2.9971455756422349E-2</v>
      </c>
      <c r="Y1027" s="12">
        <f t="shared" si="175"/>
        <v>-5.5402382562554919E-3</v>
      </c>
    </row>
    <row r="1028" spans="1:25" x14ac:dyDescent="0.35">
      <c r="A1028" s="6">
        <v>45616</v>
      </c>
      <c r="B1028" s="8">
        <v>5917.11</v>
      </c>
      <c r="C1028" s="2">
        <v>229</v>
      </c>
      <c r="D1028" s="2">
        <v>214.6</v>
      </c>
      <c r="E1028" s="2">
        <v>415.49</v>
      </c>
      <c r="F1028" s="2">
        <v>600.5</v>
      </c>
      <c r="G1028" s="2">
        <v>153.11000000000001</v>
      </c>
      <c r="H1028" s="2">
        <v>307.39</v>
      </c>
      <c r="I1028" s="2">
        <v>287.70999999999998</v>
      </c>
      <c r="J1028" s="2">
        <v>146.08000000000001</v>
      </c>
      <c r="K1028" s="2">
        <v>87.18</v>
      </c>
      <c r="L1028" s="2">
        <v>381.5</v>
      </c>
      <c r="M1028" s="64">
        <v>10.99</v>
      </c>
      <c r="N1028" s="1"/>
      <c r="O1028" s="12">
        <f t="shared" si="165"/>
        <v>2.1970667468895755E-5</v>
      </c>
      <c r="P1028" s="12">
        <f t="shared" si="166"/>
        <v>3.1540213772560666E-3</v>
      </c>
      <c r="Q1028" s="12">
        <f t="shared" si="167"/>
        <v>2.0689655172413834E-2</v>
      </c>
      <c r="R1028" s="12">
        <f t="shared" si="168"/>
        <v>-5.5051580937791611E-3</v>
      </c>
      <c r="S1028" s="12">
        <f t="shared" si="169"/>
        <v>4.0727902946273931E-2</v>
      </c>
      <c r="T1028" s="12">
        <f t="shared" si="170"/>
        <v>7.1895424836609934E-4</v>
      </c>
      <c r="U1028" s="12">
        <f t="shared" si="171"/>
        <v>-1.4301747635081075E-2</v>
      </c>
      <c r="V1028" s="12">
        <f t="shared" si="172"/>
        <v>7.5643495009629635E-3</v>
      </c>
      <c r="W1028" s="12">
        <f t="shared" si="173"/>
        <v>3.296703296703507E-3</v>
      </c>
      <c r="X1028" s="12">
        <f t="shared" si="174"/>
        <v>6.6974595842956841E-3</v>
      </c>
      <c r="Y1028" s="12">
        <f t="shared" si="175"/>
        <v>-2.1708994847382534E-3</v>
      </c>
    </row>
    <row r="1029" spans="1:25" x14ac:dyDescent="0.35">
      <c r="A1029" s="6">
        <v>45617</v>
      </c>
      <c r="B1029" s="8">
        <v>5948.71</v>
      </c>
      <c r="C1029" s="2">
        <v>228.52</v>
      </c>
      <c r="D1029" s="2">
        <v>222.4</v>
      </c>
      <c r="E1029" s="2">
        <v>412.87</v>
      </c>
      <c r="F1029" s="2">
        <v>597.49</v>
      </c>
      <c r="G1029" s="2">
        <v>155.5</v>
      </c>
      <c r="H1029" s="2">
        <v>309.89999999999998</v>
      </c>
      <c r="I1029" s="2">
        <v>293</v>
      </c>
      <c r="J1029" s="2">
        <v>143.41</v>
      </c>
      <c r="K1029" s="2">
        <v>88.39</v>
      </c>
      <c r="L1029" s="2">
        <v>389.59</v>
      </c>
      <c r="M1029" s="64" t="s">
        <v>77</v>
      </c>
      <c r="N1029" s="1"/>
      <c r="O1029" s="12">
        <f t="shared" ref="O1029:O1092" si="176">(B1029/B1028)-1</f>
        <v>5.3404449131417842E-3</v>
      </c>
      <c r="P1029" s="12">
        <f t="shared" ref="P1029:P1092" si="177">(C1029/C1028)-1</f>
        <v>-2.0960698689955759E-3</v>
      </c>
      <c r="Q1029" s="12">
        <f t="shared" ref="Q1029:Q1092" si="178">(D1029/D1028)-1</f>
        <v>3.6346691519105301E-2</v>
      </c>
      <c r="R1029" s="12">
        <f t="shared" ref="R1029:R1092" si="179">(E1029/E1028)-1</f>
        <v>-6.3058076006642372E-3</v>
      </c>
      <c r="S1029" s="12">
        <f t="shared" ref="S1029:S1092" si="180">(F1029/F1028)-1</f>
        <v>-5.0124895920066193E-3</v>
      </c>
      <c r="T1029" s="12">
        <f t="shared" ref="T1029:T1092" si="181">(G1029/G1028)-1</f>
        <v>1.5609692378028672E-2</v>
      </c>
      <c r="U1029" s="12">
        <f t="shared" ref="U1029:U1092" si="182">(H1029/H1028)-1</f>
        <v>8.1655226259800262E-3</v>
      </c>
      <c r="V1029" s="12">
        <f t="shared" ref="V1029:V1092" si="183">(I1029/I1028)-1</f>
        <v>1.8386569809878184E-2</v>
      </c>
      <c r="W1029" s="12">
        <f t="shared" ref="W1029:W1092" si="184">(J1029/J1028)-1</f>
        <v>-1.8277656078861004E-2</v>
      </c>
      <c r="X1029" s="12">
        <f t="shared" ref="X1029:X1092" si="185">(K1029/K1028)-1</f>
        <v>1.3879330121587374E-2</v>
      </c>
      <c r="Y1029" s="12">
        <f t="shared" ref="Y1029:Y1092" si="186">(L1029/L1028)-1</f>
        <v>2.1205766710353791E-2</v>
      </c>
    </row>
    <row r="1030" spans="1:25" x14ac:dyDescent="0.35">
      <c r="A1030" s="6">
        <v>45618</v>
      </c>
      <c r="B1030" s="8">
        <v>5969.34</v>
      </c>
      <c r="C1030" s="2">
        <v>229.87</v>
      </c>
      <c r="D1030" s="2">
        <v>222.97</v>
      </c>
      <c r="E1030" s="2">
        <v>417</v>
      </c>
      <c r="F1030" s="2">
        <v>590.87</v>
      </c>
      <c r="G1030" s="2">
        <v>155.16999999999999</v>
      </c>
      <c r="H1030" s="2">
        <v>309.92</v>
      </c>
      <c r="I1030" s="2">
        <v>301.3</v>
      </c>
      <c r="J1030" s="2">
        <v>149.29</v>
      </c>
      <c r="K1030" s="2">
        <v>90.44</v>
      </c>
      <c r="L1030" s="2">
        <v>397.49</v>
      </c>
      <c r="M1030" s="64" t="s">
        <v>77</v>
      </c>
      <c r="N1030" s="1"/>
      <c r="O1030" s="12">
        <f t="shared" si="176"/>
        <v>3.4679787718681077E-3</v>
      </c>
      <c r="P1030" s="12">
        <f t="shared" si="177"/>
        <v>5.9075792053211451E-3</v>
      </c>
      <c r="Q1030" s="12">
        <f t="shared" si="178"/>
        <v>2.5629496402876928E-3</v>
      </c>
      <c r="R1030" s="12">
        <f t="shared" si="179"/>
        <v>1.0003148690871155E-2</v>
      </c>
      <c r="S1030" s="12">
        <f t="shared" si="180"/>
        <v>-1.1079683341980617E-2</v>
      </c>
      <c r="T1030" s="12">
        <f t="shared" si="181"/>
        <v>-2.1221864951769254E-3</v>
      </c>
      <c r="U1030" s="12">
        <f t="shared" si="182"/>
        <v>6.4536947402604738E-5</v>
      </c>
      <c r="V1030" s="12">
        <f t="shared" si="183"/>
        <v>2.8327645051194672E-2</v>
      </c>
      <c r="W1030" s="12">
        <f t="shared" si="184"/>
        <v>4.1001324872742551E-2</v>
      </c>
      <c r="X1030" s="12">
        <f t="shared" si="185"/>
        <v>2.3192668853942777E-2</v>
      </c>
      <c r="Y1030" s="12">
        <f t="shared" si="186"/>
        <v>2.027772786775861E-2</v>
      </c>
    </row>
    <row r="1031" spans="1:25" x14ac:dyDescent="0.35">
      <c r="A1031" s="6">
        <v>45621</v>
      </c>
      <c r="B1031" s="8">
        <v>5987.37</v>
      </c>
      <c r="C1031" s="2">
        <v>232.87</v>
      </c>
      <c r="D1031" s="2">
        <v>226.13</v>
      </c>
      <c r="E1031" s="2">
        <v>418.79</v>
      </c>
      <c r="F1031" s="2">
        <v>605.83000000000004</v>
      </c>
      <c r="G1031" s="2">
        <v>155.78</v>
      </c>
      <c r="H1031" s="2">
        <v>313.19</v>
      </c>
      <c r="I1031" s="2">
        <v>305.20999999999998</v>
      </c>
      <c r="J1031" s="2">
        <v>153.1</v>
      </c>
      <c r="K1031" s="2">
        <v>89.5</v>
      </c>
      <c r="L1031" s="2">
        <v>405.65</v>
      </c>
      <c r="M1031" s="64" t="s">
        <v>77</v>
      </c>
      <c r="N1031" s="1"/>
      <c r="O1031" s="12">
        <f t="shared" si="176"/>
        <v>3.0204344198856425E-3</v>
      </c>
      <c r="P1031" s="12">
        <f t="shared" si="177"/>
        <v>1.3050854830991332E-2</v>
      </c>
      <c r="Q1031" s="12">
        <f t="shared" si="178"/>
        <v>1.4172310176256975E-2</v>
      </c>
      <c r="R1031" s="12">
        <f t="shared" si="179"/>
        <v>4.2925659472423661E-3</v>
      </c>
      <c r="S1031" s="12">
        <f t="shared" si="180"/>
        <v>2.5318597999560044E-2</v>
      </c>
      <c r="T1031" s="12">
        <f t="shared" si="181"/>
        <v>3.9311722626798051E-3</v>
      </c>
      <c r="U1031" s="12">
        <f t="shared" si="182"/>
        <v>1.0551109963861549E-2</v>
      </c>
      <c r="V1031" s="12">
        <f t="shared" si="183"/>
        <v>1.2977099236641143E-2</v>
      </c>
      <c r="W1031" s="12">
        <f t="shared" si="184"/>
        <v>2.5520798445977544E-2</v>
      </c>
      <c r="X1031" s="12">
        <f t="shared" si="185"/>
        <v>-1.0393631136665138E-2</v>
      </c>
      <c r="Y1031" s="12">
        <f t="shared" si="186"/>
        <v>2.0528818335052268E-2</v>
      </c>
    </row>
    <row r="1032" spans="1:25" x14ac:dyDescent="0.35">
      <c r="A1032" s="6">
        <v>45622</v>
      </c>
      <c r="B1032" s="8">
        <v>6021.63</v>
      </c>
      <c r="C1032" s="2">
        <v>235.06</v>
      </c>
      <c r="D1032" s="2">
        <v>228.83</v>
      </c>
      <c r="E1032" s="2">
        <v>427.99</v>
      </c>
      <c r="F1032" s="2">
        <v>606.79</v>
      </c>
      <c r="G1032" s="2">
        <v>154.52000000000001</v>
      </c>
      <c r="H1032" s="2">
        <v>311.82</v>
      </c>
      <c r="I1032" s="2">
        <v>305.57</v>
      </c>
      <c r="J1032" s="2">
        <v>150.76</v>
      </c>
      <c r="K1032" s="2">
        <v>91.31</v>
      </c>
      <c r="L1032" s="2">
        <v>407.83</v>
      </c>
      <c r="M1032" s="64" t="s">
        <v>77</v>
      </c>
      <c r="N1032" s="1"/>
      <c r="O1032" s="12">
        <f t="shared" si="176"/>
        <v>5.722044904524104E-3</v>
      </c>
      <c r="P1032" s="12">
        <f t="shared" si="177"/>
        <v>9.4043887147334804E-3</v>
      </c>
      <c r="Q1032" s="12">
        <f t="shared" si="178"/>
        <v>1.194003449343306E-2</v>
      </c>
      <c r="R1032" s="12">
        <f t="shared" si="179"/>
        <v>2.1968050813056639E-2</v>
      </c>
      <c r="S1032" s="12">
        <f t="shared" si="180"/>
        <v>1.5846029414190443E-3</v>
      </c>
      <c r="T1032" s="12">
        <f t="shared" si="181"/>
        <v>-8.0883296957247053E-3</v>
      </c>
      <c r="U1032" s="12">
        <f t="shared" si="182"/>
        <v>-4.3743414540694525E-3</v>
      </c>
      <c r="V1032" s="12">
        <f t="shared" si="183"/>
        <v>1.1795157432588077E-3</v>
      </c>
      <c r="W1032" s="12">
        <f t="shared" si="184"/>
        <v>-1.52841280209014E-2</v>
      </c>
      <c r="X1032" s="12">
        <f t="shared" si="185"/>
        <v>2.0223463687150778E-2</v>
      </c>
      <c r="Y1032" s="12">
        <f t="shared" si="186"/>
        <v>5.3740909651176505E-3</v>
      </c>
    </row>
    <row r="1033" spans="1:25" x14ac:dyDescent="0.35">
      <c r="A1033" s="6">
        <v>45623</v>
      </c>
      <c r="B1033" s="8">
        <v>5998.74</v>
      </c>
      <c r="C1033" s="2">
        <v>234.93</v>
      </c>
      <c r="D1033" s="2">
        <v>226.92</v>
      </c>
      <c r="E1033" s="2">
        <v>422.99</v>
      </c>
      <c r="F1033" s="2">
        <v>608.38</v>
      </c>
      <c r="G1033" s="2">
        <v>155.4</v>
      </c>
      <c r="H1033" s="2">
        <v>314.7</v>
      </c>
      <c r="I1033" s="2">
        <v>304.25</v>
      </c>
      <c r="J1033" s="2">
        <v>152.4</v>
      </c>
      <c r="K1033" s="2">
        <v>91.88</v>
      </c>
      <c r="L1033" s="2">
        <v>403.7</v>
      </c>
      <c r="M1033" s="64" t="s">
        <v>77</v>
      </c>
      <c r="N1033" s="1"/>
      <c r="O1033" s="12">
        <f t="shared" si="176"/>
        <v>-3.8012963267421984E-3</v>
      </c>
      <c r="P1033" s="12">
        <f t="shared" si="177"/>
        <v>-5.530502850336072E-4</v>
      </c>
      <c r="Q1033" s="12">
        <f t="shared" si="178"/>
        <v>-8.3468076738191233E-3</v>
      </c>
      <c r="R1033" s="12">
        <f t="shared" si="179"/>
        <v>-1.1682515946634275E-2</v>
      </c>
      <c r="S1033" s="12">
        <f t="shared" si="180"/>
        <v>2.6203464130918341E-3</v>
      </c>
      <c r="T1033" s="12">
        <f t="shared" si="181"/>
        <v>5.6950556562256338E-3</v>
      </c>
      <c r="U1033" s="12">
        <f t="shared" si="182"/>
        <v>9.2360977487011553E-3</v>
      </c>
      <c r="V1033" s="12">
        <f t="shared" si="183"/>
        <v>-4.3197957914716811E-3</v>
      </c>
      <c r="W1033" s="12">
        <f t="shared" si="184"/>
        <v>1.0878217033696069E-2</v>
      </c>
      <c r="X1033" s="12">
        <f t="shared" si="185"/>
        <v>6.2424707041943694E-3</v>
      </c>
      <c r="Y1033" s="12">
        <f t="shared" si="186"/>
        <v>-1.0126768506485528E-2</v>
      </c>
    </row>
    <row r="1034" spans="1:25" x14ac:dyDescent="0.35">
      <c r="A1034" s="6">
        <v>45625</v>
      </c>
      <c r="B1034" s="8">
        <v>6032.38</v>
      </c>
      <c r="C1034" s="2">
        <v>237.33</v>
      </c>
      <c r="D1034" s="2">
        <v>227.41</v>
      </c>
      <c r="E1034" s="2">
        <v>423.46</v>
      </c>
      <c r="F1034" s="2">
        <v>610.20000000000005</v>
      </c>
      <c r="G1034" s="2">
        <v>155.01</v>
      </c>
      <c r="H1034" s="2">
        <v>315.08</v>
      </c>
      <c r="I1034" s="2">
        <v>304.68</v>
      </c>
      <c r="J1034" s="2">
        <v>155.44</v>
      </c>
      <c r="K1034" s="2">
        <v>92.5</v>
      </c>
      <c r="L1034" s="2">
        <v>406.11</v>
      </c>
      <c r="M1034" s="64" t="s">
        <v>77</v>
      </c>
      <c r="N1034" s="1"/>
      <c r="O1034" s="12">
        <f t="shared" si="176"/>
        <v>5.6078443139726541E-3</v>
      </c>
      <c r="P1034" s="12">
        <f t="shared" si="177"/>
        <v>1.0215808964372464E-2</v>
      </c>
      <c r="Q1034" s="12">
        <f t="shared" si="178"/>
        <v>2.1593513132380782E-3</v>
      </c>
      <c r="R1034" s="12">
        <f t="shared" si="179"/>
        <v>1.1111373791341528E-3</v>
      </c>
      <c r="S1034" s="12">
        <f t="shared" si="180"/>
        <v>2.9915513330485144E-3</v>
      </c>
      <c r="T1034" s="12">
        <f t="shared" si="181"/>
        <v>-2.5096525096526268E-3</v>
      </c>
      <c r="U1034" s="12">
        <f t="shared" si="182"/>
        <v>1.2074992055925993E-3</v>
      </c>
      <c r="V1034" s="12">
        <f t="shared" si="183"/>
        <v>1.4133114215284515E-3</v>
      </c>
      <c r="W1034" s="12">
        <f t="shared" si="184"/>
        <v>1.9947506561679651E-2</v>
      </c>
      <c r="X1034" s="12">
        <f t="shared" si="185"/>
        <v>6.7479320853287561E-3</v>
      </c>
      <c r="Y1034" s="12">
        <f t="shared" si="186"/>
        <v>5.9697795392619213E-3</v>
      </c>
    </row>
    <row r="1035" spans="1:25" x14ac:dyDescent="0.35">
      <c r="A1035" s="6">
        <v>45628</v>
      </c>
      <c r="B1035" s="8">
        <v>6047.15</v>
      </c>
      <c r="C1035" s="2">
        <v>239.59</v>
      </c>
      <c r="D1035" s="2">
        <v>227.39</v>
      </c>
      <c r="E1035" s="2">
        <v>430.98</v>
      </c>
      <c r="F1035" s="2">
        <v>608.52</v>
      </c>
      <c r="G1035" s="2">
        <v>154.80000000000001</v>
      </c>
      <c r="H1035" s="2">
        <v>316.64999999999998</v>
      </c>
      <c r="I1035" s="2">
        <v>302.26</v>
      </c>
      <c r="J1035" s="2">
        <v>156.54</v>
      </c>
      <c r="K1035" s="2">
        <v>92.64</v>
      </c>
      <c r="L1035" s="2">
        <v>402.51</v>
      </c>
      <c r="M1035" s="64" t="s">
        <v>77</v>
      </c>
      <c r="N1035" s="1"/>
      <c r="O1035" s="12">
        <f t="shared" si="176"/>
        <v>2.4484531809998433E-3</v>
      </c>
      <c r="P1035" s="12">
        <f t="shared" si="177"/>
        <v>9.5226056545738569E-3</v>
      </c>
      <c r="Q1035" s="12">
        <f t="shared" si="178"/>
        <v>-8.7946880084510681E-5</v>
      </c>
      <c r="R1035" s="12">
        <f t="shared" si="179"/>
        <v>1.7758465970811876E-2</v>
      </c>
      <c r="S1035" s="12">
        <f t="shared" si="180"/>
        <v>-2.7531956735498131E-3</v>
      </c>
      <c r="T1035" s="12">
        <f t="shared" si="181"/>
        <v>-1.3547513063671968E-3</v>
      </c>
      <c r="U1035" s="12">
        <f t="shared" si="182"/>
        <v>4.9828614954932071E-3</v>
      </c>
      <c r="V1035" s="12">
        <f t="shared" si="183"/>
        <v>-7.9427596166470327E-3</v>
      </c>
      <c r="W1035" s="12">
        <f t="shared" si="184"/>
        <v>7.0766855378281424E-3</v>
      </c>
      <c r="X1035" s="12">
        <f t="shared" si="185"/>
        <v>1.5135135135135869E-3</v>
      </c>
      <c r="Y1035" s="12">
        <f t="shared" si="186"/>
        <v>-8.8645933367806906E-3</v>
      </c>
    </row>
    <row r="1036" spans="1:25" x14ac:dyDescent="0.35">
      <c r="A1036" s="6">
        <v>45629</v>
      </c>
      <c r="B1036" s="8">
        <v>6049.88</v>
      </c>
      <c r="C1036" s="2">
        <v>242.65</v>
      </c>
      <c r="D1036" s="2">
        <v>229</v>
      </c>
      <c r="E1036" s="2">
        <v>431.2</v>
      </c>
      <c r="F1036" s="2">
        <v>605.23</v>
      </c>
      <c r="G1036" s="2">
        <v>152.36000000000001</v>
      </c>
      <c r="H1036" s="2">
        <v>313.01</v>
      </c>
      <c r="I1036" s="2">
        <v>302.11</v>
      </c>
      <c r="J1036" s="2">
        <v>155</v>
      </c>
      <c r="K1036" s="2">
        <v>93.51</v>
      </c>
      <c r="L1036" s="2">
        <v>399.26</v>
      </c>
      <c r="M1036" s="64">
        <v>10.88</v>
      </c>
      <c r="N1036" s="1"/>
      <c r="O1036" s="12">
        <f t="shared" si="176"/>
        <v>4.5145233705135013E-4</v>
      </c>
      <c r="P1036" s="12">
        <f t="shared" si="177"/>
        <v>1.2771818523310774E-2</v>
      </c>
      <c r="Q1036" s="12">
        <f t="shared" si="178"/>
        <v>7.0803465411848343E-3</v>
      </c>
      <c r="R1036" s="12">
        <f t="shared" si="179"/>
        <v>5.104645227156368E-4</v>
      </c>
      <c r="S1036" s="12">
        <f t="shared" si="180"/>
        <v>-5.4065601787943729E-3</v>
      </c>
      <c r="T1036" s="12">
        <f t="shared" si="181"/>
        <v>-1.5762273901808732E-2</v>
      </c>
      <c r="U1036" s="12">
        <f t="shared" si="182"/>
        <v>-1.1495341860097819E-2</v>
      </c>
      <c r="V1036" s="12">
        <f t="shared" si="183"/>
        <v>-4.9626149672454822E-4</v>
      </c>
      <c r="W1036" s="12">
        <f t="shared" si="184"/>
        <v>-9.8377411524210867E-3</v>
      </c>
      <c r="X1036" s="12">
        <f t="shared" si="185"/>
        <v>9.3911917098445929E-3</v>
      </c>
      <c r="Y1036" s="12">
        <f t="shared" si="186"/>
        <v>-8.0743335569302133E-3</v>
      </c>
    </row>
    <row r="1037" spans="1:25" x14ac:dyDescent="0.35">
      <c r="A1037" s="6">
        <v>45630</v>
      </c>
      <c r="B1037" s="8">
        <v>6086.49</v>
      </c>
      <c r="C1037" s="2">
        <v>243.01</v>
      </c>
      <c r="D1037" s="2">
        <v>233.49</v>
      </c>
      <c r="E1037" s="2">
        <v>437.42</v>
      </c>
      <c r="F1037" s="2">
        <v>610.79</v>
      </c>
      <c r="G1037" s="2">
        <v>150.47</v>
      </c>
      <c r="H1037" s="2">
        <v>309.89999999999998</v>
      </c>
      <c r="I1037" s="2">
        <v>302.60000000000002</v>
      </c>
      <c r="J1037" s="2">
        <v>158.28</v>
      </c>
      <c r="K1037" s="2">
        <v>94.45</v>
      </c>
      <c r="L1037" s="2">
        <v>399.51</v>
      </c>
      <c r="M1037" s="64" t="s">
        <v>77</v>
      </c>
      <c r="N1037" s="1"/>
      <c r="O1037" s="12">
        <f t="shared" si="176"/>
        <v>6.0513596963907013E-3</v>
      </c>
      <c r="P1037" s="12">
        <f t="shared" si="177"/>
        <v>1.4836183803832448E-3</v>
      </c>
      <c r="Q1037" s="12">
        <f t="shared" si="178"/>
        <v>1.9606986899563417E-2</v>
      </c>
      <c r="R1037" s="12">
        <f t="shared" si="179"/>
        <v>1.4424860853432309E-2</v>
      </c>
      <c r="S1037" s="12">
        <f t="shared" si="180"/>
        <v>9.1865902218990492E-3</v>
      </c>
      <c r="T1037" s="12">
        <f t="shared" si="181"/>
        <v>-1.2404830664216382E-2</v>
      </c>
      <c r="U1037" s="12">
        <f t="shared" si="182"/>
        <v>-9.9357847992077586E-3</v>
      </c>
      <c r="V1037" s="12">
        <f t="shared" si="183"/>
        <v>1.6219257886200822E-3</v>
      </c>
      <c r="W1037" s="12">
        <f t="shared" si="184"/>
        <v>2.1161290322580628E-2</v>
      </c>
      <c r="X1037" s="12">
        <f t="shared" si="185"/>
        <v>1.0052400812747164E-2</v>
      </c>
      <c r="Y1037" s="12">
        <f t="shared" si="186"/>
        <v>6.2615839302715415E-4</v>
      </c>
    </row>
    <row r="1038" spans="1:25" x14ac:dyDescent="0.35">
      <c r="A1038" s="6">
        <v>45631</v>
      </c>
      <c r="B1038" s="8">
        <v>6075.11</v>
      </c>
      <c r="C1038" s="2">
        <v>243.04</v>
      </c>
      <c r="D1038" s="2">
        <v>234.75</v>
      </c>
      <c r="E1038" s="2">
        <v>442.62</v>
      </c>
      <c r="F1038" s="2">
        <v>578.97</v>
      </c>
      <c r="G1038" s="2">
        <v>149.52000000000001</v>
      </c>
      <c r="H1038" s="2">
        <v>309.08</v>
      </c>
      <c r="I1038" s="2">
        <v>300.52999999999997</v>
      </c>
      <c r="J1038" s="2">
        <v>156.66999999999999</v>
      </c>
      <c r="K1038" s="2">
        <v>95.3</v>
      </c>
      <c r="L1038" s="2">
        <v>394.98</v>
      </c>
      <c r="M1038" s="64" t="s">
        <v>77</v>
      </c>
      <c r="N1038" s="1"/>
      <c r="O1038" s="12">
        <f t="shared" si="176"/>
        <v>-1.8697147288503357E-3</v>
      </c>
      <c r="P1038" s="12">
        <f t="shared" si="177"/>
        <v>1.2345170980609943E-4</v>
      </c>
      <c r="Q1038" s="12">
        <f t="shared" si="178"/>
        <v>5.3963767184890266E-3</v>
      </c>
      <c r="R1038" s="12">
        <f t="shared" si="179"/>
        <v>1.1887888070961417E-2</v>
      </c>
      <c r="S1038" s="12">
        <f t="shared" si="180"/>
        <v>-5.2096465233549938E-2</v>
      </c>
      <c r="T1038" s="12">
        <f t="shared" si="181"/>
        <v>-6.3135508739282642E-3</v>
      </c>
      <c r="U1038" s="12">
        <f t="shared" si="182"/>
        <v>-2.6460148434979125E-3</v>
      </c>
      <c r="V1038" s="12">
        <f t="shared" si="183"/>
        <v>-6.8407138136155066E-3</v>
      </c>
      <c r="W1038" s="12">
        <f t="shared" si="184"/>
        <v>-1.0171847359110475E-2</v>
      </c>
      <c r="X1038" s="12">
        <f t="shared" si="185"/>
        <v>8.9994706193752272E-3</v>
      </c>
      <c r="Y1038" s="12">
        <f t="shared" si="186"/>
        <v>-1.1338890140421998E-2</v>
      </c>
    </row>
    <row r="1039" spans="1:25" x14ac:dyDescent="0.35">
      <c r="A1039" s="6">
        <v>45632</v>
      </c>
      <c r="B1039" s="8">
        <v>6090.27</v>
      </c>
      <c r="C1039" s="2">
        <v>242.84</v>
      </c>
      <c r="D1039" s="2">
        <v>238.04</v>
      </c>
      <c r="E1039" s="2">
        <v>443.57</v>
      </c>
      <c r="F1039" s="2">
        <v>549.62</v>
      </c>
      <c r="G1039" s="2">
        <v>149.31</v>
      </c>
      <c r="H1039" s="2">
        <v>311.01</v>
      </c>
      <c r="I1039" s="2">
        <v>303.99</v>
      </c>
      <c r="J1039" s="2">
        <v>153.93</v>
      </c>
      <c r="K1039" s="2">
        <v>95.7</v>
      </c>
      <c r="L1039" s="2">
        <v>395.03</v>
      </c>
      <c r="M1039" s="64" t="s">
        <v>77</v>
      </c>
      <c r="N1039" s="1"/>
      <c r="O1039" s="12">
        <f t="shared" si="176"/>
        <v>2.4954280663231909E-3</v>
      </c>
      <c r="P1039" s="12">
        <f t="shared" si="177"/>
        <v>-8.2290980908483746E-4</v>
      </c>
      <c r="Q1039" s="12">
        <f t="shared" si="178"/>
        <v>1.4014909478168303E-2</v>
      </c>
      <c r="R1039" s="12">
        <f t="shared" si="179"/>
        <v>2.1463106050336744E-3</v>
      </c>
      <c r="S1039" s="12">
        <f t="shared" si="180"/>
        <v>-5.0693472891514268E-2</v>
      </c>
      <c r="T1039" s="12">
        <f t="shared" si="181"/>
        <v>-1.4044943820225031E-3</v>
      </c>
      <c r="U1039" s="12">
        <f t="shared" si="182"/>
        <v>6.2443380354602063E-3</v>
      </c>
      <c r="V1039" s="12">
        <f t="shared" si="183"/>
        <v>1.1512993711110475E-2</v>
      </c>
      <c r="W1039" s="12">
        <f t="shared" si="184"/>
        <v>-1.7488989595965898E-2</v>
      </c>
      <c r="X1039" s="12">
        <f t="shared" si="185"/>
        <v>4.1972717733473885E-3</v>
      </c>
      <c r="Y1039" s="12">
        <f t="shared" si="186"/>
        <v>1.2658868803461232E-4</v>
      </c>
    </row>
    <row r="1040" spans="1:25" x14ac:dyDescent="0.35">
      <c r="A1040" s="6">
        <v>45635</v>
      </c>
      <c r="B1040" s="8">
        <v>6052.85</v>
      </c>
      <c r="C1040" s="2">
        <v>246.75</v>
      </c>
      <c r="D1040" s="2">
        <v>230</v>
      </c>
      <c r="E1040" s="2">
        <v>446.02</v>
      </c>
      <c r="F1040" s="2">
        <v>560.62</v>
      </c>
      <c r="G1040" s="2">
        <v>149.6</v>
      </c>
      <c r="H1040" s="2">
        <v>308.3</v>
      </c>
      <c r="I1040" s="2">
        <v>296.72000000000003</v>
      </c>
      <c r="J1040" s="2">
        <v>157.04</v>
      </c>
      <c r="K1040" s="2">
        <v>93.83</v>
      </c>
      <c r="L1040" s="2">
        <v>399.26</v>
      </c>
      <c r="M1040" s="64" t="s">
        <v>77</v>
      </c>
      <c r="N1040" s="1"/>
      <c r="O1040" s="12">
        <f t="shared" si="176"/>
        <v>-6.1442267748391677E-3</v>
      </c>
      <c r="P1040" s="12">
        <f t="shared" si="177"/>
        <v>1.6101136550815243E-2</v>
      </c>
      <c r="Q1040" s="12">
        <f t="shared" si="178"/>
        <v>-3.3775835993950509E-2</v>
      </c>
      <c r="R1040" s="12">
        <f t="shared" si="179"/>
        <v>5.5233672250152299E-3</v>
      </c>
      <c r="S1040" s="12">
        <f t="shared" si="180"/>
        <v>2.0013827735526402E-2</v>
      </c>
      <c r="T1040" s="12">
        <f t="shared" si="181"/>
        <v>1.9422677650524633E-3</v>
      </c>
      <c r="U1040" s="12">
        <f t="shared" si="182"/>
        <v>-8.7135461882253962E-3</v>
      </c>
      <c r="V1040" s="12">
        <f t="shared" si="183"/>
        <v>-2.391526037040681E-2</v>
      </c>
      <c r="W1040" s="12">
        <f t="shared" si="184"/>
        <v>2.0203988826089647E-2</v>
      </c>
      <c r="X1040" s="12">
        <f t="shared" si="185"/>
        <v>-1.9540229885057547E-2</v>
      </c>
      <c r="Y1040" s="12">
        <f t="shared" si="186"/>
        <v>1.0708047490064043E-2</v>
      </c>
    </row>
    <row r="1041" spans="1:25" x14ac:dyDescent="0.35">
      <c r="A1041" s="6">
        <v>45636</v>
      </c>
      <c r="B1041" s="8">
        <v>6034.91</v>
      </c>
      <c r="C1041" s="2">
        <v>247.77</v>
      </c>
      <c r="D1041" s="2">
        <v>231.72</v>
      </c>
      <c r="E1041" s="2">
        <v>443.33</v>
      </c>
      <c r="F1041" s="2">
        <v>565.19000000000005</v>
      </c>
      <c r="G1041" s="2">
        <v>149.22999999999999</v>
      </c>
      <c r="H1041" s="2">
        <v>312.38</v>
      </c>
      <c r="I1041" s="2">
        <v>302.11</v>
      </c>
      <c r="J1041" s="2">
        <v>164.1</v>
      </c>
      <c r="K1041" s="2">
        <v>94.55</v>
      </c>
      <c r="L1041" s="2">
        <v>388.39</v>
      </c>
      <c r="M1041" s="64">
        <v>10.92</v>
      </c>
      <c r="N1041" s="1"/>
      <c r="O1041" s="12">
        <f t="shared" si="176"/>
        <v>-2.9638930421207466E-3</v>
      </c>
      <c r="P1041" s="12">
        <f t="shared" si="177"/>
        <v>4.1337386018236444E-3</v>
      </c>
      <c r="Q1041" s="12">
        <f t="shared" si="178"/>
        <v>7.4782608695651565E-3</v>
      </c>
      <c r="R1041" s="12">
        <f t="shared" si="179"/>
        <v>-6.031119680731778E-3</v>
      </c>
      <c r="S1041" s="12">
        <f t="shared" si="180"/>
        <v>8.151689201241652E-3</v>
      </c>
      <c r="T1041" s="12">
        <f t="shared" si="181"/>
        <v>-2.4732620320856435E-3</v>
      </c>
      <c r="U1041" s="12">
        <f t="shared" si="182"/>
        <v>1.3233863120337253E-2</v>
      </c>
      <c r="V1041" s="12">
        <f t="shared" si="183"/>
        <v>1.8165273658668157E-2</v>
      </c>
      <c r="W1041" s="12">
        <f t="shared" si="184"/>
        <v>4.4956698930208816E-2</v>
      </c>
      <c r="X1041" s="12">
        <f t="shared" si="185"/>
        <v>7.6734519876371365E-3</v>
      </c>
      <c r="Y1041" s="12">
        <f t="shared" si="186"/>
        <v>-2.7225366928818273E-2</v>
      </c>
    </row>
    <row r="1042" spans="1:25" x14ac:dyDescent="0.35">
      <c r="A1042" s="6">
        <v>45637</v>
      </c>
      <c r="B1042" s="8">
        <v>6084.19</v>
      </c>
      <c r="C1042" s="2">
        <v>246.49</v>
      </c>
      <c r="D1042" s="2">
        <v>230.12</v>
      </c>
      <c r="E1042" s="2">
        <v>448.99</v>
      </c>
      <c r="F1042" s="2">
        <v>533.53</v>
      </c>
      <c r="G1042" s="2">
        <v>146.63999999999999</v>
      </c>
      <c r="H1042" s="2">
        <v>313.79000000000002</v>
      </c>
      <c r="I1042" s="2">
        <v>302.33999999999997</v>
      </c>
      <c r="J1042" s="2">
        <v>165.96</v>
      </c>
      <c r="K1042" s="2">
        <v>94.96</v>
      </c>
      <c r="L1042" s="2">
        <v>388.87</v>
      </c>
      <c r="M1042" s="64" t="s">
        <v>77</v>
      </c>
      <c r="N1042" s="1"/>
      <c r="O1042" s="12">
        <f t="shared" si="176"/>
        <v>8.1658218598121834E-3</v>
      </c>
      <c r="P1042" s="12">
        <f t="shared" si="177"/>
        <v>-5.1660814465027682E-3</v>
      </c>
      <c r="Q1042" s="12">
        <f t="shared" si="178"/>
        <v>-6.9048852062834065E-3</v>
      </c>
      <c r="R1042" s="12">
        <f t="shared" si="179"/>
        <v>1.2767013285814199E-2</v>
      </c>
      <c r="S1042" s="12">
        <f t="shared" si="180"/>
        <v>-5.6016560802562121E-2</v>
      </c>
      <c r="T1042" s="12">
        <f t="shared" si="181"/>
        <v>-1.7355759565770956E-2</v>
      </c>
      <c r="U1042" s="12">
        <f t="shared" si="182"/>
        <v>4.5137332735771807E-3</v>
      </c>
      <c r="V1042" s="12">
        <f t="shared" si="183"/>
        <v>7.6131210486241052E-4</v>
      </c>
      <c r="W1042" s="12">
        <f t="shared" si="184"/>
        <v>1.133455210237666E-2</v>
      </c>
      <c r="X1042" s="12">
        <f t="shared" si="185"/>
        <v>4.3363299841352454E-3</v>
      </c>
      <c r="Y1042" s="12">
        <f t="shared" si="186"/>
        <v>1.2358711604316674E-3</v>
      </c>
    </row>
    <row r="1043" spans="1:25" x14ac:dyDescent="0.35">
      <c r="A1043" s="6">
        <v>45638</v>
      </c>
      <c r="B1043" s="8">
        <v>6051.25</v>
      </c>
      <c r="C1043" s="2">
        <v>247.96</v>
      </c>
      <c r="D1043" s="2">
        <v>232.26</v>
      </c>
      <c r="E1043" s="2">
        <v>449.56</v>
      </c>
      <c r="F1043" s="2">
        <v>515.76</v>
      </c>
      <c r="G1043" s="2">
        <v>146.24</v>
      </c>
      <c r="H1043" s="2">
        <v>314.23</v>
      </c>
      <c r="I1043" s="2">
        <v>300.3</v>
      </c>
      <c r="J1043" s="2">
        <v>167.75</v>
      </c>
      <c r="K1043" s="2">
        <v>94.09</v>
      </c>
      <c r="L1043" s="2">
        <v>380.78</v>
      </c>
      <c r="M1043" s="64" t="s">
        <v>77</v>
      </c>
      <c r="N1043" s="1"/>
      <c r="O1043" s="12">
        <f t="shared" si="176"/>
        <v>-5.4140321061636465E-3</v>
      </c>
      <c r="P1043" s="12">
        <f t="shared" si="177"/>
        <v>5.9637307801534423E-3</v>
      </c>
      <c r="Q1043" s="12">
        <f t="shared" si="178"/>
        <v>9.2994959151746492E-3</v>
      </c>
      <c r="R1043" s="12">
        <f t="shared" si="179"/>
        <v>1.2695160248556991E-3</v>
      </c>
      <c r="S1043" s="12">
        <f t="shared" si="180"/>
        <v>-3.3306468239836517E-2</v>
      </c>
      <c r="T1043" s="12">
        <f t="shared" si="181"/>
        <v>-2.7277686852152927E-3</v>
      </c>
      <c r="U1043" s="12">
        <f t="shared" si="182"/>
        <v>1.4022116702252507E-3</v>
      </c>
      <c r="V1043" s="12">
        <f t="shared" si="183"/>
        <v>-6.7473705100217218E-3</v>
      </c>
      <c r="W1043" s="12">
        <f t="shared" si="184"/>
        <v>1.0785731501566698E-2</v>
      </c>
      <c r="X1043" s="12">
        <f t="shared" si="185"/>
        <v>-9.1617523167648596E-3</v>
      </c>
      <c r="Y1043" s="12">
        <f t="shared" si="186"/>
        <v>-2.0803867616427163E-2</v>
      </c>
    </row>
    <row r="1044" spans="1:25" x14ac:dyDescent="0.35">
      <c r="A1044" s="6">
        <v>45639</v>
      </c>
      <c r="B1044" s="8">
        <v>6051.09</v>
      </c>
      <c r="C1044" s="2">
        <v>248.13</v>
      </c>
      <c r="D1044" s="2">
        <v>230.82</v>
      </c>
      <c r="E1044" s="2">
        <v>447.27</v>
      </c>
      <c r="F1044" s="2">
        <v>520.48</v>
      </c>
      <c r="G1044" s="2">
        <v>146.62</v>
      </c>
      <c r="H1044" s="2">
        <v>314.74</v>
      </c>
      <c r="I1044" s="2">
        <v>302.14</v>
      </c>
      <c r="J1044" s="2">
        <v>169.65</v>
      </c>
      <c r="K1044" s="2">
        <v>94.25</v>
      </c>
      <c r="L1044" s="2">
        <v>380.51</v>
      </c>
      <c r="M1044" s="64" t="s">
        <v>77</v>
      </c>
      <c r="N1044" s="1"/>
      <c r="O1044" s="12">
        <f t="shared" si="176"/>
        <v>-2.6440818012729572E-5</v>
      </c>
      <c r="P1044" s="12">
        <f t="shared" si="177"/>
        <v>6.85594450717808E-4</v>
      </c>
      <c r="Q1044" s="12">
        <f t="shared" si="178"/>
        <v>-6.1999483337639161E-3</v>
      </c>
      <c r="R1044" s="12">
        <f t="shared" si="179"/>
        <v>-5.0938695613489404E-3</v>
      </c>
      <c r="S1044" s="12">
        <f t="shared" si="180"/>
        <v>9.1515433534978818E-3</v>
      </c>
      <c r="T1044" s="12">
        <f t="shared" si="181"/>
        <v>2.5984682713346974E-3</v>
      </c>
      <c r="U1044" s="12">
        <f t="shared" si="182"/>
        <v>1.6230149890208434E-3</v>
      </c>
      <c r="V1044" s="12">
        <f t="shared" si="183"/>
        <v>6.1272061272059641E-3</v>
      </c>
      <c r="W1044" s="12">
        <f t="shared" si="184"/>
        <v>1.1326378539493254E-2</v>
      </c>
      <c r="X1044" s="12">
        <f t="shared" si="185"/>
        <v>1.7004995217344554E-3</v>
      </c>
      <c r="Y1044" s="12">
        <f t="shared" si="186"/>
        <v>-7.09070854561622E-4</v>
      </c>
    </row>
    <row r="1045" spans="1:25" x14ac:dyDescent="0.35">
      <c r="A1045" s="6">
        <v>45642</v>
      </c>
      <c r="B1045" s="8">
        <v>6074.08</v>
      </c>
      <c r="C1045" s="2">
        <v>251.04</v>
      </c>
      <c r="D1045" s="2">
        <v>229.33</v>
      </c>
      <c r="E1045" s="2">
        <v>451.59</v>
      </c>
      <c r="F1045" s="2">
        <v>498.5</v>
      </c>
      <c r="G1045" s="2">
        <v>143.85</v>
      </c>
      <c r="H1045" s="2">
        <v>315.89</v>
      </c>
      <c r="I1045" s="2">
        <v>303.57</v>
      </c>
      <c r="J1045" s="2">
        <v>173.17</v>
      </c>
      <c r="K1045" s="2">
        <v>94.87</v>
      </c>
      <c r="L1045" s="2">
        <v>378.92</v>
      </c>
      <c r="M1045" s="64" t="s">
        <v>77</v>
      </c>
      <c r="N1045" s="1"/>
      <c r="O1045" s="12">
        <f t="shared" si="176"/>
        <v>3.7993154952247199E-3</v>
      </c>
      <c r="P1045" s="12">
        <f t="shared" si="177"/>
        <v>1.1727723370813736E-2</v>
      </c>
      <c r="Q1045" s="12">
        <f t="shared" si="178"/>
        <v>-6.4552465124338987E-3</v>
      </c>
      <c r="R1045" s="12">
        <f t="shared" si="179"/>
        <v>9.6585954792407502E-3</v>
      </c>
      <c r="S1045" s="12">
        <f t="shared" si="180"/>
        <v>-4.2230249000922204E-2</v>
      </c>
      <c r="T1045" s="12">
        <f t="shared" si="181"/>
        <v>-1.8892374846542159E-2</v>
      </c>
      <c r="U1045" s="12">
        <f t="shared" si="182"/>
        <v>3.6538094935500975E-3</v>
      </c>
      <c r="V1045" s="12">
        <f t="shared" si="183"/>
        <v>4.7329052757001389E-3</v>
      </c>
      <c r="W1045" s="12">
        <f t="shared" si="184"/>
        <v>2.0748600058944744E-2</v>
      </c>
      <c r="X1045" s="12">
        <f t="shared" si="185"/>
        <v>6.5782493368700123E-3</v>
      </c>
      <c r="Y1045" s="12">
        <f t="shared" si="186"/>
        <v>-4.1786024020392665E-3</v>
      </c>
    </row>
    <row r="1046" spans="1:25" x14ac:dyDescent="0.35">
      <c r="A1046" s="6">
        <v>45643</v>
      </c>
      <c r="B1046" s="8">
        <v>6050.61</v>
      </c>
      <c r="C1046" s="2">
        <v>253.48</v>
      </c>
      <c r="D1046" s="2">
        <v>228.97</v>
      </c>
      <c r="E1046" s="2">
        <v>454.46</v>
      </c>
      <c r="F1046" s="2">
        <v>485.52</v>
      </c>
      <c r="G1046" s="2">
        <v>146.41</v>
      </c>
      <c r="H1046" s="2">
        <v>318.3</v>
      </c>
      <c r="I1046" s="2">
        <v>301.33999999999997</v>
      </c>
      <c r="J1046" s="2">
        <v>173.03</v>
      </c>
      <c r="K1046" s="2">
        <v>95.42</v>
      </c>
      <c r="L1046" s="2">
        <v>375.8</v>
      </c>
      <c r="M1046" s="64">
        <v>11.04</v>
      </c>
      <c r="N1046" s="1"/>
      <c r="O1046" s="12">
        <f t="shared" si="176"/>
        <v>-3.8639596449174807E-3</v>
      </c>
      <c r="P1046" s="12">
        <f t="shared" si="177"/>
        <v>9.7195666029317174E-3</v>
      </c>
      <c r="Q1046" s="12">
        <f t="shared" si="178"/>
        <v>-1.5697902585793955E-3</v>
      </c>
      <c r="R1046" s="12">
        <f t="shared" si="179"/>
        <v>6.3553223056311836E-3</v>
      </c>
      <c r="S1046" s="12">
        <f t="shared" si="180"/>
        <v>-2.6038114343029162E-2</v>
      </c>
      <c r="T1046" s="12">
        <f t="shared" si="181"/>
        <v>1.7796315606534607E-2</v>
      </c>
      <c r="U1046" s="12">
        <f t="shared" si="182"/>
        <v>7.629238025895102E-3</v>
      </c>
      <c r="V1046" s="12">
        <f t="shared" si="183"/>
        <v>-7.3459169219620701E-3</v>
      </c>
      <c r="W1046" s="12">
        <f t="shared" si="184"/>
        <v>-8.0845412022856333E-4</v>
      </c>
      <c r="X1046" s="12">
        <f t="shared" si="185"/>
        <v>5.7974069779698212E-3</v>
      </c>
      <c r="Y1046" s="12">
        <f t="shared" si="186"/>
        <v>-8.233928005911495E-3</v>
      </c>
    </row>
    <row r="1047" spans="1:25" x14ac:dyDescent="0.35">
      <c r="A1047" s="6">
        <v>45644</v>
      </c>
      <c r="B1047" s="8">
        <v>5872.16</v>
      </c>
      <c r="C1047" s="2">
        <v>248.05</v>
      </c>
      <c r="D1047" s="2">
        <v>220.17</v>
      </c>
      <c r="E1047" s="2">
        <v>437.39</v>
      </c>
      <c r="F1047" s="2">
        <v>499.72</v>
      </c>
      <c r="G1047" s="2">
        <v>144.75</v>
      </c>
      <c r="H1047" s="2">
        <v>309.77999999999997</v>
      </c>
      <c r="I1047" s="2">
        <v>287.77999999999997</v>
      </c>
      <c r="J1047" s="2">
        <v>172.62</v>
      </c>
      <c r="K1047" s="2">
        <v>93.55</v>
      </c>
      <c r="L1047" s="2">
        <v>363.89</v>
      </c>
      <c r="M1047" s="64" t="s">
        <v>77</v>
      </c>
      <c r="N1047" s="1"/>
      <c r="O1047" s="12">
        <f t="shared" si="176"/>
        <v>-2.9492894104891865E-2</v>
      </c>
      <c r="P1047" s="12">
        <f t="shared" si="177"/>
        <v>-2.1421808426700273E-2</v>
      </c>
      <c r="Q1047" s="12">
        <f t="shared" si="178"/>
        <v>-3.8432982486788725E-2</v>
      </c>
      <c r="R1047" s="12">
        <f t="shared" si="179"/>
        <v>-3.7561061479558178E-2</v>
      </c>
      <c r="S1047" s="12">
        <f t="shared" si="180"/>
        <v>2.9246992914813141E-2</v>
      </c>
      <c r="T1047" s="12">
        <f t="shared" si="181"/>
        <v>-1.1338023359060201E-2</v>
      </c>
      <c r="U1047" s="12">
        <f t="shared" si="182"/>
        <v>-2.6767200754005738E-2</v>
      </c>
      <c r="V1047" s="12">
        <f t="shared" si="183"/>
        <v>-4.4999004446804269E-2</v>
      </c>
      <c r="W1047" s="12">
        <f t="shared" si="184"/>
        <v>-2.3695312951511616E-3</v>
      </c>
      <c r="X1047" s="12">
        <f t="shared" si="185"/>
        <v>-1.9597568643890173E-2</v>
      </c>
      <c r="Y1047" s="12">
        <f t="shared" si="186"/>
        <v>-3.1692389568919732E-2</v>
      </c>
    </row>
    <row r="1048" spans="1:25" x14ac:dyDescent="0.35">
      <c r="A1048" s="6">
        <v>45645</v>
      </c>
      <c r="B1048" s="8">
        <v>5867.08</v>
      </c>
      <c r="C1048" s="2">
        <v>249.79</v>
      </c>
      <c r="D1048" s="2">
        <v>223.92</v>
      </c>
      <c r="E1048" s="2">
        <v>437.03</v>
      </c>
      <c r="F1048" s="2">
        <v>489.25</v>
      </c>
      <c r="G1048" s="2">
        <v>143.58000000000001</v>
      </c>
      <c r="H1048" s="2">
        <v>314.88</v>
      </c>
      <c r="I1048" s="2">
        <v>293.08</v>
      </c>
      <c r="J1048" s="2">
        <v>177.04</v>
      </c>
      <c r="K1048" s="2">
        <v>93.4</v>
      </c>
      <c r="L1048" s="2">
        <v>360.37</v>
      </c>
      <c r="M1048" s="64" t="s">
        <v>77</v>
      </c>
      <c r="N1048" s="1"/>
      <c r="O1048" s="12">
        <f t="shared" si="176"/>
        <v>-8.6509904362275236E-4</v>
      </c>
      <c r="P1048" s="12">
        <f t="shared" si="177"/>
        <v>7.0147147752468442E-3</v>
      </c>
      <c r="Q1048" s="12">
        <f t="shared" si="178"/>
        <v>1.7032293227960293E-2</v>
      </c>
      <c r="R1048" s="12">
        <f t="shared" si="179"/>
        <v>-8.2306408468413306E-4</v>
      </c>
      <c r="S1048" s="12">
        <f t="shared" si="180"/>
        <v>-2.0951732970463488E-2</v>
      </c>
      <c r="T1048" s="12">
        <f t="shared" si="181"/>
        <v>-8.0829015544040539E-3</v>
      </c>
      <c r="U1048" s="12">
        <f t="shared" si="182"/>
        <v>1.6463296533023586E-2</v>
      </c>
      <c r="V1048" s="12">
        <f t="shared" si="183"/>
        <v>1.8416846201959824E-2</v>
      </c>
      <c r="W1048" s="12">
        <f t="shared" si="184"/>
        <v>2.5605375970339406E-2</v>
      </c>
      <c r="X1048" s="12">
        <f t="shared" si="185"/>
        <v>-1.6034206306786425E-3</v>
      </c>
      <c r="Y1048" s="12">
        <f t="shared" si="186"/>
        <v>-9.6732529060979955E-3</v>
      </c>
    </row>
    <row r="1049" spans="1:25" x14ac:dyDescent="0.35">
      <c r="A1049" s="6">
        <v>45646</v>
      </c>
      <c r="B1049" s="8">
        <v>5930.85</v>
      </c>
      <c r="C1049" s="2">
        <v>254.49</v>
      </c>
      <c r="D1049" s="2">
        <v>223.36</v>
      </c>
      <c r="E1049" s="2">
        <v>436.6</v>
      </c>
      <c r="F1049" s="2">
        <v>500.13</v>
      </c>
      <c r="G1049" s="2">
        <v>144.47</v>
      </c>
      <c r="H1049" s="2">
        <v>317.70999999999998</v>
      </c>
      <c r="I1049" s="2">
        <v>298.64999999999998</v>
      </c>
      <c r="J1049" s="2">
        <v>177.35</v>
      </c>
      <c r="K1049" s="2">
        <v>92.24</v>
      </c>
      <c r="L1049" s="2">
        <v>366.04</v>
      </c>
      <c r="M1049" s="64" t="s">
        <v>77</v>
      </c>
      <c r="N1049" s="1"/>
      <c r="O1049" s="12">
        <f t="shared" si="176"/>
        <v>1.0869120584686254E-2</v>
      </c>
      <c r="P1049" s="12">
        <f t="shared" si="177"/>
        <v>1.8815805276432229E-2</v>
      </c>
      <c r="Q1049" s="12">
        <f t="shared" si="178"/>
        <v>-2.5008931761342224E-3</v>
      </c>
      <c r="R1049" s="12">
        <f t="shared" si="179"/>
        <v>-9.8391414777010411E-4</v>
      </c>
      <c r="S1049" s="12">
        <f t="shared" si="180"/>
        <v>2.2238119570771486E-2</v>
      </c>
      <c r="T1049" s="12">
        <f t="shared" si="181"/>
        <v>6.1986349073686053E-3</v>
      </c>
      <c r="U1049" s="12">
        <f t="shared" si="182"/>
        <v>8.9875508130081716E-3</v>
      </c>
      <c r="V1049" s="12">
        <f t="shared" si="183"/>
        <v>1.9005049815749908E-2</v>
      </c>
      <c r="W1049" s="12">
        <f t="shared" si="184"/>
        <v>1.7510167193854898E-3</v>
      </c>
      <c r="X1049" s="12">
        <f t="shared" si="185"/>
        <v>-1.2419700214132856E-2</v>
      </c>
      <c r="Y1049" s="12">
        <f t="shared" si="186"/>
        <v>1.5733829120071041E-2</v>
      </c>
    </row>
    <row r="1050" spans="1:25" x14ac:dyDescent="0.35">
      <c r="A1050" s="6">
        <v>45649</v>
      </c>
      <c r="B1050" s="8">
        <v>5974.07</v>
      </c>
      <c r="C1050" s="2">
        <v>255.27</v>
      </c>
      <c r="D1050" s="2">
        <v>221.93</v>
      </c>
      <c r="E1050" s="2">
        <v>435.25</v>
      </c>
      <c r="F1050" s="2">
        <v>506.34</v>
      </c>
      <c r="G1050" s="2">
        <v>145.27000000000001</v>
      </c>
      <c r="H1050" s="2">
        <v>317.22000000000003</v>
      </c>
      <c r="I1050" s="2">
        <v>298.8</v>
      </c>
      <c r="J1050" s="2">
        <v>177.69</v>
      </c>
      <c r="K1050" s="2">
        <v>90.35</v>
      </c>
      <c r="L1050" s="2">
        <v>365.39</v>
      </c>
      <c r="M1050" s="64" t="s">
        <v>77</v>
      </c>
      <c r="N1050" s="1"/>
      <c r="O1050" s="12">
        <f t="shared" si="176"/>
        <v>7.2873196927927264E-3</v>
      </c>
      <c r="P1050" s="12">
        <f t="shared" si="177"/>
        <v>3.0649534362843234E-3</v>
      </c>
      <c r="Q1050" s="12">
        <f t="shared" si="178"/>
        <v>-6.402220630372546E-3</v>
      </c>
      <c r="R1050" s="12">
        <f t="shared" si="179"/>
        <v>-3.0920751259735368E-3</v>
      </c>
      <c r="S1050" s="12">
        <f t="shared" si="180"/>
        <v>1.2416771639373714E-2</v>
      </c>
      <c r="T1050" s="12">
        <f t="shared" si="181"/>
        <v>5.5374818301379136E-3</v>
      </c>
      <c r="U1050" s="12">
        <f t="shared" si="182"/>
        <v>-1.5422869912812276E-3</v>
      </c>
      <c r="V1050" s="12">
        <f t="shared" si="183"/>
        <v>5.0226017076848706E-4</v>
      </c>
      <c r="W1050" s="12">
        <f t="shared" si="184"/>
        <v>1.9171130532844582E-3</v>
      </c>
      <c r="X1050" s="12">
        <f t="shared" si="185"/>
        <v>-2.0490026019080676E-2</v>
      </c>
      <c r="Y1050" s="12">
        <f t="shared" si="186"/>
        <v>-1.7757622117802185E-3</v>
      </c>
    </row>
    <row r="1051" spans="1:25" x14ac:dyDescent="0.35">
      <c r="A1051" s="6">
        <v>45650</v>
      </c>
      <c r="B1051" s="8">
        <v>6040.04</v>
      </c>
      <c r="C1051" s="2">
        <v>258.2</v>
      </c>
      <c r="D1051" s="2">
        <v>224.41</v>
      </c>
      <c r="E1051" s="2">
        <v>439.33</v>
      </c>
      <c r="F1051" s="2">
        <v>506.1</v>
      </c>
      <c r="G1051" s="2">
        <v>145.85</v>
      </c>
      <c r="H1051" s="2">
        <v>320.64999999999998</v>
      </c>
      <c r="I1051" s="2">
        <v>303.45999999999998</v>
      </c>
      <c r="J1051" s="2">
        <v>179.34</v>
      </c>
      <c r="K1051" s="2">
        <v>92.68</v>
      </c>
      <c r="L1051" s="2">
        <v>367.57</v>
      </c>
      <c r="M1051" s="64">
        <v>11.04</v>
      </c>
      <c r="N1051" s="1"/>
      <c r="O1051" s="12">
        <f t="shared" si="176"/>
        <v>1.1042722967758989E-2</v>
      </c>
      <c r="P1051" s="12">
        <f t="shared" si="177"/>
        <v>1.1478042856583048E-2</v>
      </c>
      <c r="Q1051" s="12">
        <f t="shared" si="178"/>
        <v>1.1174694723561363E-2</v>
      </c>
      <c r="R1051" s="12">
        <f t="shared" si="179"/>
        <v>9.3739230327398726E-3</v>
      </c>
      <c r="S1051" s="12">
        <f t="shared" si="180"/>
        <v>-4.739898092189776E-4</v>
      </c>
      <c r="T1051" s="12">
        <f t="shared" si="181"/>
        <v>3.9925655675636662E-3</v>
      </c>
      <c r="U1051" s="12">
        <f t="shared" si="182"/>
        <v>1.081268520269818E-2</v>
      </c>
      <c r="V1051" s="12">
        <f t="shared" si="183"/>
        <v>1.559571619812572E-2</v>
      </c>
      <c r="W1051" s="12">
        <f t="shared" si="184"/>
        <v>9.2858348809725655E-3</v>
      </c>
      <c r="X1051" s="12">
        <f t="shared" si="185"/>
        <v>2.5788599889319475E-2</v>
      </c>
      <c r="Y1051" s="12">
        <f t="shared" si="186"/>
        <v>5.9662278661156698E-3</v>
      </c>
    </row>
    <row r="1052" spans="1:25" x14ac:dyDescent="0.35">
      <c r="A1052" s="6">
        <v>45652</v>
      </c>
      <c r="B1052" s="8">
        <v>6037.59</v>
      </c>
      <c r="C1052" s="2">
        <v>259.02</v>
      </c>
      <c r="D1052" s="2">
        <v>224.89</v>
      </c>
      <c r="E1052" s="2">
        <v>438.11</v>
      </c>
      <c r="F1052" s="2">
        <v>511.15</v>
      </c>
      <c r="G1052" s="2">
        <v>145.58000000000001</v>
      </c>
      <c r="H1052" s="2">
        <v>320.91000000000003</v>
      </c>
      <c r="I1052" s="2">
        <v>303.99</v>
      </c>
      <c r="J1052" s="2">
        <v>180.38</v>
      </c>
      <c r="K1052" s="2">
        <v>92.79</v>
      </c>
      <c r="L1052" s="2">
        <v>367.12</v>
      </c>
      <c r="M1052" s="64" t="s">
        <v>77</v>
      </c>
      <c r="N1052" s="1"/>
      <c r="O1052" s="12">
        <f t="shared" si="176"/>
        <v>-4.0562645280495246E-4</v>
      </c>
      <c r="P1052" s="12">
        <f t="shared" si="177"/>
        <v>3.175832687838831E-3</v>
      </c>
      <c r="Q1052" s="12">
        <f t="shared" si="178"/>
        <v>2.1389421148789722E-3</v>
      </c>
      <c r="R1052" s="12">
        <f t="shared" si="179"/>
        <v>-2.7769558190881005E-3</v>
      </c>
      <c r="S1052" s="12">
        <f t="shared" si="180"/>
        <v>9.9782651649871212E-3</v>
      </c>
      <c r="T1052" s="12">
        <f t="shared" si="181"/>
        <v>-1.8512170037708886E-3</v>
      </c>
      <c r="U1052" s="12">
        <f t="shared" si="182"/>
        <v>8.1085295493532605E-4</v>
      </c>
      <c r="V1052" s="12">
        <f t="shared" si="183"/>
        <v>1.7465234297766585E-3</v>
      </c>
      <c r="W1052" s="12">
        <f t="shared" si="184"/>
        <v>5.7990409278465549E-3</v>
      </c>
      <c r="X1052" s="12">
        <f t="shared" si="185"/>
        <v>1.1868795856710967E-3</v>
      </c>
      <c r="Y1052" s="12">
        <f t="shared" si="186"/>
        <v>-1.2242566041842373E-3</v>
      </c>
    </row>
    <row r="1053" spans="1:25" x14ac:dyDescent="0.35">
      <c r="A1053" s="6">
        <v>45653</v>
      </c>
      <c r="B1053" s="8">
        <v>5970.84</v>
      </c>
      <c r="C1053" s="2">
        <v>255.59</v>
      </c>
      <c r="D1053" s="2">
        <v>222.78</v>
      </c>
      <c r="E1053" s="2">
        <v>430.53</v>
      </c>
      <c r="F1053" s="2">
        <v>509.99</v>
      </c>
      <c r="G1053" s="2">
        <v>145.05000000000001</v>
      </c>
      <c r="H1053" s="2">
        <v>318.66000000000003</v>
      </c>
      <c r="I1053" s="2">
        <v>301.05</v>
      </c>
      <c r="J1053" s="2">
        <v>180.72</v>
      </c>
      <c r="K1053" s="2">
        <v>91.66</v>
      </c>
      <c r="L1053" s="2">
        <v>364.86</v>
      </c>
      <c r="M1053" s="64" t="s">
        <v>77</v>
      </c>
      <c r="N1053" s="1"/>
      <c r="O1053" s="12">
        <f t="shared" si="176"/>
        <v>-1.1055735815118317E-2</v>
      </c>
      <c r="P1053" s="12">
        <f t="shared" si="177"/>
        <v>-1.3242220677939898E-2</v>
      </c>
      <c r="Q1053" s="12">
        <f t="shared" si="178"/>
        <v>-9.3823647116367814E-3</v>
      </c>
      <c r="R1053" s="12">
        <f t="shared" si="179"/>
        <v>-1.7301590924653665E-2</v>
      </c>
      <c r="S1053" s="12">
        <f t="shared" si="180"/>
        <v>-2.2693925462192732E-3</v>
      </c>
      <c r="T1053" s="12">
        <f t="shared" si="181"/>
        <v>-3.6406099738974795E-3</v>
      </c>
      <c r="U1053" s="12">
        <f t="shared" si="182"/>
        <v>-7.0113115826867523E-3</v>
      </c>
      <c r="V1053" s="12">
        <f t="shared" si="183"/>
        <v>-9.6713707687753336E-3</v>
      </c>
      <c r="W1053" s="12">
        <f t="shared" si="184"/>
        <v>1.8849096352144823E-3</v>
      </c>
      <c r="X1053" s="12">
        <f t="shared" si="185"/>
        <v>-1.2178036426339189E-2</v>
      </c>
      <c r="Y1053" s="12">
        <f t="shared" si="186"/>
        <v>-6.1560252778383173E-3</v>
      </c>
    </row>
    <row r="1054" spans="1:25" x14ac:dyDescent="0.35">
      <c r="A1054" s="6">
        <v>45656</v>
      </c>
      <c r="B1054" s="8">
        <v>5906.94</v>
      </c>
      <c r="C1054" s="2">
        <v>252.2</v>
      </c>
      <c r="D1054" s="2">
        <v>220.25</v>
      </c>
      <c r="E1054" s="2">
        <v>424.83</v>
      </c>
      <c r="F1054" s="2">
        <v>507.8</v>
      </c>
      <c r="G1054" s="2">
        <v>143.34</v>
      </c>
      <c r="H1054" s="2">
        <v>315.31</v>
      </c>
      <c r="I1054" s="2">
        <v>297.33</v>
      </c>
      <c r="J1054" s="2">
        <v>176.55</v>
      </c>
      <c r="K1054" s="2">
        <v>90.57</v>
      </c>
      <c r="L1054" s="2">
        <v>363.01</v>
      </c>
      <c r="M1054" s="64" t="s">
        <v>77</v>
      </c>
      <c r="N1054" s="1"/>
      <c r="O1054" s="12">
        <f t="shared" si="176"/>
        <v>-1.0702011777237508E-2</v>
      </c>
      <c r="P1054" s="12">
        <f t="shared" si="177"/>
        <v>-1.3263429711647623E-2</v>
      </c>
      <c r="Q1054" s="12">
        <f t="shared" si="178"/>
        <v>-1.1356495197055394E-2</v>
      </c>
      <c r="R1054" s="12">
        <f t="shared" si="179"/>
        <v>-1.3239495505539711E-2</v>
      </c>
      <c r="S1054" s="12">
        <f t="shared" si="180"/>
        <v>-4.2942018470950583E-3</v>
      </c>
      <c r="T1054" s="12">
        <f t="shared" si="181"/>
        <v>-1.1789038262668083E-2</v>
      </c>
      <c r="U1054" s="12">
        <f t="shared" si="182"/>
        <v>-1.0512772233728818E-2</v>
      </c>
      <c r="V1054" s="12">
        <f t="shared" si="183"/>
        <v>-1.2356751370204422E-2</v>
      </c>
      <c r="W1054" s="12">
        <f t="shared" si="184"/>
        <v>-2.3074369189907018E-2</v>
      </c>
      <c r="X1054" s="12">
        <f t="shared" si="185"/>
        <v>-1.1891773947196205E-2</v>
      </c>
      <c r="Y1054" s="12">
        <f t="shared" si="186"/>
        <v>-5.070437976210096E-3</v>
      </c>
    </row>
    <row r="1055" spans="1:25" x14ac:dyDescent="0.35">
      <c r="A1055" s="6">
        <v>45657</v>
      </c>
      <c r="B1055" s="8">
        <v>5881.63</v>
      </c>
      <c r="C1055" s="2">
        <v>250.42</v>
      </c>
      <c r="D1055" s="2">
        <v>219.83</v>
      </c>
      <c r="E1055" s="2">
        <v>421.5</v>
      </c>
      <c r="F1055" s="2">
        <v>505.86</v>
      </c>
      <c r="G1055" s="2">
        <v>144.62</v>
      </c>
      <c r="H1055" s="2">
        <v>316.04000000000002</v>
      </c>
      <c r="I1055" s="2">
        <v>296.79000000000002</v>
      </c>
      <c r="J1055" s="2">
        <v>177</v>
      </c>
      <c r="K1055" s="2">
        <v>90.35</v>
      </c>
      <c r="L1055" s="2">
        <v>362.76</v>
      </c>
      <c r="M1055" s="64" t="s">
        <v>77</v>
      </c>
      <c r="N1055" s="1"/>
      <c r="O1055" s="12">
        <f t="shared" si="176"/>
        <v>-4.2847904329482711E-3</v>
      </c>
      <c r="P1055" s="12">
        <f t="shared" si="177"/>
        <v>-7.0578905630451771E-3</v>
      </c>
      <c r="Q1055" s="12">
        <f t="shared" si="178"/>
        <v>-1.9069239500566493E-3</v>
      </c>
      <c r="R1055" s="12">
        <f t="shared" si="179"/>
        <v>-7.8384294894427997E-3</v>
      </c>
      <c r="S1055" s="12">
        <f t="shared" si="180"/>
        <v>-3.8204017329657169E-3</v>
      </c>
      <c r="T1055" s="12">
        <f t="shared" si="181"/>
        <v>8.9298172178038371E-3</v>
      </c>
      <c r="U1055" s="12">
        <f t="shared" si="182"/>
        <v>2.3151818844946437E-3</v>
      </c>
      <c r="V1055" s="12">
        <f t="shared" si="183"/>
        <v>-1.8161638583390483E-3</v>
      </c>
      <c r="W1055" s="12">
        <f t="shared" si="184"/>
        <v>2.5488530161426048E-3</v>
      </c>
      <c r="X1055" s="12">
        <f t="shared" si="185"/>
        <v>-2.4290603952743517E-3</v>
      </c>
      <c r="Y1055" s="12">
        <f t="shared" si="186"/>
        <v>-6.8868626208640205E-4</v>
      </c>
    </row>
    <row r="1056" spans="1:25" x14ac:dyDescent="0.35">
      <c r="A1056" s="6">
        <v>45659</v>
      </c>
      <c r="B1056" s="8">
        <v>5868.55</v>
      </c>
      <c r="C1056" s="2">
        <v>243.85</v>
      </c>
      <c r="D1056" s="2">
        <v>219.94</v>
      </c>
      <c r="E1056" s="2">
        <v>418.58</v>
      </c>
      <c r="F1056" s="2">
        <v>504.51</v>
      </c>
      <c r="G1056" s="2">
        <v>144.02000000000001</v>
      </c>
      <c r="H1056" s="2">
        <v>314.39999999999998</v>
      </c>
      <c r="I1056" s="2">
        <v>298.43</v>
      </c>
      <c r="J1056" s="2">
        <v>171.87</v>
      </c>
      <c r="K1056" s="2">
        <v>90</v>
      </c>
      <c r="L1056" s="2">
        <v>359.77</v>
      </c>
      <c r="M1056" s="64">
        <v>10.95</v>
      </c>
      <c r="N1056" s="1"/>
      <c r="O1056" s="12">
        <f t="shared" si="176"/>
        <v>-2.2238733140302891E-3</v>
      </c>
      <c r="P1056" s="12">
        <f t="shared" si="177"/>
        <v>-2.6235923648270876E-2</v>
      </c>
      <c r="Q1056" s="12">
        <f t="shared" si="178"/>
        <v>5.0038666242091523E-4</v>
      </c>
      <c r="R1056" s="12">
        <f t="shared" si="179"/>
        <v>-6.9276393831554373E-3</v>
      </c>
      <c r="S1056" s="12">
        <f t="shared" si="180"/>
        <v>-2.6687225714625562E-3</v>
      </c>
      <c r="T1056" s="12">
        <f t="shared" si="181"/>
        <v>-4.1488037615819984E-3</v>
      </c>
      <c r="U1056" s="12">
        <f t="shared" si="182"/>
        <v>-5.1892165548665936E-3</v>
      </c>
      <c r="V1056" s="12">
        <f t="shared" si="183"/>
        <v>5.5257926480001274E-3</v>
      </c>
      <c r="W1056" s="12">
        <f t="shared" si="184"/>
        <v>-2.8983050847457559E-2</v>
      </c>
      <c r="X1056" s="12">
        <f t="shared" si="185"/>
        <v>-3.8738240177088601E-3</v>
      </c>
      <c r="Y1056" s="12">
        <f t="shared" si="186"/>
        <v>-8.242364097474919E-3</v>
      </c>
    </row>
    <row r="1057" spans="1:25" x14ac:dyDescent="0.35">
      <c r="A1057" s="6">
        <v>45660</v>
      </c>
      <c r="B1057" s="8">
        <v>5942.47</v>
      </c>
      <c r="C1057" s="2">
        <v>243.36</v>
      </c>
      <c r="D1057" s="2">
        <v>222.65</v>
      </c>
      <c r="E1057" s="2">
        <v>423.35</v>
      </c>
      <c r="F1057" s="2">
        <v>513</v>
      </c>
      <c r="G1057" s="2">
        <v>144.19</v>
      </c>
      <c r="H1057" s="2">
        <v>314.91000000000003</v>
      </c>
      <c r="I1057" s="2">
        <v>303.08</v>
      </c>
      <c r="J1057" s="2">
        <v>169.9</v>
      </c>
      <c r="K1057" s="2">
        <v>90.78</v>
      </c>
      <c r="L1057" s="2">
        <v>363.79</v>
      </c>
      <c r="M1057" s="64" t="s">
        <v>77</v>
      </c>
      <c r="N1057" s="1"/>
      <c r="O1057" s="12">
        <f t="shared" si="176"/>
        <v>1.2595956411720177E-2</v>
      </c>
      <c r="P1057" s="12">
        <f t="shared" si="177"/>
        <v>-2.009432027885949E-3</v>
      </c>
      <c r="Q1057" s="12">
        <f t="shared" si="178"/>
        <v>1.2321542238792338E-2</v>
      </c>
      <c r="R1057" s="12">
        <f t="shared" si="179"/>
        <v>1.1395671078407998E-2</v>
      </c>
      <c r="S1057" s="12">
        <f t="shared" si="180"/>
        <v>1.6828209549860196E-2</v>
      </c>
      <c r="T1057" s="12">
        <f t="shared" si="181"/>
        <v>1.1803916122758995E-3</v>
      </c>
      <c r="U1057" s="12">
        <f t="shared" si="182"/>
        <v>1.6221374045803927E-3</v>
      </c>
      <c r="V1057" s="12">
        <f t="shared" si="183"/>
        <v>1.5581543410514875E-2</v>
      </c>
      <c r="W1057" s="12">
        <f t="shared" si="184"/>
        <v>-1.14621516262291E-2</v>
      </c>
      <c r="X1057" s="12">
        <f t="shared" si="185"/>
        <v>8.6666666666666003E-3</v>
      </c>
      <c r="Y1057" s="12">
        <f t="shared" si="186"/>
        <v>1.1173805486838884E-2</v>
      </c>
    </row>
    <row r="1058" spans="1:25" x14ac:dyDescent="0.35">
      <c r="A1058" s="6">
        <v>45663</v>
      </c>
      <c r="B1058" s="8">
        <v>5975.38</v>
      </c>
      <c r="C1058" s="2">
        <v>245</v>
      </c>
      <c r="D1058" s="2">
        <v>222.67</v>
      </c>
      <c r="E1058" s="2">
        <v>427.85</v>
      </c>
      <c r="F1058" s="2">
        <v>513.66999999999996</v>
      </c>
      <c r="G1058" s="2">
        <v>143.66</v>
      </c>
      <c r="H1058" s="2">
        <v>313.04000000000002</v>
      </c>
      <c r="I1058" s="2">
        <v>301.88</v>
      </c>
      <c r="J1058" s="2">
        <v>170.78</v>
      </c>
      <c r="K1058" s="2">
        <v>91.43</v>
      </c>
      <c r="L1058" s="2">
        <v>364.2</v>
      </c>
      <c r="M1058" s="64" t="s">
        <v>77</v>
      </c>
      <c r="N1058" s="1"/>
      <c r="O1058" s="12">
        <f t="shared" si="176"/>
        <v>5.5381011599553442E-3</v>
      </c>
      <c r="P1058" s="12">
        <f t="shared" si="177"/>
        <v>6.7389875082182193E-3</v>
      </c>
      <c r="Q1058" s="12">
        <f t="shared" si="178"/>
        <v>8.9827082865312491E-5</v>
      </c>
      <c r="R1058" s="12">
        <f t="shared" si="179"/>
        <v>1.0629502775481248E-2</v>
      </c>
      <c r="S1058" s="12">
        <f t="shared" si="180"/>
        <v>1.306042884990255E-3</v>
      </c>
      <c r="T1058" s="12">
        <f t="shared" si="181"/>
        <v>-3.6757056661349541E-3</v>
      </c>
      <c r="U1058" s="12">
        <f t="shared" si="182"/>
        <v>-5.9382045663840533E-3</v>
      </c>
      <c r="V1058" s="12">
        <f t="shared" si="183"/>
        <v>-3.9593506664906686E-3</v>
      </c>
      <c r="W1058" s="12">
        <f t="shared" si="184"/>
        <v>5.1795173631548064E-3</v>
      </c>
      <c r="X1058" s="12">
        <f t="shared" si="185"/>
        <v>7.1601674377617108E-3</v>
      </c>
      <c r="Y1058" s="12">
        <f t="shared" si="186"/>
        <v>1.1270238324307957E-3</v>
      </c>
    </row>
    <row r="1059" spans="1:25" x14ac:dyDescent="0.35">
      <c r="A1059" s="6">
        <v>45664</v>
      </c>
      <c r="B1059" s="8">
        <v>5909.03</v>
      </c>
      <c r="C1059" s="2">
        <v>242.21</v>
      </c>
      <c r="D1059" s="2">
        <v>223.96</v>
      </c>
      <c r="E1059" s="2">
        <v>422.37</v>
      </c>
      <c r="F1059" s="2">
        <v>514.25</v>
      </c>
      <c r="G1059" s="2">
        <v>146.22999999999999</v>
      </c>
      <c r="H1059" s="2">
        <v>311.67</v>
      </c>
      <c r="I1059" s="2">
        <v>302.02</v>
      </c>
      <c r="J1059" s="2">
        <v>172.51</v>
      </c>
      <c r="K1059" s="2">
        <v>90.81</v>
      </c>
      <c r="L1059" s="2">
        <v>363</v>
      </c>
      <c r="M1059" s="64" t="s">
        <v>77</v>
      </c>
      <c r="N1059" s="1"/>
      <c r="O1059" s="12">
        <f t="shared" si="176"/>
        <v>-1.1103896321238205E-2</v>
      </c>
      <c r="P1059" s="12">
        <f t="shared" si="177"/>
        <v>-1.138775510204082E-2</v>
      </c>
      <c r="Q1059" s="12">
        <f t="shared" si="178"/>
        <v>5.7933264472089796E-3</v>
      </c>
      <c r="R1059" s="12">
        <f t="shared" si="179"/>
        <v>-1.2808227182423804E-2</v>
      </c>
      <c r="S1059" s="12">
        <f t="shared" si="180"/>
        <v>1.1291295968229864E-3</v>
      </c>
      <c r="T1059" s="12">
        <f t="shared" si="181"/>
        <v>1.788946122789925E-2</v>
      </c>
      <c r="U1059" s="12">
        <f t="shared" si="182"/>
        <v>-4.3764375159723867E-3</v>
      </c>
      <c r="V1059" s="12">
        <f t="shared" si="183"/>
        <v>4.6376043460982785E-4</v>
      </c>
      <c r="W1059" s="12">
        <f t="shared" si="184"/>
        <v>1.0129991802318772E-2</v>
      </c>
      <c r="X1059" s="12">
        <f t="shared" si="185"/>
        <v>-6.7811440446243765E-3</v>
      </c>
      <c r="Y1059" s="12">
        <f t="shared" si="186"/>
        <v>-3.2948929159801743E-3</v>
      </c>
    </row>
    <row r="1060" spans="1:25" x14ac:dyDescent="0.35">
      <c r="A1060" s="6">
        <v>45665</v>
      </c>
      <c r="B1060" s="8">
        <v>5918.25</v>
      </c>
      <c r="C1060" s="2">
        <v>242.7</v>
      </c>
      <c r="D1060" s="2">
        <v>223.18</v>
      </c>
      <c r="E1060" s="2">
        <v>424.56</v>
      </c>
      <c r="F1060" s="2">
        <v>524.52</v>
      </c>
      <c r="G1060" s="2">
        <v>142.27000000000001</v>
      </c>
      <c r="H1060" s="2">
        <v>312.60000000000002</v>
      </c>
      <c r="I1060" s="2">
        <v>302.85000000000002</v>
      </c>
      <c r="J1060" s="2">
        <v>171.76</v>
      </c>
      <c r="K1060" s="2">
        <v>91.8</v>
      </c>
      <c r="L1060" s="2">
        <v>361.07</v>
      </c>
      <c r="M1060" s="64">
        <v>11.03</v>
      </c>
      <c r="N1060" s="1"/>
      <c r="O1060" s="12">
        <f t="shared" si="176"/>
        <v>1.5603237756451893E-3</v>
      </c>
      <c r="P1060" s="12">
        <f t="shared" si="177"/>
        <v>2.0230378597083654E-3</v>
      </c>
      <c r="Q1060" s="12">
        <f t="shared" si="178"/>
        <v>-3.482764779424885E-3</v>
      </c>
      <c r="R1060" s="12">
        <f t="shared" si="179"/>
        <v>5.1850273456921503E-3</v>
      </c>
      <c r="S1060" s="12">
        <f t="shared" si="180"/>
        <v>1.9970831307729586E-2</v>
      </c>
      <c r="T1060" s="12">
        <f t="shared" si="181"/>
        <v>-2.7080626410449171E-2</v>
      </c>
      <c r="U1060" s="12">
        <f t="shared" si="182"/>
        <v>2.9839253056116455E-3</v>
      </c>
      <c r="V1060" s="12">
        <f t="shared" si="183"/>
        <v>2.7481623733529581E-3</v>
      </c>
      <c r="W1060" s="12">
        <f t="shared" si="184"/>
        <v>-4.3475740536780272E-3</v>
      </c>
      <c r="X1060" s="12">
        <f t="shared" si="185"/>
        <v>1.090188305252715E-2</v>
      </c>
      <c r="Y1060" s="12">
        <f t="shared" si="186"/>
        <v>-5.3168044077135379E-3</v>
      </c>
    </row>
    <row r="1061" spans="1:25" x14ac:dyDescent="0.35">
      <c r="A1061" s="6">
        <v>45667</v>
      </c>
      <c r="B1061" s="8">
        <v>5827.04</v>
      </c>
      <c r="C1061" s="2">
        <v>236.85</v>
      </c>
      <c r="D1061" s="2">
        <v>219.75</v>
      </c>
      <c r="E1061" s="2">
        <v>418.95</v>
      </c>
      <c r="F1061" s="2">
        <v>520.69000000000005</v>
      </c>
      <c r="G1061" s="2">
        <v>142.06</v>
      </c>
      <c r="H1061" s="2">
        <v>307.70999999999998</v>
      </c>
      <c r="I1061" s="2">
        <v>293.3</v>
      </c>
      <c r="J1061" s="2">
        <v>172</v>
      </c>
      <c r="K1061" s="2">
        <v>93</v>
      </c>
      <c r="L1061" s="2">
        <v>351</v>
      </c>
      <c r="M1061" s="64" t="s">
        <v>77</v>
      </c>
      <c r="N1061" s="1"/>
      <c r="O1061" s="12">
        <f t="shared" si="176"/>
        <v>-1.5411650403413191E-2</v>
      </c>
      <c r="P1061" s="12">
        <f t="shared" si="177"/>
        <v>-2.410383189122367E-2</v>
      </c>
      <c r="Q1061" s="12">
        <f t="shared" si="178"/>
        <v>-1.5368760641634616E-2</v>
      </c>
      <c r="R1061" s="12">
        <f t="shared" si="179"/>
        <v>-1.3213680045223275E-2</v>
      </c>
      <c r="S1061" s="12">
        <f t="shared" si="180"/>
        <v>-7.3019141310148861E-3</v>
      </c>
      <c r="T1061" s="12">
        <f t="shared" si="181"/>
        <v>-1.4760666338652362E-3</v>
      </c>
      <c r="U1061" s="12">
        <f t="shared" si="182"/>
        <v>-1.5642994241842789E-2</v>
      </c>
      <c r="V1061" s="12">
        <f t="shared" si="183"/>
        <v>-3.1533762588740299E-2</v>
      </c>
      <c r="W1061" s="12">
        <f t="shared" si="184"/>
        <v>1.3972985561248041E-3</v>
      </c>
      <c r="X1061" s="12">
        <f t="shared" si="185"/>
        <v>1.3071895424836555E-2</v>
      </c>
      <c r="Y1061" s="12">
        <f t="shared" si="186"/>
        <v>-2.7889328938986879E-2</v>
      </c>
    </row>
    <row r="1062" spans="1:25" x14ac:dyDescent="0.35">
      <c r="A1062" s="6">
        <v>45670</v>
      </c>
      <c r="B1062" s="8">
        <v>5836.22</v>
      </c>
      <c r="C1062" s="2">
        <v>234.4</v>
      </c>
      <c r="D1062" s="2">
        <v>217.4</v>
      </c>
      <c r="E1062" s="2">
        <v>417.19</v>
      </c>
      <c r="F1062" s="2">
        <v>541.14</v>
      </c>
      <c r="G1062" s="2">
        <v>144.47</v>
      </c>
      <c r="H1062" s="2">
        <v>306.92</v>
      </c>
      <c r="I1062" s="2">
        <v>297.02</v>
      </c>
      <c r="J1062" s="2">
        <v>170.57</v>
      </c>
      <c r="K1062" s="2">
        <v>91.53</v>
      </c>
      <c r="L1062" s="2">
        <v>362.5</v>
      </c>
      <c r="M1062" s="64" t="s">
        <v>77</v>
      </c>
      <c r="N1062" s="1"/>
      <c r="O1062" s="12">
        <f t="shared" si="176"/>
        <v>1.5754139322881056E-3</v>
      </c>
      <c r="P1062" s="12">
        <f t="shared" si="177"/>
        <v>-1.0344099641123039E-2</v>
      </c>
      <c r="Q1062" s="12">
        <f t="shared" si="178"/>
        <v>-1.0693970420932897E-2</v>
      </c>
      <c r="R1062" s="12">
        <f t="shared" si="179"/>
        <v>-4.2009786370688085E-3</v>
      </c>
      <c r="S1062" s="12">
        <f t="shared" si="180"/>
        <v>3.9274808427279151E-2</v>
      </c>
      <c r="T1062" s="12">
        <f t="shared" si="181"/>
        <v>1.6964662818527376E-2</v>
      </c>
      <c r="U1062" s="12">
        <f t="shared" si="182"/>
        <v>-2.5673523772381524E-3</v>
      </c>
      <c r="V1062" s="12">
        <f t="shared" si="183"/>
        <v>1.2683259461302221E-2</v>
      </c>
      <c r="W1062" s="12">
        <f t="shared" si="184"/>
        <v>-8.3139534883721611E-3</v>
      </c>
      <c r="X1062" s="12">
        <f t="shared" si="185"/>
        <v>-1.5806451612903172E-2</v>
      </c>
      <c r="Y1062" s="12">
        <f t="shared" si="186"/>
        <v>3.2763532763532721E-2</v>
      </c>
    </row>
    <row r="1063" spans="1:25" x14ac:dyDescent="0.35">
      <c r="A1063" s="6">
        <v>45671</v>
      </c>
      <c r="B1063" s="8">
        <v>5842.91</v>
      </c>
      <c r="C1063" s="2">
        <v>233.28</v>
      </c>
      <c r="D1063" s="2">
        <v>217.75</v>
      </c>
      <c r="E1063" s="2">
        <v>415.67</v>
      </c>
      <c r="F1063" s="2">
        <v>543.74</v>
      </c>
      <c r="G1063" s="2">
        <v>144.75</v>
      </c>
      <c r="H1063" s="2">
        <v>309.08999999999997</v>
      </c>
      <c r="I1063" s="2">
        <v>300.36</v>
      </c>
      <c r="J1063" s="2">
        <v>167.02</v>
      </c>
      <c r="K1063" s="2">
        <v>90.79</v>
      </c>
      <c r="L1063" s="2">
        <v>371.57</v>
      </c>
      <c r="M1063" s="64" t="s">
        <v>77</v>
      </c>
      <c r="N1063" s="1"/>
      <c r="O1063" s="12">
        <f t="shared" si="176"/>
        <v>1.146289893115604E-3</v>
      </c>
      <c r="P1063" s="12">
        <f t="shared" si="177"/>
        <v>-4.778156996587013E-3</v>
      </c>
      <c r="Q1063" s="12">
        <f t="shared" si="178"/>
        <v>1.6099356025758293E-3</v>
      </c>
      <c r="R1063" s="12">
        <f t="shared" si="179"/>
        <v>-3.6434238596322333E-3</v>
      </c>
      <c r="S1063" s="12">
        <f t="shared" si="180"/>
        <v>4.8046716191743055E-3</v>
      </c>
      <c r="T1063" s="12">
        <f t="shared" si="181"/>
        <v>1.9381186405482698E-3</v>
      </c>
      <c r="U1063" s="12">
        <f t="shared" si="182"/>
        <v>7.0702463182585884E-3</v>
      </c>
      <c r="V1063" s="12">
        <f t="shared" si="183"/>
        <v>1.1245034004444321E-2</v>
      </c>
      <c r="W1063" s="12">
        <f t="shared" si="184"/>
        <v>-2.0812569619510946E-2</v>
      </c>
      <c r="X1063" s="12">
        <f t="shared" si="185"/>
        <v>-8.0847809461378484E-3</v>
      </c>
      <c r="Y1063" s="12">
        <f t="shared" si="186"/>
        <v>2.5020689655172346E-2</v>
      </c>
    </row>
    <row r="1064" spans="1:25" x14ac:dyDescent="0.35">
      <c r="A1064" s="6">
        <v>45672</v>
      </c>
      <c r="B1064" s="8">
        <v>5949.91</v>
      </c>
      <c r="C1064" s="2">
        <v>237.87</v>
      </c>
      <c r="D1064" s="2">
        <v>220.03</v>
      </c>
      <c r="E1064" s="2">
        <v>426.31</v>
      </c>
      <c r="F1064" s="2">
        <v>543.41999999999996</v>
      </c>
      <c r="G1064" s="2">
        <v>144.97</v>
      </c>
      <c r="H1064" s="2">
        <v>316.27999999999997</v>
      </c>
      <c r="I1064" s="2">
        <v>312.32</v>
      </c>
      <c r="J1064" s="2">
        <v>166.2</v>
      </c>
      <c r="K1064" s="2">
        <v>91.34</v>
      </c>
      <c r="L1064" s="2">
        <v>374.89</v>
      </c>
      <c r="M1064" s="64" t="s">
        <v>77</v>
      </c>
      <c r="N1064" s="1"/>
      <c r="O1064" s="12">
        <f t="shared" si="176"/>
        <v>1.8312792769356268E-2</v>
      </c>
      <c r="P1064" s="12">
        <f t="shared" si="177"/>
        <v>1.9675925925926041E-2</v>
      </c>
      <c r="Q1064" s="12">
        <f t="shared" si="178"/>
        <v>1.0470723306544194E-2</v>
      </c>
      <c r="R1064" s="12">
        <f t="shared" si="179"/>
        <v>2.5597228570741093E-2</v>
      </c>
      <c r="S1064" s="12">
        <f t="shared" si="180"/>
        <v>-5.8851657041980587E-4</v>
      </c>
      <c r="T1064" s="12">
        <f t="shared" si="181"/>
        <v>1.5198618307425971E-3</v>
      </c>
      <c r="U1064" s="12">
        <f t="shared" si="182"/>
        <v>2.3261833123038533E-2</v>
      </c>
      <c r="V1064" s="12">
        <f t="shared" si="183"/>
        <v>3.9818884005859534E-2</v>
      </c>
      <c r="W1064" s="12">
        <f t="shared" si="184"/>
        <v>-4.9095916656689553E-3</v>
      </c>
      <c r="X1064" s="12">
        <f t="shared" si="185"/>
        <v>6.0579358960237695E-3</v>
      </c>
      <c r="Y1064" s="12">
        <f t="shared" si="186"/>
        <v>8.9350593427885983E-3</v>
      </c>
    </row>
    <row r="1065" spans="1:25" x14ac:dyDescent="0.35">
      <c r="A1065" s="6">
        <v>45673</v>
      </c>
      <c r="B1065" s="8">
        <v>5937.34</v>
      </c>
      <c r="C1065" s="2">
        <v>228.26</v>
      </c>
      <c r="D1065" s="2">
        <v>222.66</v>
      </c>
      <c r="E1065" s="2">
        <v>424.58</v>
      </c>
      <c r="F1065" s="2">
        <v>510.59</v>
      </c>
      <c r="G1065" s="2">
        <v>147.77000000000001</v>
      </c>
      <c r="H1065" s="2">
        <v>317.25</v>
      </c>
      <c r="I1065" s="2">
        <v>311.48</v>
      </c>
      <c r="J1065" s="2">
        <v>168.93</v>
      </c>
      <c r="K1065" s="2">
        <v>91.3</v>
      </c>
      <c r="L1065" s="2">
        <v>380.55</v>
      </c>
      <c r="M1065" s="64">
        <v>10.95</v>
      </c>
      <c r="N1065" s="1"/>
      <c r="O1065" s="12">
        <f t="shared" si="176"/>
        <v>-2.112636997870454E-3</v>
      </c>
      <c r="P1065" s="12">
        <f t="shared" si="177"/>
        <v>-4.0400218606802096E-2</v>
      </c>
      <c r="Q1065" s="12">
        <f t="shared" si="178"/>
        <v>1.1952915511521223E-2</v>
      </c>
      <c r="R1065" s="12">
        <f t="shared" si="179"/>
        <v>-4.0580798010837471E-3</v>
      </c>
      <c r="S1065" s="12">
        <f t="shared" si="180"/>
        <v>-6.0413676346104284E-2</v>
      </c>
      <c r="T1065" s="12">
        <f t="shared" si="181"/>
        <v>1.93143408981169E-2</v>
      </c>
      <c r="U1065" s="12">
        <f t="shared" si="182"/>
        <v>3.0669027444036878E-3</v>
      </c>
      <c r="V1065" s="12">
        <f t="shared" si="183"/>
        <v>-2.6895491803278215E-3</v>
      </c>
      <c r="W1065" s="12">
        <f t="shared" si="184"/>
        <v>1.6425992779783405E-2</v>
      </c>
      <c r="X1065" s="12">
        <f t="shared" si="185"/>
        <v>-4.3792423910671285E-4</v>
      </c>
      <c r="Y1065" s="12">
        <f t="shared" si="186"/>
        <v>1.5097762010189753E-2</v>
      </c>
    </row>
    <row r="1066" spans="1:25" x14ac:dyDescent="0.35">
      <c r="A1066" s="6">
        <v>45674</v>
      </c>
      <c r="B1066" s="8">
        <v>5996.66</v>
      </c>
      <c r="C1066" s="2">
        <v>229.98</v>
      </c>
      <c r="D1066" s="2">
        <v>224.79</v>
      </c>
      <c r="E1066" s="2">
        <v>429.03</v>
      </c>
      <c r="F1066" s="2">
        <v>509.76</v>
      </c>
      <c r="G1066" s="2">
        <v>147.03</v>
      </c>
      <c r="H1066" s="2">
        <v>319.62</v>
      </c>
      <c r="I1066" s="2">
        <v>312.56</v>
      </c>
      <c r="J1066" s="2">
        <v>171.09</v>
      </c>
      <c r="K1066" s="2">
        <v>91.94</v>
      </c>
      <c r="L1066" s="2">
        <v>386.02</v>
      </c>
      <c r="M1066" s="64" t="s">
        <v>77</v>
      </c>
      <c r="N1066" s="1"/>
      <c r="O1066" s="12">
        <f t="shared" si="176"/>
        <v>9.9910060734267336E-3</v>
      </c>
      <c r="P1066" s="12">
        <f t="shared" si="177"/>
        <v>7.5352668010164603E-3</v>
      </c>
      <c r="Q1066" s="12">
        <f t="shared" si="178"/>
        <v>9.5661546752896509E-3</v>
      </c>
      <c r="R1066" s="12">
        <f t="shared" si="179"/>
        <v>1.0480945875924519E-2</v>
      </c>
      <c r="S1066" s="12">
        <f t="shared" si="180"/>
        <v>-1.6255704185353936E-3</v>
      </c>
      <c r="T1066" s="12">
        <f t="shared" si="181"/>
        <v>-5.0077823644854025E-3</v>
      </c>
      <c r="U1066" s="12">
        <f t="shared" si="182"/>
        <v>7.4704491725767763E-3</v>
      </c>
      <c r="V1066" s="12">
        <f t="shared" si="183"/>
        <v>3.467317323744723E-3</v>
      </c>
      <c r="W1066" s="12">
        <f t="shared" si="184"/>
        <v>1.2786361214704334E-2</v>
      </c>
      <c r="X1066" s="12">
        <f t="shared" si="185"/>
        <v>7.0098576122672451E-3</v>
      </c>
      <c r="Y1066" s="12">
        <f t="shared" si="186"/>
        <v>1.4373932466167361E-2</v>
      </c>
    </row>
    <row r="1067" spans="1:25" x14ac:dyDescent="0.35">
      <c r="A1067" s="6">
        <v>45678</v>
      </c>
      <c r="B1067" s="8">
        <v>6049.24</v>
      </c>
      <c r="C1067" s="2">
        <v>222.64</v>
      </c>
      <c r="D1067" s="2">
        <v>224.26</v>
      </c>
      <c r="E1067" s="2">
        <v>428.5</v>
      </c>
      <c r="F1067" s="2">
        <v>524.99</v>
      </c>
      <c r="G1067" s="2">
        <v>148.15</v>
      </c>
      <c r="H1067" s="2">
        <v>323.63</v>
      </c>
      <c r="I1067" s="2">
        <v>317.95</v>
      </c>
      <c r="J1067" s="2">
        <v>175.56</v>
      </c>
      <c r="K1067" s="2">
        <v>93.08</v>
      </c>
      <c r="L1067" s="2">
        <v>398.36</v>
      </c>
      <c r="M1067" s="64" t="s">
        <v>77</v>
      </c>
      <c r="N1067" s="1"/>
      <c r="O1067" s="12">
        <f t="shared" si="176"/>
        <v>8.7682143059637507E-3</v>
      </c>
      <c r="P1067" s="12">
        <f t="shared" si="177"/>
        <v>-3.1915818766849346E-2</v>
      </c>
      <c r="Q1067" s="12">
        <f t="shared" si="178"/>
        <v>-2.3577561279416459E-3</v>
      </c>
      <c r="R1067" s="12">
        <f t="shared" si="179"/>
        <v>-1.2353448476796203E-3</v>
      </c>
      <c r="S1067" s="12">
        <f t="shared" si="180"/>
        <v>2.9876804770872623E-2</v>
      </c>
      <c r="T1067" s="12">
        <f t="shared" si="181"/>
        <v>7.6174930286336817E-3</v>
      </c>
      <c r="U1067" s="12">
        <f t="shared" si="182"/>
        <v>1.2546148551404679E-2</v>
      </c>
      <c r="V1067" s="12">
        <f t="shared" si="183"/>
        <v>1.7244689019708215E-2</v>
      </c>
      <c r="W1067" s="12">
        <f t="shared" si="184"/>
        <v>2.6126600035069281E-2</v>
      </c>
      <c r="X1067" s="12">
        <f t="shared" si="185"/>
        <v>1.2399390907113395E-2</v>
      </c>
      <c r="Y1067" s="12">
        <f t="shared" si="186"/>
        <v>3.1967255582612486E-2</v>
      </c>
    </row>
    <row r="1068" spans="1:25" x14ac:dyDescent="0.35">
      <c r="A1068" s="6">
        <v>45679</v>
      </c>
      <c r="B1068" s="8">
        <v>6086.37</v>
      </c>
      <c r="C1068" s="2">
        <v>223.83</v>
      </c>
      <c r="D1068" s="2">
        <v>223.26</v>
      </c>
      <c r="E1068" s="2">
        <v>446.2</v>
      </c>
      <c r="F1068" s="2">
        <v>519.72</v>
      </c>
      <c r="G1068" s="2">
        <v>145.27000000000001</v>
      </c>
      <c r="H1068" s="2">
        <v>323.56</v>
      </c>
      <c r="I1068" s="2">
        <v>322.25</v>
      </c>
      <c r="J1068" s="2">
        <v>174.8</v>
      </c>
      <c r="K1068" s="2">
        <v>93.23</v>
      </c>
      <c r="L1068" s="2">
        <v>397.61</v>
      </c>
      <c r="M1068" s="64" t="s">
        <v>77</v>
      </c>
      <c r="N1068" s="1"/>
      <c r="O1068" s="12">
        <f t="shared" si="176"/>
        <v>6.1379611323075789E-3</v>
      </c>
      <c r="P1068" s="12">
        <f t="shared" si="177"/>
        <v>5.3449514911967366E-3</v>
      </c>
      <c r="Q1068" s="12">
        <f t="shared" si="178"/>
        <v>-4.4591099616516638E-3</v>
      </c>
      <c r="R1068" s="12">
        <f t="shared" si="179"/>
        <v>4.1306884480746708E-2</v>
      </c>
      <c r="S1068" s="12">
        <f t="shared" si="180"/>
        <v>-1.0038286443551314E-2</v>
      </c>
      <c r="T1068" s="12">
        <f t="shared" si="181"/>
        <v>-1.9439757003037461E-2</v>
      </c>
      <c r="U1068" s="12">
        <f t="shared" si="182"/>
        <v>-2.1629638785025662E-4</v>
      </c>
      <c r="V1068" s="12">
        <f t="shared" si="183"/>
        <v>1.3524139015568482E-2</v>
      </c>
      <c r="W1068" s="12">
        <f t="shared" si="184"/>
        <v>-4.3290043290042934E-3</v>
      </c>
      <c r="X1068" s="12">
        <f t="shared" si="185"/>
        <v>1.611516974645566E-3</v>
      </c>
      <c r="Y1068" s="12">
        <f t="shared" si="186"/>
        <v>-1.8827191485089045E-3</v>
      </c>
    </row>
    <row r="1069" spans="1:25" x14ac:dyDescent="0.35">
      <c r="A1069" s="6">
        <v>45680</v>
      </c>
      <c r="B1069" s="8">
        <v>6118.71</v>
      </c>
      <c r="C1069" s="2">
        <v>223.66</v>
      </c>
      <c r="D1069" s="2">
        <v>226.04</v>
      </c>
      <c r="E1069" s="2">
        <v>446.71</v>
      </c>
      <c r="F1069" s="2">
        <v>529.77</v>
      </c>
      <c r="G1069" s="2">
        <v>146.63999999999999</v>
      </c>
      <c r="H1069" s="2">
        <v>328.21</v>
      </c>
      <c r="I1069" s="2">
        <v>325.87</v>
      </c>
      <c r="J1069" s="2">
        <v>178.5</v>
      </c>
      <c r="K1069" s="2">
        <v>93.81</v>
      </c>
      <c r="L1069" s="2">
        <v>406.4</v>
      </c>
      <c r="M1069" s="64" t="s">
        <v>77</v>
      </c>
      <c r="N1069" s="1"/>
      <c r="O1069" s="12">
        <f t="shared" si="176"/>
        <v>5.31351199483443E-3</v>
      </c>
      <c r="P1069" s="12">
        <f t="shared" si="177"/>
        <v>-7.5950498145926915E-4</v>
      </c>
      <c r="Q1069" s="12">
        <f t="shared" si="178"/>
        <v>1.2451849861148334E-2</v>
      </c>
      <c r="R1069" s="12">
        <f t="shared" si="179"/>
        <v>1.1429852084265946E-3</v>
      </c>
      <c r="S1069" s="12">
        <f t="shared" si="180"/>
        <v>1.9337335488339713E-2</v>
      </c>
      <c r="T1069" s="12">
        <f t="shared" si="181"/>
        <v>9.4307152199351041E-3</v>
      </c>
      <c r="U1069" s="12">
        <f t="shared" si="182"/>
        <v>1.4371368525157635E-2</v>
      </c>
      <c r="V1069" s="12">
        <f t="shared" si="183"/>
        <v>1.1233514352211094E-2</v>
      </c>
      <c r="W1069" s="12">
        <f t="shared" si="184"/>
        <v>2.1167048054919757E-2</v>
      </c>
      <c r="X1069" s="12">
        <f t="shared" si="185"/>
        <v>6.2211734420249964E-3</v>
      </c>
      <c r="Y1069" s="12">
        <f t="shared" si="186"/>
        <v>2.2107089861924889E-2</v>
      </c>
    </row>
    <row r="1070" spans="1:25" x14ac:dyDescent="0.35">
      <c r="A1070" s="6">
        <v>45681</v>
      </c>
      <c r="B1070" s="8">
        <v>6101.24</v>
      </c>
      <c r="C1070" s="2">
        <v>222.78</v>
      </c>
      <c r="D1070" s="2">
        <v>224.8</v>
      </c>
      <c r="E1070" s="2">
        <v>444.06</v>
      </c>
      <c r="F1070" s="2">
        <v>532.51</v>
      </c>
      <c r="G1070" s="2">
        <v>146.82</v>
      </c>
      <c r="H1070" s="2">
        <v>330.2</v>
      </c>
      <c r="I1070" s="2">
        <v>321.33999999999997</v>
      </c>
      <c r="J1070" s="2">
        <v>176.06</v>
      </c>
      <c r="K1070" s="2">
        <v>94.76</v>
      </c>
      <c r="L1070" s="2">
        <v>407.63</v>
      </c>
      <c r="M1070" s="64">
        <v>11</v>
      </c>
      <c r="N1070" s="1"/>
      <c r="O1070" s="12">
        <f t="shared" si="176"/>
        <v>-2.8551769899211044E-3</v>
      </c>
      <c r="P1070" s="12">
        <f t="shared" si="177"/>
        <v>-3.934543503532173E-3</v>
      </c>
      <c r="Q1070" s="12">
        <f t="shared" si="178"/>
        <v>-5.4857547336754076E-3</v>
      </c>
      <c r="R1070" s="12">
        <f t="shared" si="179"/>
        <v>-5.932260303104897E-3</v>
      </c>
      <c r="S1070" s="12">
        <f t="shared" si="180"/>
        <v>5.1720557977990023E-3</v>
      </c>
      <c r="T1070" s="12">
        <f t="shared" si="181"/>
        <v>1.2274959083469206E-3</v>
      </c>
      <c r="U1070" s="12">
        <f t="shared" si="182"/>
        <v>6.063191249504829E-3</v>
      </c>
      <c r="V1070" s="12">
        <f t="shared" si="183"/>
        <v>-1.3901248964310997E-2</v>
      </c>
      <c r="W1070" s="12">
        <f t="shared" si="184"/>
        <v>-1.3669467787114864E-2</v>
      </c>
      <c r="X1070" s="12">
        <f t="shared" si="185"/>
        <v>1.012685214795872E-2</v>
      </c>
      <c r="Y1070" s="12">
        <f t="shared" si="186"/>
        <v>3.0265748031497175E-3</v>
      </c>
    </row>
    <row r="1071" spans="1:25" x14ac:dyDescent="0.35">
      <c r="A1071" s="6">
        <v>45684</v>
      </c>
      <c r="B1071" s="8">
        <v>6012.28</v>
      </c>
      <c r="C1071" s="2">
        <v>229.86</v>
      </c>
      <c r="D1071" s="2">
        <v>224.13</v>
      </c>
      <c r="E1071" s="2">
        <v>434.56</v>
      </c>
      <c r="F1071" s="2">
        <v>543.52</v>
      </c>
      <c r="G1071" s="2">
        <v>152.88999999999999</v>
      </c>
      <c r="H1071" s="2">
        <v>334.54</v>
      </c>
      <c r="I1071" s="2">
        <v>316.42</v>
      </c>
      <c r="J1071" s="2">
        <v>175.16</v>
      </c>
      <c r="K1071" s="2">
        <v>97.4</v>
      </c>
      <c r="L1071" s="2">
        <v>394.98</v>
      </c>
      <c r="M1071" s="64" t="s">
        <v>77</v>
      </c>
      <c r="N1071" s="1"/>
      <c r="O1071" s="12">
        <f t="shared" si="176"/>
        <v>-1.45806426234667E-2</v>
      </c>
      <c r="P1071" s="12">
        <f t="shared" si="177"/>
        <v>3.17802316186373E-2</v>
      </c>
      <c r="Q1071" s="12">
        <f t="shared" si="178"/>
        <v>-2.9804270462634452E-3</v>
      </c>
      <c r="R1071" s="12">
        <f t="shared" si="179"/>
        <v>-2.1393505382155564E-2</v>
      </c>
      <c r="S1071" s="12">
        <f t="shared" si="180"/>
        <v>2.0675668062571484E-2</v>
      </c>
      <c r="T1071" s="12">
        <f t="shared" si="181"/>
        <v>4.1343141261408478E-2</v>
      </c>
      <c r="U1071" s="12">
        <f t="shared" si="182"/>
        <v>1.3143549364021956E-2</v>
      </c>
      <c r="V1071" s="12">
        <f t="shared" si="183"/>
        <v>-1.5310885666272367E-2</v>
      </c>
      <c r="W1071" s="12">
        <f t="shared" si="184"/>
        <v>-5.111893672611667E-3</v>
      </c>
      <c r="X1071" s="12">
        <f t="shared" si="185"/>
        <v>2.7859856479527156E-2</v>
      </c>
      <c r="Y1071" s="12">
        <f t="shared" si="186"/>
        <v>-3.1033044672865051E-2</v>
      </c>
    </row>
    <row r="1072" spans="1:25" x14ac:dyDescent="0.35">
      <c r="A1072" s="6">
        <v>45685</v>
      </c>
      <c r="B1072" s="8">
        <v>6067.7</v>
      </c>
      <c r="C1072" s="2">
        <v>238.26</v>
      </c>
      <c r="D1072" s="2">
        <v>225.66</v>
      </c>
      <c r="E1072" s="2">
        <v>447.2</v>
      </c>
      <c r="F1072" s="2">
        <v>542.48</v>
      </c>
      <c r="G1072" s="2">
        <v>150.38</v>
      </c>
      <c r="H1072" s="2">
        <v>334.48</v>
      </c>
      <c r="I1072" s="2">
        <v>317.04000000000002</v>
      </c>
      <c r="J1072" s="2">
        <v>177.78</v>
      </c>
      <c r="K1072" s="2">
        <v>97.29</v>
      </c>
      <c r="L1072" s="2">
        <v>390.29</v>
      </c>
      <c r="M1072" s="64" t="s">
        <v>77</v>
      </c>
      <c r="N1072" s="1"/>
      <c r="O1072" s="12">
        <f t="shared" si="176"/>
        <v>9.2178009008230255E-3</v>
      </c>
      <c r="P1072" s="12">
        <f t="shared" si="177"/>
        <v>3.6543983294178961E-2</v>
      </c>
      <c r="Q1072" s="12">
        <f t="shared" si="178"/>
        <v>6.8263953955294276E-3</v>
      </c>
      <c r="R1072" s="12">
        <f t="shared" si="179"/>
        <v>2.9086892488954241E-2</v>
      </c>
      <c r="S1072" s="12">
        <f t="shared" si="180"/>
        <v>-1.9134530468059019E-3</v>
      </c>
      <c r="T1072" s="12">
        <f t="shared" si="181"/>
        <v>-1.6417031852966169E-2</v>
      </c>
      <c r="U1072" s="12">
        <f t="shared" si="182"/>
        <v>-1.7935075028396863E-4</v>
      </c>
      <c r="V1072" s="12">
        <f t="shared" si="183"/>
        <v>1.959421022691421E-3</v>
      </c>
      <c r="W1072" s="12">
        <f t="shared" si="184"/>
        <v>1.4957752911623601E-2</v>
      </c>
      <c r="X1072" s="12">
        <f t="shared" si="185"/>
        <v>-1.1293634496919447E-3</v>
      </c>
      <c r="Y1072" s="12">
        <f t="shared" si="186"/>
        <v>-1.1874018937667707E-2</v>
      </c>
    </row>
    <row r="1073" spans="1:25" x14ac:dyDescent="0.35">
      <c r="A1073" s="6">
        <v>45686</v>
      </c>
      <c r="B1073" s="8">
        <v>6039.31</v>
      </c>
      <c r="C1073" s="2">
        <v>239.36</v>
      </c>
      <c r="D1073" s="2">
        <v>228.63</v>
      </c>
      <c r="E1073" s="2">
        <v>442.33</v>
      </c>
      <c r="F1073" s="2">
        <v>538.1</v>
      </c>
      <c r="G1073" s="2">
        <v>151.15</v>
      </c>
      <c r="H1073" s="2">
        <v>335.88</v>
      </c>
      <c r="I1073" s="2">
        <v>315.25</v>
      </c>
      <c r="J1073" s="2">
        <v>173.66</v>
      </c>
      <c r="K1073" s="2">
        <v>97.5</v>
      </c>
      <c r="L1073" s="2">
        <v>393.23</v>
      </c>
      <c r="M1073" s="64" t="s">
        <v>77</v>
      </c>
      <c r="N1073" s="1"/>
      <c r="O1073" s="12">
        <f t="shared" si="176"/>
        <v>-4.6788733787100911E-3</v>
      </c>
      <c r="P1073" s="12">
        <f t="shared" si="177"/>
        <v>4.6168051708219693E-3</v>
      </c>
      <c r="Q1073" s="12">
        <f t="shared" si="178"/>
        <v>1.3161393246476916E-2</v>
      </c>
      <c r="R1073" s="12">
        <f t="shared" si="179"/>
        <v>-1.08899821109123E-2</v>
      </c>
      <c r="S1073" s="12">
        <f t="shared" si="180"/>
        <v>-8.0740303790001189E-3</v>
      </c>
      <c r="T1073" s="12">
        <f t="shared" si="181"/>
        <v>5.1203617502328935E-3</v>
      </c>
      <c r="U1073" s="12">
        <f t="shared" si="182"/>
        <v>4.1856015307342176E-3</v>
      </c>
      <c r="V1073" s="12">
        <f t="shared" si="183"/>
        <v>-5.6459752712592071E-3</v>
      </c>
      <c r="W1073" s="12">
        <f t="shared" si="184"/>
        <v>-2.3174710316121061E-2</v>
      </c>
      <c r="X1073" s="12">
        <f t="shared" si="185"/>
        <v>2.1584952204747321E-3</v>
      </c>
      <c r="Y1073" s="12">
        <f t="shared" si="186"/>
        <v>7.5328601808910545E-3</v>
      </c>
    </row>
    <row r="1074" spans="1:25" x14ac:dyDescent="0.35">
      <c r="A1074" s="6">
        <v>45687</v>
      </c>
      <c r="B1074" s="8">
        <v>6071.17</v>
      </c>
      <c r="C1074" s="2">
        <v>237.59</v>
      </c>
      <c r="D1074" s="2">
        <v>258.27</v>
      </c>
      <c r="E1074" s="2">
        <v>414.99</v>
      </c>
      <c r="F1074" s="2">
        <v>545.57000000000005</v>
      </c>
      <c r="G1074" s="2">
        <v>152.87</v>
      </c>
      <c r="H1074" s="2">
        <v>343.05</v>
      </c>
      <c r="I1074" s="2">
        <v>318.95</v>
      </c>
      <c r="J1074" s="2">
        <v>179.53</v>
      </c>
      <c r="K1074" s="2">
        <v>98.65</v>
      </c>
      <c r="L1074" s="2">
        <v>374.98</v>
      </c>
      <c r="M1074" s="64" t="s">
        <v>77</v>
      </c>
      <c r="N1074" s="1"/>
      <c r="O1074" s="12">
        <f t="shared" si="176"/>
        <v>5.2754370946348494E-3</v>
      </c>
      <c r="P1074" s="12">
        <f t="shared" si="177"/>
        <v>-7.3947192513369453E-3</v>
      </c>
      <c r="Q1074" s="12">
        <f t="shared" si="178"/>
        <v>0.12964177929405585</v>
      </c>
      <c r="R1074" s="12">
        <f t="shared" si="179"/>
        <v>-6.1809056586711209E-2</v>
      </c>
      <c r="S1074" s="12">
        <f t="shared" si="180"/>
        <v>1.3882178033822745E-2</v>
      </c>
      <c r="T1074" s="12">
        <f t="shared" si="181"/>
        <v>1.1379424412834904E-2</v>
      </c>
      <c r="U1074" s="12">
        <f t="shared" si="182"/>
        <v>2.1346909610575171E-2</v>
      </c>
      <c r="V1074" s="12">
        <f t="shared" si="183"/>
        <v>1.1736716891356025E-2</v>
      </c>
      <c r="W1074" s="12">
        <f t="shared" si="184"/>
        <v>3.380168144650475E-2</v>
      </c>
      <c r="X1074" s="12">
        <f t="shared" si="185"/>
        <v>1.1794871794871931E-2</v>
      </c>
      <c r="Y1074" s="12">
        <f t="shared" si="186"/>
        <v>-4.6410497673117557E-2</v>
      </c>
    </row>
    <row r="1075" spans="1:25" x14ac:dyDescent="0.35">
      <c r="A1075" s="6">
        <v>45688</v>
      </c>
      <c r="B1075" s="8">
        <v>6040.53</v>
      </c>
      <c r="C1075" s="2">
        <v>236</v>
      </c>
      <c r="D1075" s="2">
        <v>255.7</v>
      </c>
      <c r="E1075" s="2">
        <v>415.06</v>
      </c>
      <c r="F1075" s="2">
        <v>542.49</v>
      </c>
      <c r="G1075" s="2">
        <v>152.15</v>
      </c>
      <c r="H1075" s="2">
        <v>341.8</v>
      </c>
      <c r="I1075" s="2">
        <v>317.45</v>
      </c>
      <c r="J1075" s="2">
        <v>176.52</v>
      </c>
      <c r="K1075" s="2">
        <v>98.16</v>
      </c>
      <c r="L1075" s="2">
        <v>371.44</v>
      </c>
      <c r="M1075" s="64">
        <v>11.03</v>
      </c>
      <c r="N1075" s="1"/>
      <c r="O1075" s="12">
        <f t="shared" si="176"/>
        <v>-5.0468031697350479E-3</v>
      </c>
      <c r="P1075" s="12">
        <f t="shared" si="177"/>
        <v>-6.6922008502041663E-3</v>
      </c>
      <c r="Q1075" s="12">
        <f t="shared" si="178"/>
        <v>-9.95082665427649E-3</v>
      </c>
      <c r="R1075" s="12">
        <f t="shared" si="179"/>
        <v>1.6867876334369925E-4</v>
      </c>
      <c r="S1075" s="12">
        <f t="shared" si="180"/>
        <v>-5.6454717084883921E-3</v>
      </c>
      <c r="T1075" s="12">
        <f t="shared" si="181"/>
        <v>-4.7098842153463494E-3</v>
      </c>
      <c r="U1075" s="12">
        <f t="shared" si="182"/>
        <v>-3.6437837049992927E-3</v>
      </c>
      <c r="V1075" s="12">
        <f t="shared" si="183"/>
        <v>-4.7029314939646127E-3</v>
      </c>
      <c r="W1075" s="12">
        <f t="shared" si="184"/>
        <v>-1.6766000111401946E-2</v>
      </c>
      <c r="X1075" s="12">
        <f t="shared" si="185"/>
        <v>-4.9670552458186412E-3</v>
      </c>
      <c r="Y1075" s="12">
        <f t="shared" si="186"/>
        <v>-9.4405034935196586E-3</v>
      </c>
    </row>
    <row r="1076" spans="1:25" x14ac:dyDescent="0.35">
      <c r="A1076" s="6">
        <v>45691</v>
      </c>
      <c r="B1076" s="8">
        <v>5994.57</v>
      </c>
      <c r="C1076" s="2">
        <v>228.01</v>
      </c>
      <c r="D1076" s="2">
        <v>260.73</v>
      </c>
      <c r="E1076" s="2">
        <v>410.92</v>
      </c>
      <c r="F1076" s="2">
        <v>548.17999999999995</v>
      </c>
      <c r="G1076" s="2">
        <v>151.87</v>
      </c>
      <c r="H1076" s="2">
        <v>345.82</v>
      </c>
      <c r="I1076" s="2">
        <v>316.52999999999997</v>
      </c>
      <c r="J1076" s="2">
        <v>175.87</v>
      </c>
      <c r="K1076" s="2">
        <v>99.54</v>
      </c>
      <c r="L1076" s="2">
        <v>361.55</v>
      </c>
      <c r="M1076" s="64" t="s">
        <v>77</v>
      </c>
      <c r="N1076" s="1"/>
      <c r="O1076" s="12">
        <f t="shared" si="176"/>
        <v>-7.6086038807853251E-3</v>
      </c>
      <c r="P1076" s="12">
        <f t="shared" si="177"/>
        <v>-3.3855932203389894E-2</v>
      </c>
      <c r="Q1076" s="12">
        <f t="shared" si="178"/>
        <v>1.9671490027376004E-2</v>
      </c>
      <c r="R1076" s="12">
        <f t="shared" si="179"/>
        <v>-9.9744615236351253E-3</v>
      </c>
      <c r="S1076" s="12">
        <f t="shared" si="180"/>
        <v>1.0488672602259941E-2</v>
      </c>
      <c r="T1076" s="12">
        <f t="shared" si="181"/>
        <v>-1.8402891883010364E-3</v>
      </c>
      <c r="U1076" s="12">
        <f t="shared" si="182"/>
        <v>1.1761263897015706E-2</v>
      </c>
      <c r="V1076" s="12">
        <f t="shared" si="183"/>
        <v>-2.8980941880611955E-3</v>
      </c>
      <c r="W1076" s="12">
        <f t="shared" si="184"/>
        <v>-3.682302288692485E-3</v>
      </c>
      <c r="X1076" s="12">
        <f t="shared" si="185"/>
        <v>1.4058679706601573E-2</v>
      </c>
      <c r="Y1076" s="12">
        <f t="shared" si="186"/>
        <v>-2.6626103812190327E-2</v>
      </c>
    </row>
    <row r="1077" spans="1:25" x14ac:dyDescent="0.35">
      <c r="A1077" s="6">
        <v>45692</v>
      </c>
      <c r="B1077" s="8">
        <v>6037.88</v>
      </c>
      <c r="C1077" s="2">
        <v>232.8</v>
      </c>
      <c r="D1077" s="2">
        <v>264.45999999999998</v>
      </c>
      <c r="E1077" s="2">
        <v>412.37</v>
      </c>
      <c r="F1077" s="2">
        <v>545.45000000000005</v>
      </c>
      <c r="G1077" s="2">
        <v>153.49</v>
      </c>
      <c r="H1077" s="2">
        <v>345.15</v>
      </c>
      <c r="I1077" s="2">
        <v>315.83</v>
      </c>
      <c r="J1077" s="2">
        <v>176.23</v>
      </c>
      <c r="K1077" s="2">
        <v>100.77</v>
      </c>
      <c r="L1077" s="2">
        <v>361.95</v>
      </c>
      <c r="M1077" s="64" t="s">
        <v>77</v>
      </c>
      <c r="N1077" s="1"/>
      <c r="O1077" s="12">
        <f t="shared" si="176"/>
        <v>7.2248718423506553E-3</v>
      </c>
      <c r="P1077" s="12">
        <f t="shared" si="177"/>
        <v>2.1007850532871464E-2</v>
      </c>
      <c r="Q1077" s="12">
        <f t="shared" si="178"/>
        <v>1.4305987036397738E-2</v>
      </c>
      <c r="R1077" s="12">
        <f t="shared" si="179"/>
        <v>3.5286673805119406E-3</v>
      </c>
      <c r="S1077" s="12">
        <f t="shared" si="180"/>
        <v>-4.9801160202851413E-3</v>
      </c>
      <c r="T1077" s="12">
        <f t="shared" si="181"/>
        <v>1.0667017844208981E-2</v>
      </c>
      <c r="U1077" s="12">
        <f t="shared" si="182"/>
        <v>-1.9374240934590947E-3</v>
      </c>
      <c r="V1077" s="12">
        <f t="shared" si="183"/>
        <v>-2.2114807443212037E-3</v>
      </c>
      <c r="W1077" s="12">
        <f t="shared" si="184"/>
        <v>2.0469665093534317E-3</v>
      </c>
      <c r="X1077" s="12">
        <f t="shared" si="185"/>
        <v>1.2356841470765323E-2</v>
      </c>
      <c r="Y1077" s="12">
        <f t="shared" si="186"/>
        <v>1.1063476697552588E-3</v>
      </c>
    </row>
    <row r="1078" spans="1:25" x14ac:dyDescent="0.35">
      <c r="A1078" s="6">
        <v>45693</v>
      </c>
      <c r="B1078" s="8">
        <v>6061.48</v>
      </c>
      <c r="C1078" s="2">
        <v>232.47</v>
      </c>
      <c r="D1078" s="2">
        <v>263.3</v>
      </c>
      <c r="E1078" s="2">
        <v>413.29</v>
      </c>
      <c r="F1078" s="2">
        <v>539.80999999999995</v>
      </c>
      <c r="G1078" s="2">
        <v>154.69</v>
      </c>
      <c r="H1078" s="2">
        <v>349.44</v>
      </c>
      <c r="I1078" s="2">
        <v>320.52999999999997</v>
      </c>
      <c r="J1078" s="2">
        <v>181.84</v>
      </c>
      <c r="K1078" s="2">
        <v>102.46</v>
      </c>
      <c r="L1078" s="2">
        <v>358.85</v>
      </c>
      <c r="M1078" s="64" t="s">
        <v>77</v>
      </c>
      <c r="N1078" s="1"/>
      <c r="O1078" s="12">
        <f t="shared" si="176"/>
        <v>3.9086566808217427E-3</v>
      </c>
      <c r="P1078" s="12">
        <f t="shared" si="177"/>
        <v>-1.4175257731959823E-3</v>
      </c>
      <c r="Q1078" s="12">
        <f t="shared" si="178"/>
        <v>-4.386296604401263E-3</v>
      </c>
      <c r="R1078" s="12">
        <f t="shared" si="179"/>
        <v>2.2310061352668331E-3</v>
      </c>
      <c r="S1078" s="12">
        <f t="shared" si="180"/>
        <v>-1.034008616738491E-2</v>
      </c>
      <c r="T1078" s="12">
        <f t="shared" si="181"/>
        <v>7.8180988989509093E-3</v>
      </c>
      <c r="U1078" s="12">
        <f t="shared" si="182"/>
        <v>1.2429378531073398E-2</v>
      </c>
      <c r="V1078" s="12">
        <f t="shared" si="183"/>
        <v>1.4881423550644257E-2</v>
      </c>
      <c r="W1078" s="12">
        <f t="shared" si="184"/>
        <v>3.1833399534699103E-2</v>
      </c>
      <c r="X1078" s="12">
        <f t="shared" si="185"/>
        <v>1.6770864344546998E-2</v>
      </c>
      <c r="Y1078" s="12">
        <f t="shared" si="186"/>
        <v>-8.5647188838235966E-3</v>
      </c>
    </row>
    <row r="1079" spans="1:25" x14ac:dyDescent="0.35">
      <c r="A1079" s="6">
        <v>45694</v>
      </c>
      <c r="B1079" s="8">
        <v>6083.57</v>
      </c>
      <c r="C1079" s="2">
        <v>233.22</v>
      </c>
      <c r="D1079" s="2">
        <v>253.44</v>
      </c>
      <c r="E1079" s="2">
        <v>415.82</v>
      </c>
      <c r="F1079" s="2">
        <v>530.04</v>
      </c>
      <c r="G1079" s="2">
        <v>153.51</v>
      </c>
      <c r="H1079" s="2">
        <v>347.48</v>
      </c>
      <c r="I1079" s="2">
        <v>320.14999999999998</v>
      </c>
      <c r="J1079" s="2">
        <v>184.8</v>
      </c>
      <c r="K1079" s="2">
        <v>102.85</v>
      </c>
      <c r="L1079" s="2">
        <v>365.45</v>
      </c>
      <c r="M1079" s="64" t="s">
        <v>77</v>
      </c>
      <c r="N1079" s="1"/>
      <c r="O1079" s="12">
        <f t="shared" si="176"/>
        <v>3.64432448840879E-3</v>
      </c>
      <c r="P1079" s="12">
        <f t="shared" si="177"/>
        <v>3.2262227384178832E-3</v>
      </c>
      <c r="Q1079" s="12">
        <f t="shared" si="178"/>
        <v>-3.7447778199772186E-2</v>
      </c>
      <c r="R1079" s="12">
        <f t="shared" si="179"/>
        <v>6.1216095235789858E-3</v>
      </c>
      <c r="S1079" s="12">
        <f t="shared" si="180"/>
        <v>-1.8098960745447479E-2</v>
      </c>
      <c r="T1079" s="12">
        <f t="shared" si="181"/>
        <v>-7.6281595448962625E-3</v>
      </c>
      <c r="U1079" s="12">
        <f t="shared" si="182"/>
        <v>-5.608974358974339E-3</v>
      </c>
      <c r="V1079" s="12">
        <f t="shared" si="183"/>
        <v>-1.1855364552459946E-3</v>
      </c>
      <c r="W1079" s="12">
        <f t="shared" si="184"/>
        <v>1.6278046634403909E-2</v>
      </c>
      <c r="X1079" s="12">
        <f t="shared" si="185"/>
        <v>3.806363458910722E-3</v>
      </c>
      <c r="Y1079" s="12">
        <f t="shared" si="186"/>
        <v>1.8392085829733729E-2</v>
      </c>
    </row>
    <row r="1080" spans="1:25" x14ac:dyDescent="0.35">
      <c r="A1080" s="6">
        <v>45695</v>
      </c>
      <c r="B1080" s="8">
        <v>6025.99</v>
      </c>
      <c r="C1080" s="2">
        <v>227.63</v>
      </c>
      <c r="D1080" s="2">
        <v>252.34</v>
      </c>
      <c r="E1080" s="2">
        <v>409.75</v>
      </c>
      <c r="F1080" s="2">
        <v>527.03</v>
      </c>
      <c r="G1080" s="2">
        <v>153.12</v>
      </c>
      <c r="H1080" s="2">
        <v>348.02</v>
      </c>
      <c r="I1080" s="2">
        <v>316.77</v>
      </c>
      <c r="J1080" s="2">
        <v>181.49</v>
      </c>
      <c r="K1080" s="2">
        <v>101.15</v>
      </c>
      <c r="L1080" s="2">
        <v>363.88</v>
      </c>
      <c r="M1080" s="64">
        <v>11.04</v>
      </c>
      <c r="N1080" s="1"/>
      <c r="O1080" s="12">
        <f t="shared" si="176"/>
        <v>-9.464837258386094E-3</v>
      </c>
      <c r="P1080" s="12">
        <f t="shared" si="177"/>
        <v>-2.3968784838350077E-2</v>
      </c>
      <c r="Q1080" s="12">
        <f t="shared" si="178"/>
        <v>-4.3402777777777901E-3</v>
      </c>
      <c r="R1080" s="12">
        <f t="shared" si="179"/>
        <v>-1.4597662450098636E-2</v>
      </c>
      <c r="S1080" s="12">
        <f t="shared" si="180"/>
        <v>-5.6788166930797912E-3</v>
      </c>
      <c r="T1080" s="12">
        <f t="shared" si="181"/>
        <v>-2.540551104162514E-3</v>
      </c>
      <c r="U1080" s="12">
        <f t="shared" si="182"/>
        <v>1.5540462760446072E-3</v>
      </c>
      <c r="V1080" s="12">
        <f t="shared" si="183"/>
        <v>-1.0557551147899358E-2</v>
      </c>
      <c r="W1080" s="12">
        <f t="shared" si="184"/>
        <v>-1.7911255411255378E-2</v>
      </c>
      <c r="X1080" s="12">
        <f t="shared" si="185"/>
        <v>-1.6528925619834656E-2</v>
      </c>
      <c r="Y1080" s="12">
        <f t="shared" si="186"/>
        <v>-4.2960733342454205E-3</v>
      </c>
    </row>
    <row r="1081" spans="1:25" x14ac:dyDescent="0.35">
      <c r="A1081" s="6">
        <v>45698</v>
      </c>
      <c r="B1081" s="8">
        <v>6066.44</v>
      </c>
      <c r="C1081" s="2">
        <v>227.65</v>
      </c>
      <c r="D1081" s="2">
        <v>249.27</v>
      </c>
      <c r="E1081" s="2">
        <v>412.22</v>
      </c>
      <c r="F1081" s="2">
        <v>533.37</v>
      </c>
      <c r="G1081" s="2">
        <v>154.24</v>
      </c>
      <c r="H1081" s="2">
        <v>351.23</v>
      </c>
      <c r="I1081" s="2">
        <v>310.26</v>
      </c>
      <c r="J1081" s="2">
        <v>180.55</v>
      </c>
      <c r="K1081" s="2">
        <v>102.92</v>
      </c>
      <c r="L1081" s="2">
        <v>363.22</v>
      </c>
      <c r="M1081" s="64" t="s">
        <v>77</v>
      </c>
      <c r="N1081" s="1"/>
      <c r="O1081" s="12">
        <f t="shared" si="176"/>
        <v>6.712589964470439E-3</v>
      </c>
      <c r="P1081" s="12">
        <f t="shared" si="177"/>
        <v>8.786188112286375E-5</v>
      </c>
      <c r="Q1081" s="12">
        <f t="shared" si="178"/>
        <v>-1.2166125069350886E-2</v>
      </c>
      <c r="R1081" s="12">
        <f t="shared" si="179"/>
        <v>6.028065893837864E-3</v>
      </c>
      <c r="S1081" s="12">
        <f t="shared" si="180"/>
        <v>1.2029675730034439E-2</v>
      </c>
      <c r="T1081" s="12">
        <f t="shared" si="181"/>
        <v>7.3145245559038674E-3</v>
      </c>
      <c r="U1081" s="12">
        <f t="shared" si="182"/>
        <v>9.2236078386300768E-3</v>
      </c>
      <c r="V1081" s="12">
        <f t="shared" si="183"/>
        <v>-2.0551188559522648E-2</v>
      </c>
      <c r="W1081" s="12">
        <f t="shared" si="184"/>
        <v>-5.1793487244475855E-3</v>
      </c>
      <c r="X1081" s="12">
        <f t="shared" si="185"/>
        <v>1.7498764211566931E-2</v>
      </c>
      <c r="Y1081" s="12">
        <f t="shared" si="186"/>
        <v>-1.8137847642079041E-3</v>
      </c>
    </row>
    <row r="1082" spans="1:25" x14ac:dyDescent="0.35">
      <c r="A1082" s="6">
        <v>45699</v>
      </c>
      <c r="B1082" s="8">
        <v>6068.5</v>
      </c>
      <c r="C1082" s="2">
        <v>232.62</v>
      </c>
      <c r="D1082" s="2">
        <v>254.7</v>
      </c>
      <c r="E1082" s="2">
        <v>411.44</v>
      </c>
      <c r="F1082" s="2">
        <v>533.91999999999996</v>
      </c>
      <c r="G1082" s="2">
        <v>156.13</v>
      </c>
      <c r="H1082" s="2">
        <v>350.72</v>
      </c>
      <c r="I1082" s="2">
        <v>309.57</v>
      </c>
      <c r="J1082" s="2">
        <v>180.44</v>
      </c>
      <c r="K1082" s="2">
        <v>102.47</v>
      </c>
      <c r="L1082" s="2">
        <v>362.23</v>
      </c>
      <c r="M1082" s="64" t="s">
        <v>77</v>
      </c>
      <c r="N1082" s="1"/>
      <c r="O1082" s="12">
        <f t="shared" si="176"/>
        <v>3.3957312690802155E-4</v>
      </c>
      <c r="P1082" s="12">
        <f t="shared" si="177"/>
        <v>2.1831759279595797E-2</v>
      </c>
      <c r="Q1082" s="12">
        <f t="shared" si="178"/>
        <v>2.1783608135756305E-2</v>
      </c>
      <c r="R1082" s="12">
        <f t="shared" si="179"/>
        <v>-1.8921934889137848E-3</v>
      </c>
      <c r="S1082" s="12">
        <f t="shared" si="180"/>
        <v>1.0311791064363529E-3</v>
      </c>
      <c r="T1082" s="12">
        <f t="shared" si="181"/>
        <v>1.2253630705394203E-2</v>
      </c>
      <c r="U1082" s="12">
        <f t="shared" si="182"/>
        <v>-1.4520399738062739E-3</v>
      </c>
      <c r="V1082" s="12">
        <f t="shared" si="183"/>
        <v>-2.2239412105975465E-3</v>
      </c>
      <c r="W1082" s="12">
        <f t="shared" si="184"/>
        <v>-6.0924951536978078E-4</v>
      </c>
      <c r="X1082" s="12">
        <f t="shared" si="185"/>
        <v>-4.37232802176446E-3</v>
      </c>
      <c r="Y1082" s="12">
        <f t="shared" si="186"/>
        <v>-2.7256208358570344E-3</v>
      </c>
    </row>
    <row r="1083" spans="1:25" x14ac:dyDescent="0.35">
      <c r="A1083" s="6">
        <v>45700</v>
      </c>
      <c r="B1083" s="8">
        <v>6051.97</v>
      </c>
      <c r="C1083" s="2">
        <v>236.87</v>
      </c>
      <c r="D1083" s="2">
        <v>255.81</v>
      </c>
      <c r="E1083" s="2">
        <v>409.04</v>
      </c>
      <c r="F1083" s="2">
        <v>527.4</v>
      </c>
      <c r="G1083" s="2">
        <v>155.26</v>
      </c>
      <c r="H1083" s="2">
        <v>351.49</v>
      </c>
      <c r="I1083" s="2">
        <v>306.39999999999998</v>
      </c>
      <c r="J1083" s="2">
        <v>186.25</v>
      </c>
      <c r="K1083" s="2">
        <v>103.61</v>
      </c>
      <c r="L1083" s="2">
        <v>352.04</v>
      </c>
      <c r="M1083" s="64" t="s">
        <v>77</v>
      </c>
      <c r="N1083" s="1"/>
      <c r="O1083" s="12">
        <f t="shared" si="176"/>
        <v>-2.7239021174919609E-3</v>
      </c>
      <c r="P1083" s="12">
        <f t="shared" si="177"/>
        <v>1.8270140142722102E-2</v>
      </c>
      <c r="Q1083" s="12">
        <f t="shared" si="178"/>
        <v>4.358068315665653E-3</v>
      </c>
      <c r="R1083" s="12">
        <f t="shared" si="179"/>
        <v>-5.8331713007971908E-3</v>
      </c>
      <c r="S1083" s="12">
        <f t="shared" si="180"/>
        <v>-1.2211567275996371E-2</v>
      </c>
      <c r="T1083" s="12">
        <f t="shared" si="181"/>
        <v>-5.5722795106641909E-3</v>
      </c>
      <c r="U1083" s="12">
        <f t="shared" si="182"/>
        <v>2.195483576642232E-3</v>
      </c>
      <c r="V1083" s="12">
        <f t="shared" si="183"/>
        <v>-1.0240010336919014E-2</v>
      </c>
      <c r="W1083" s="12">
        <f t="shared" si="184"/>
        <v>3.2199068942584841E-2</v>
      </c>
      <c r="X1083" s="12">
        <f t="shared" si="185"/>
        <v>1.1125207377769009E-2</v>
      </c>
      <c r="Y1083" s="12">
        <f t="shared" si="186"/>
        <v>-2.813129779421919E-2</v>
      </c>
    </row>
    <row r="1084" spans="1:25" x14ac:dyDescent="0.35">
      <c r="A1084" s="6">
        <v>45701</v>
      </c>
      <c r="B1084" s="8">
        <v>6115.07</v>
      </c>
      <c r="C1084" s="2">
        <v>241.53</v>
      </c>
      <c r="D1084" s="2">
        <v>259.19</v>
      </c>
      <c r="E1084" s="2">
        <v>410.54</v>
      </c>
      <c r="F1084" s="2">
        <v>531.17999999999995</v>
      </c>
      <c r="G1084" s="2">
        <v>157.25</v>
      </c>
      <c r="H1084" s="2">
        <v>355.63</v>
      </c>
      <c r="I1084" s="2">
        <v>307.5</v>
      </c>
      <c r="J1084" s="2">
        <v>185.44</v>
      </c>
      <c r="K1084" s="2">
        <v>105.05</v>
      </c>
      <c r="L1084" s="2">
        <v>353.7</v>
      </c>
      <c r="M1084" s="64" t="s">
        <v>77</v>
      </c>
      <c r="N1084" s="1"/>
      <c r="O1084" s="12">
        <f t="shared" si="176"/>
        <v>1.0426357037460532E-2</v>
      </c>
      <c r="P1084" s="12">
        <f t="shared" si="177"/>
        <v>1.9673238485245159E-2</v>
      </c>
      <c r="Q1084" s="12">
        <f t="shared" si="178"/>
        <v>1.3212931472577294E-2</v>
      </c>
      <c r="R1084" s="12">
        <f t="shared" si="179"/>
        <v>3.667123019753582E-3</v>
      </c>
      <c r="S1084" s="12">
        <f t="shared" si="180"/>
        <v>7.1672354948804085E-3</v>
      </c>
      <c r="T1084" s="12">
        <f t="shared" si="181"/>
        <v>1.281720984155621E-2</v>
      </c>
      <c r="U1084" s="12">
        <f t="shared" si="182"/>
        <v>1.1778428973797217E-2</v>
      </c>
      <c r="V1084" s="12">
        <f t="shared" si="183"/>
        <v>3.5900783289817273E-3</v>
      </c>
      <c r="W1084" s="12">
        <f t="shared" si="184"/>
        <v>-4.3489932885906191E-3</v>
      </c>
      <c r="X1084" s="12">
        <f t="shared" si="185"/>
        <v>1.389827236753205E-2</v>
      </c>
      <c r="Y1084" s="12">
        <f t="shared" si="186"/>
        <v>4.7153732530393899E-3</v>
      </c>
    </row>
    <row r="1085" spans="1:25" x14ac:dyDescent="0.35">
      <c r="A1085" s="6">
        <v>45702</v>
      </c>
      <c r="B1085" s="8">
        <v>6114.63</v>
      </c>
      <c r="C1085" s="2">
        <v>244.6</v>
      </c>
      <c r="D1085" s="2">
        <v>261.27999999999997</v>
      </c>
      <c r="E1085" s="2">
        <v>408.43</v>
      </c>
      <c r="F1085" s="2">
        <v>523.51</v>
      </c>
      <c r="G1085" s="2">
        <v>156.15</v>
      </c>
      <c r="H1085" s="2">
        <v>353.81</v>
      </c>
      <c r="I1085" s="2">
        <v>311.04000000000002</v>
      </c>
      <c r="J1085" s="2">
        <v>184.42</v>
      </c>
      <c r="K1085" s="2">
        <v>104.04</v>
      </c>
      <c r="L1085" s="2">
        <v>353.32</v>
      </c>
      <c r="M1085" s="64">
        <v>11</v>
      </c>
      <c r="N1085" s="1"/>
      <c r="O1085" s="12">
        <f t="shared" si="176"/>
        <v>-7.195338728738232E-5</v>
      </c>
      <c r="P1085" s="12">
        <f t="shared" si="177"/>
        <v>1.2710636359872352E-2</v>
      </c>
      <c r="Q1085" s="12">
        <f t="shared" si="178"/>
        <v>8.0635826999497784E-3</v>
      </c>
      <c r="R1085" s="12">
        <f t="shared" si="179"/>
        <v>-5.1395722706679692E-3</v>
      </c>
      <c r="S1085" s="12">
        <f t="shared" si="180"/>
        <v>-1.4439549681840358E-2</v>
      </c>
      <c r="T1085" s="12">
        <f t="shared" si="181"/>
        <v>-6.9952305246422375E-3</v>
      </c>
      <c r="U1085" s="12">
        <f t="shared" si="182"/>
        <v>-5.1176784860669233E-3</v>
      </c>
      <c r="V1085" s="12">
        <f t="shared" si="183"/>
        <v>1.151219512195123E-2</v>
      </c>
      <c r="W1085" s="12">
        <f t="shared" si="184"/>
        <v>-5.500431406384898E-3</v>
      </c>
      <c r="X1085" s="12">
        <f t="shared" si="185"/>
        <v>-9.6144693003330506E-3</v>
      </c>
      <c r="Y1085" s="12">
        <f t="shared" si="186"/>
        <v>-1.0743567995475933E-3</v>
      </c>
    </row>
    <row r="1086" spans="1:25" x14ac:dyDescent="0.35">
      <c r="A1086" s="6">
        <v>45706</v>
      </c>
      <c r="B1086" s="8">
        <v>6129.58</v>
      </c>
      <c r="C1086" s="2">
        <v>244.47</v>
      </c>
      <c r="D1086" s="2">
        <v>263.07</v>
      </c>
      <c r="E1086" s="2">
        <v>409.64</v>
      </c>
      <c r="F1086" s="2">
        <v>500.73</v>
      </c>
      <c r="G1086" s="2">
        <v>154.99</v>
      </c>
      <c r="H1086" s="2">
        <v>356.73</v>
      </c>
      <c r="I1086" s="2">
        <v>312.85000000000002</v>
      </c>
      <c r="J1086" s="2">
        <v>184.97</v>
      </c>
      <c r="K1086" s="2">
        <v>103.78</v>
      </c>
      <c r="L1086" s="2">
        <v>354</v>
      </c>
      <c r="M1086" s="64" t="s">
        <v>77</v>
      </c>
      <c r="N1086" s="1"/>
      <c r="O1086" s="12">
        <f t="shared" si="176"/>
        <v>2.4449557863681637E-3</v>
      </c>
      <c r="P1086" s="12">
        <f t="shared" si="177"/>
        <v>-5.3147996729352442E-4</v>
      </c>
      <c r="Q1086" s="12">
        <f t="shared" si="178"/>
        <v>6.8508879363136099E-3</v>
      </c>
      <c r="R1086" s="12">
        <f t="shared" si="179"/>
        <v>2.9625639644492718E-3</v>
      </c>
      <c r="S1086" s="12">
        <f t="shared" si="180"/>
        <v>-4.3513972990009697E-2</v>
      </c>
      <c r="T1086" s="12">
        <f t="shared" si="181"/>
        <v>-7.428754402817761E-3</v>
      </c>
      <c r="U1086" s="12">
        <f t="shared" si="182"/>
        <v>8.2530171561008281E-3</v>
      </c>
      <c r="V1086" s="12">
        <f t="shared" si="183"/>
        <v>5.8191872427983959E-3</v>
      </c>
      <c r="W1086" s="12">
        <f t="shared" si="184"/>
        <v>2.9823229584644562E-3</v>
      </c>
      <c r="X1086" s="12">
        <f t="shared" si="185"/>
        <v>-2.499038831218825E-3</v>
      </c>
      <c r="Y1086" s="12">
        <f t="shared" si="186"/>
        <v>1.9246009283369059E-3</v>
      </c>
    </row>
    <row r="1087" spans="1:25" x14ac:dyDescent="0.35">
      <c r="A1087" s="6">
        <v>45707</v>
      </c>
      <c r="B1087" s="8">
        <v>6144.15</v>
      </c>
      <c r="C1087" s="2">
        <v>244.87</v>
      </c>
      <c r="D1087" s="2">
        <v>264.32</v>
      </c>
      <c r="E1087" s="2">
        <v>414.77</v>
      </c>
      <c r="F1087" s="2">
        <v>511.04</v>
      </c>
      <c r="G1087" s="2">
        <v>157.88999999999999</v>
      </c>
      <c r="H1087" s="2">
        <v>355.23</v>
      </c>
      <c r="I1087" s="2">
        <v>309.92</v>
      </c>
      <c r="J1087" s="2">
        <v>186.15</v>
      </c>
      <c r="K1087" s="2">
        <v>104</v>
      </c>
      <c r="L1087" s="2">
        <v>353</v>
      </c>
      <c r="M1087" s="64" t="s">
        <v>77</v>
      </c>
      <c r="N1087" s="1"/>
      <c r="O1087" s="12">
        <f t="shared" si="176"/>
        <v>2.3769980977488281E-3</v>
      </c>
      <c r="P1087" s="12">
        <f t="shared" si="177"/>
        <v>1.636192579866691E-3</v>
      </c>
      <c r="Q1087" s="12">
        <f t="shared" si="178"/>
        <v>4.7515870300680607E-3</v>
      </c>
      <c r="R1087" s="12">
        <f t="shared" si="179"/>
        <v>1.2523191094619746E-2</v>
      </c>
      <c r="S1087" s="12">
        <f t="shared" si="180"/>
        <v>2.0589938689513421E-2</v>
      </c>
      <c r="T1087" s="12">
        <f t="shared" si="181"/>
        <v>1.8710884573198028E-2</v>
      </c>
      <c r="U1087" s="12">
        <f t="shared" si="182"/>
        <v>-4.2048608191068704E-3</v>
      </c>
      <c r="V1087" s="12">
        <f t="shared" si="183"/>
        <v>-9.3655106280965406E-3</v>
      </c>
      <c r="W1087" s="12">
        <f t="shared" si="184"/>
        <v>6.3794128777638903E-3</v>
      </c>
      <c r="X1087" s="12">
        <f t="shared" si="185"/>
        <v>2.1198689535555371E-3</v>
      </c>
      <c r="Y1087" s="12">
        <f t="shared" si="186"/>
        <v>-2.8248587570621764E-3</v>
      </c>
    </row>
    <row r="1088" spans="1:25" x14ac:dyDescent="0.35">
      <c r="A1088" s="6">
        <v>45708</v>
      </c>
      <c r="B1088" s="8">
        <v>6117.52</v>
      </c>
      <c r="C1088" s="2">
        <v>245.83</v>
      </c>
      <c r="D1088" s="2">
        <v>264.74</v>
      </c>
      <c r="E1088" s="2">
        <v>416.13</v>
      </c>
      <c r="F1088" s="2">
        <v>502.42</v>
      </c>
      <c r="G1088" s="2">
        <v>159.68</v>
      </c>
      <c r="H1088" s="2">
        <v>350.49</v>
      </c>
      <c r="I1088" s="2">
        <v>303.86</v>
      </c>
      <c r="J1088" s="2">
        <v>180.88</v>
      </c>
      <c r="K1088" s="2">
        <v>97.21</v>
      </c>
      <c r="L1088" s="2">
        <v>349.15</v>
      </c>
      <c r="M1088" s="64" t="s">
        <v>77</v>
      </c>
      <c r="N1088" s="1"/>
      <c r="O1088" s="12">
        <f t="shared" si="176"/>
        <v>-4.3342040803039383E-3</v>
      </c>
      <c r="P1088" s="12">
        <f t="shared" si="177"/>
        <v>3.9204475844325515E-3</v>
      </c>
      <c r="Q1088" s="12">
        <f t="shared" si="178"/>
        <v>1.5889830508475367E-3</v>
      </c>
      <c r="R1088" s="12">
        <f t="shared" si="179"/>
        <v>3.2789256696483804E-3</v>
      </c>
      <c r="S1088" s="12">
        <f t="shared" si="180"/>
        <v>-1.6867564182842854E-2</v>
      </c>
      <c r="T1088" s="12">
        <f t="shared" si="181"/>
        <v>1.1337006776870107E-2</v>
      </c>
      <c r="U1088" s="12">
        <f t="shared" si="182"/>
        <v>-1.33434676125328E-2</v>
      </c>
      <c r="V1088" s="12">
        <f t="shared" si="183"/>
        <v>-1.9553433144037125E-2</v>
      </c>
      <c r="W1088" s="12">
        <f t="shared" si="184"/>
        <v>-2.8310502283105055E-2</v>
      </c>
      <c r="X1088" s="12">
        <f t="shared" si="185"/>
        <v>-6.5288461538461573E-2</v>
      </c>
      <c r="Y1088" s="12">
        <f t="shared" si="186"/>
        <v>-1.0906515580736631E-2</v>
      </c>
    </row>
    <row r="1089" spans="1:25" x14ac:dyDescent="0.35">
      <c r="A1089" s="6">
        <v>45709</v>
      </c>
      <c r="B1089" s="8">
        <v>6013.13</v>
      </c>
      <c r="C1089" s="2">
        <v>245.55</v>
      </c>
      <c r="D1089" s="2">
        <v>261.48</v>
      </c>
      <c r="E1089" s="2">
        <v>408.21</v>
      </c>
      <c r="F1089" s="2">
        <v>466.42</v>
      </c>
      <c r="G1089" s="2">
        <v>162.30000000000001</v>
      </c>
      <c r="H1089" s="2">
        <v>348.53</v>
      </c>
      <c r="I1089" s="2">
        <v>295.39999999999998</v>
      </c>
      <c r="J1089" s="2">
        <v>177.15</v>
      </c>
      <c r="K1089" s="2">
        <v>94.78</v>
      </c>
      <c r="L1089" s="2">
        <v>340.04</v>
      </c>
      <c r="M1089" s="64" t="s">
        <v>77</v>
      </c>
      <c r="N1089" s="1"/>
      <c r="O1089" s="12">
        <f t="shared" si="176"/>
        <v>-1.70641044083224E-2</v>
      </c>
      <c r="P1089" s="12">
        <f t="shared" si="177"/>
        <v>-1.1389984948948495E-3</v>
      </c>
      <c r="Q1089" s="12">
        <f t="shared" si="178"/>
        <v>-1.2313968421847843E-2</v>
      </c>
      <c r="R1089" s="12">
        <f t="shared" si="179"/>
        <v>-1.9032513877874746E-2</v>
      </c>
      <c r="S1089" s="12">
        <f t="shared" si="180"/>
        <v>-7.1653198519167183E-2</v>
      </c>
      <c r="T1089" s="12">
        <f t="shared" si="181"/>
        <v>1.640781563126259E-2</v>
      </c>
      <c r="U1089" s="12">
        <f t="shared" si="182"/>
        <v>-5.5921709606552295E-3</v>
      </c>
      <c r="V1089" s="12">
        <f t="shared" si="183"/>
        <v>-2.784176923583237E-2</v>
      </c>
      <c r="W1089" s="12">
        <f t="shared" si="184"/>
        <v>-2.0621406457319691E-2</v>
      </c>
      <c r="X1089" s="12">
        <f t="shared" si="185"/>
        <v>-2.4997428248122566E-2</v>
      </c>
      <c r="Y1089" s="12">
        <f t="shared" si="186"/>
        <v>-2.6091937562652046E-2</v>
      </c>
    </row>
    <row r="1090" spans="1:25" x14ac:dyDescent="0.35">
      <c r="A1090" s="6">
        <v>45712</v>
      </c>
      <c r="B1090" s="8">
        <v>5983.25</v>
      </c>
      <c r="C1090" s="2">
        <v>247.1</v>
      </c>
      <c r="D1090" s="2">
        <v>261.87</v>
      </c>
      <c r="E1090" s="2">
        <v>404</v>
      </c>
      <c r="F1090" s="2">
        <v>461.52</v>
      </c>
      <c r="G1090" s="2">
        <v>163.74</v>
      </c>
      <c r="H1090" s="2">
        <v>349.86</v>
      </c>
      <c r="I1090" s="2">
        <v>295.52999999999997</v>
      </c>
      <c r="J1090" s="2">
        <v>179.91</v>
      </c>
      <c r="K1090" s="2">
        <v>93.67</v>
      </c>
      <c r="L1090" s="2">
        <v>338.92</v>
      </c>
      <c r="M1090" s="64">
        <v>10.95</v>
      </c>
      <c r="N1090" s="1"/>
      <c r="O1090" s="12">
        <f t="shared" si="176"/>
        <v>-4.9691258961639395E-3</v>
      </c>
      <c r="P1090" s="12">
        <f t="shared" si="177"/>
        <v>6.312360008144946E-3</v>
      </c>
      <c r="Q1090" s="12">
        <f t="shared" si="178"/>
        <v>1.491509866911267E-3</v>
      </c>
      <c r="R1090" s="12">
        <f t="shared" si="179"/>
        <v>-1.0313319124960141E-2</v>
      </c>
      <c r="S1090" s="12">
        <f t="shared" si="180"/>
        <v>-1.0505552935122897E-2</v>
      </c>
      <c r="T1090" s="12">
        <f t="shared" si="181"/>
        <v>8.872458410351225E-3</v>
      </c>
      <c r="U1090" s="12">
        <f t="shared" si="182"/>
        <v>3.8160273147218593E-3</v>
      </c>
      <c r="V1090" s="12">
        <f t="shared" si="183"/>
        <v>4.4008124576833119E-4</v>
      </c>
      <c r="W1090" s="12">
        <f t="shared" si="184"/>
        <v>1.5580016934801044E-2</v>
      </c>
      <c r="X1090" s="12">
        <f t="shared" si="185"/>
        <v>-1.1711331504536848E-2</v>
      </c>
      <c r="Y1090" s="12">
        <f t="shared" si="186"/>
        <v>-3.2937301493941584E-3</v>
      </c>
    </row>
    <row r="1091" spans="1:25" x14ac:dyDescent="0.35">
      <c r="A1091" s="6">
        <v>45713</v>
      </c>
      <c r="B1091" s="8">
        <v>5955.25</v>
      </c>
      <c r="C1091" s="2">
        <v>247.04</v>
      </c>
      <c r="D1091" s="2">
        <v>257.75</v>
      </c>
      <c r="E1091" s="2">
        <v>397.9</v>
      </c>
      <c r="F1091" s="2">
        <v>470.38</v>
      </c>
      <c r="G1091" s="2">
        <v>166.09</v>
      </c>
      <c r="H1091" s="2">
        <v>352.09</v>
      </c>
      <c r="I1091" s="2">
        <v>293.33999999999997</v>
      </c>
      <c r="J1091" s="2">
        <v>178.27</v>
      </c>
      <c r="K1091" s="2">
        <v>97.69</v>
      </c>
      <c r="L1091" s="2">
        <v>342.36</v>
      </c>
      <c r="M1091" s="64" t="s">
        <v>77</v>
      </c>
      <c r="N1091" s="1"/>
      <c r="O1091" s="12">
        <f t="shared" si="176"/>
        <v>-4.6797309154723576E-3</v>
      </c>
      <c r="P1091" s="12">
        <f t="shared" si="177"/>
        <v>-2.4281667341163882E-4</v>
      </c>
      <c r="Q1091" s="12">
        <f t="shared" si="178"/>
        <v>-1.5732997288731121E-2</v>
      </c>
      <c r="R1091" s="12">
        <f t="shared" si="179"/>
        <v>-1.5099009900990112E-2</v>
      </c>
      <c r="S1091" s="12">
        <f t="shared" si="180"/>
        <v>1.919743456404932E-2</v>
      </c>
      <c r="T1091" s="12">
        <f t="shared" si="181"/>
        <v>1.4352021497495926E-2</v>
      </c>
      <c r="U1091" s="12">
        <f t="shared" si="182"/>
        <v>6.3739781626934722E-3</v>
      </c>
      <c r="V1091" s="12">
        <f t="shared" si="183"/>
        <v>-7.4104151862754986E-3</v>
      </c>
      <c r="W1091" s="12">
        <f t="shared" si="184"/>
        <v>-9.1156689455837991E-3</v>
      </c>
      <c r="X1091" s="12">
        <f t="shared" si="185"/>
        <v>4.2916622184263842E-2</v>
      </c>
      <c r="Y1091" s="12">
        <f t="shared" si="186"/>
        <v>1.0149887879145503E-2</v>
      </c>
    </row>
    <row r="1092" spans="1:25" x14ac:dyDescent="0.35">
      <c r="A1092" s="6">
        <v>45714</v>
      </c>
      <c r="B1092" s="8">
        <v>5956.06</v>
      </c>
      <c r="C1092" s="2">
        <v>240.36</v>
      </c>
      <c r="D1092" s="2">
        <v>255.84</v>
      </c>
      <c r="E1092" s="2">
        <v>399.73</v>
      </c>
      <c r="F1092" s="2">
        <v>463.59</v>
      </c>
      <c r="G1092" s="2">
        <v>163.08000000000001</v>
      </c>
      <c r="H1092" s="2">
        <v>350.63</v>
      </c>
      <c r="I1092" s="2">
        <v>296.10000000000002</v>
      </c>
      <c r="J1092" s="2">
        <v>173.04</v>
      </c>
      <c r="K1092" s="2">
        <v>96.2</v>
      </c>
      <c r="L1092" s="2">
        <v>342.58</v>
      </c>
      <c r="M1092" s="64" t="s">
        <v>77</v>
      </c>
      <c r="N1092" s="1"/>
      <c r="O1092" s="12">
        <f t="shared" si="176"/>
        <v>1.3601444103938931E-4</v>
      </c>
      <c r="P1092" s="12">
        <f t="shared" si="177"/>
        <v>-2.7040155440414382E-2</v>
      </c>
      <c r="Q1092" s="12">
        <f t="shared" si="178"/>
        <v>-7.4102812803104046E-3</v>
      </c>
      <c r="R1092" s="12">
        <f t="shared" si="179"/>
        <v>4.599145513948244E-3</v>
      </c>
      <c r="S1092" s="12">
        <f t="shared" si="180"/>
        <v>-1.4435137548365229E-2</v>
      </c>
      <c r="T1092" s="12">
        <f t="shared" si="181"/>
        <v>-1.8122704557769875E-2</v>
      </c>
      <c r="U1092" s="12">
        <f t="shared" si="182"/>
        <v>-4.1466670453577104E-3</v>
      </c>
      <c r="V1092" s="12">
        <f t="shared" si="183"/>
        <v>9.4088770709759295E-3</v>
      </c>
      <c r="W1092" s="12">
        <f t="shared" si="184"/>
        <v>-2.9337521736691685E-2</v>
      </c>
      <c r="X1092" s="12">
        <f t="shared" si="185"/>
        <v>-1.5252328795168357E-2</v>
      </c>
      <c r="Y1092" s="12">
        <f t="shared" si="186"/>
        <v>6.4259843439651299E-4</v>
      </c>
    </row>
    <row r="1093" spans="1:25" x14ac:dyDescent="0.35">
      <c r="A1093" s="6">
        <v>45715</v>
      </c>
      <c r="B1093" s="8">
        <v>5861.57</v>
      </c>
      <c r="C1093" s="2">
        <v>237.3</v>
      </c>
      <c r="D1093" s="2">
        <v>253.23</v>
      </c>
      <c r="E1093" s="2">
        <v>392.53</v>
      </c>
      <c r="F1093" s="2">
        <v>468.56</v>
      </c>
      <c r="G1093" s="2">
        <v>163.72999999999999</v>
      </c>
      <c r="H1093" s="2">
        <v>355.74</v>
      </c>
      <c r="I1093" s="2">
        <v>294.2</v>
      </c>
      <c r="J1093" s="2">
        <v>173.83</v>
      </c>
      <c r="K1093" s="2">
        <v>96.79</v>
      </c>
      <c r="L1093" s="2">
        <v>340</v>
      </c>
      <c r="M1093" s="64" t="s">
        <v>77</v>
      </c>
      <c r="N1093" s="1"/>
      <c r="O1093" s="12">
        <f t="shared" ref="O1093:O1156" si="187">(B1093/B1092)-1</f>
        <v>-1.586451446090209E-2</v>
      </c>
      <c r="P1093" s="12">
        <f t="shared" ref="P1093:P1156" si="188">(C1093/C1092)-1</f>
        <v>-1.273090364453322E-2</v>
      </c>
      <c r="Q1093" s="12">
        <f t="shared" ref="Q1093:Q1156" si="189">(D1093/D1092)-1</f>
        <v>-1.0201688555347199E-2</v>
      </c>
      <c r="R1093" s="12">
        <f t="shared" ref="R1093:R1156" si="190">(E1093/E1092)-1</f>
        <v>-1.8012158206789697E-2</v>
      </c>
      <c r="S1093" s="12">
        <f t="shared" ref="S1093:S1156" si="191">(F1093/F1092)-1</f>
        <v>1.072067991112835E-2</v>
      </c>
      <c r="T1093" s="12">
        <f t="shared" ref="T1093:T1156" si="192">(G1093/G1092)-1</f>
        <v>3.9857738533233267E-3</v>
      </c>
      <c r="U1093" s="12">
        <f t="shared" ref="U1093:U1156" si="193">(H1093/H1092)-1</f>
        <v>1.4573767219005829E-2</v>
      </c>
      <c r="V1093" s="12">
        <f t="shared" ref="V1093:V1156" si="194">(I1093/I1092)-1</f>
        <v>-6.4167510976023134E-3</v>
      </c>
      <c r="W1093" s="12">
        <f t="shared" ref="W1093:W1156" si="195">(J1093/J1092)-1</f>
        <v>4.5654184003700582E-3</v>
      </c>
      <c r="X1093" s="12">
        <f t="shared" ref="X1093:X1156" si="196">(K1093/K1092)-1</f>
        <v>6.1330561330561473E-3</v>
      </c>
      <c r="Y1093" s="12">
        <f t="shared" ref="Y1093:Y1156" si="197">(L1093/L1092)-1</f>
        <v>-7.5310876291668771E-3</v>
      </c>
    </row>
    <row r="1094" spans="1:25" x14ac:dyDescent="0.35">
      <c r="A1094" s="6">
        <v>45716</v>
      </c>
      <c r="B1094" s="8">
        <v>5954.5</v>
      </c>
      <c r="C1094" s="2">
        <v>241.84</v>
      </c>
      <c r="D1094" s="2">
        <v>252.44</v>
      </c>
      <c r="E1094" s="2">
        <v>396.99</v>
      </c>
      <c r="F1094" s="2">
        <v>474.96</v>
      </c>
      <c r="G1094" s="2">
        <v>165.02</v>
      </c>
      <c r="H1094" s="2">
        <v>362.71</v>
      </c>
      <c r="I1094" s="2">
        <v>300.95999999999998</v>
      </c>
      <c r="J1094" s="2">
        <v>174.63</v>
      </c>
      <c r="K1094" s="2">
        <v>98.61</v>
      </c>
      <c r="L1094" s="2">
        <v>343.95</v>
      </c>
      <c r="M1094" s="64" t="s">
        <v>77</v>
      </c>
      <c r="N1094" s="1"/>
      <c r="O1094" s="12">
        <f t="shared" si="187"/>
        <v>1.5854114170776867E-2</v>
      </c>
      <c r="P1094" s="12">
        <f t="shared" si="188"/>
        <v>1.913190054782965E-2</v>
      </c>
      <c r="Q1094" s="12">
        <f t="shared" si="189"/>
        <v>-3.1196935592149311E-3</v>
      </c>
      <c r="R1094" s="12">
        <f t="shared" si="190"/>
        <v>1.1362188877283463E-2</v>
      </c>
      <c r="S1094" s="12">
        <f t="shared" si="191"/>
        <v>1.365886972852981E-2</v>
      </c>
      <c r="T1094" s="12">
        <f t="shared" si="192"/>
        <v>7.8788248946437545E-3</v>
      </c>
      <c r="U1094" s="12">
        <f t="shared" si="193"/>
        <v>1.9592961151402521E-2</v>
      </c>
      <c r="V1094" s="12">
        <f t="shared" si="194"/>
        <v>2.2977566281441097E-2</v>
      </c>
      <c r="W1094" s="12">
        <f t="shared" si="195"/>
        <v>4.6021975493297784E-3</v>
      </c>
      <c r="X1094" s="12">
        <f t="shared" si="196"/>
        <v>1.880359541274923E-2</v>
      </c>
      <c r="Y1094" s="12">
        <f t="shared" si="197"/>
        <v>1.1617647058823399E-2</v>
      </c>
    </row>
    <row r="1095" spans="1:25" x14ac:dyDescent="0.35">
      <c r="A1095" s="6">
        <v>45719</v>
      </c>
      <c r="B1095" s="8">
        <v>5849.72</v>
      </c>
      <c r="C1095" s="2">
        <v>238.03</v>
      </c>
      <c r="D1095" s="2">
        <v>250.19</v>
      </c>
      <c r="E1095" s="2">
        <v>388.49</v>
      </c>
      <c r="F1095" s="2">
        <v>467.05</v>
      </c>
      <c r="G1095" s="2">
        <v>167.28</v>
      </c>
      <c r="H1095" s="2">
        <v>361.82</v>
      </c>
      <c r="I1095" s="2">
        <v>295.49</v>
      </c>
      <c r="J1095" s="2">
        <v>170.06</v>
      </c>
      <c r="K1095" s="2">
        <v>97.59</v>
      </c>
      <c r="L1095" s="2">
        <v>332.04</v>
      </c>
      <c r="M1095" s="64">
        <v>10.88</v>
      </c>
      <c r="N1095" s="1"/>
      <c r="O1095" s="12">
        <f t="shared" si="187"/>
        <v>-1.7596775547904953E-2</v>
      </c>
      <c r="P1095" s="12">
        <f t="shared" si="188"/>
        <v>-1.5754217664571635E-2</v>
      </c>
      <c r="Q1095" s="12">
        <f t="shared" si="189"/>
        <v>-8.9130090318491062E-3</v>
      </c>
      <c r="R1095" s="12">
        <f t="shared" si="190"/>
        <v>-2.1411118667976514E-2</v>
      </c>
      <c r="S1095" s="12">
        <f t="shared" si="191"/>
        <v>-1.6654034023917741E-2</v>
      </c>
      <c r="T1095" s="12">
        <f t="shared" si="192"/>
        <v>1.3695309659435217E-2</v>
      </c>
      <c r="U1095" s="12">
        <f t="shared" si="193"/>
        <v>-2.4537509304953797E-3</v>
      </c>
      <c r="V1095" s="12">
        <f t="shared" si="194"/>
        <v>-1.8175172780435789E-2</v>
      </c>
      <c r="W1095" s="12">
        <f t="shared" si="195"/>
        <v>-2.6169615759033316E-2</v>
      </c>
      <c r="X1095" s="12">
        <f t="shared" si="196"/>
        <v>-1.0343778521448077E-2</v>
      </c>
      <c r="Y1095" s="12">
        <f t="shared" si="197"/>
        <v>-3.4627126035760902E-2</v>
      </c>
    </row>
    <row r="1096" spans="1:25" x14ac:dyDescent="0.35">
      <c r="A1096" s="6">
        <v>45720</v>
      </c>
      <c r="B1096" s="8">
        <v>5778.15</v>
      </c>
      <c r="C1096" s="2">
        <v>235.93</v>
      </c>
      <c r="D1096" s="2">
        <v>253.21</v>
      </c>
      <c r="E1096" s="2">
        <v>388.61</v>
      </c>
      <c r="F1096" s="2">
        <v>474.61</v>
      </c>
      <c r="G1096" s="2">
        <v>165.42</v>
      </c>
      <c r="H1096" s="2">
        <v>352.23</v>
      </c>
      <c r="I1096" s="2">
        <v>283.47000000000003</v>
      </c>
      <c r="J1096" s="2">
        <v>158.9</v>
      </c>
      <c r="K1096" s="2">
        <v>94.97</v>
      </c>
      <c r="L1096" s="2">
        <v>326.75</v>
      </c>
      <c r="M1096" s="64" t="s">
        <v>77</v>
      </c>
      <c r="N1096" s="1"/>
      <c r="O1096" s="12">
        <f t="shared" si="187"/>
        <v>-1.2234773630190987E-2</v>
      </c>
      <c r="P1096" s="12">
        <f t="shared" si="188"/>
        <v>-8.8224173423517849E-3</v>
      </c>
      <c r="Q1096" s="12">
        <f t="shared" si="189"/>
        <v>1.2070826172109195E-2</v>
      </c>
      <c r="R1096" s="12">
        <f t="shared" si="190"/>
        <v>3.0888825967201328E-4</v>
      </c>
      <c r="S1096" s="12">
        <f t="shared" si="191"/>
        <v>1.6186703779038636E-2</v>
      </c>
      <c r="T1096" s="12">
        <f t="shared" si="192"/>
        <v>-1.1119081779053186E-2</v>
      </c>
      <c r="U1096" s="12">
        <f t="shared" si="193"/>
        <v>-2.6504891935216324E-2</v>
      </c>
      <c r="V1096" s="12">
        <f t="shared" si="194"/>
        <v>-4.0678195539612161E-2</v>
      </c>
      <c r="W1096" s="12">
        <f t="shared" si="195"/>
        <v>-6.5623897447959489E-2</v>
      </c>
      <c r="X1096" s="12">
        <f t="shared" si="196"/>
        <v>-2.6847013013628462E-2</v>
      </c>
      <c r="Y1096" s="12">
        <f t="shared" si="197"/>
        <v>-1.5931815443922526E-2</v>
      </c>
    </row>
    <row r="1097" spans="1:25" x14ac:dyDescent="0.35">
      <c r="A1097" s="6">
        <v>45721</v>
      </c>
      <c r="B1097" s="8">
        <v>5842.63</v>
      </c>
      <c r="C1097" s="2">
        <v>235.74</v>
      </c>
      <c r="D1097" s="2">
        <v>251.35</v>
      </c>
      <c r="E1097" s="2">
        <v>401.02</v>
      </c>
      <c r="F1097" s="2">
        <v>475.98</v>
      </c>
      <c r="G1097" s="2">
        <v>165.12</v>
      </c>
      <c r="H1097" s="2">
        <v>352.68</v>
      </c>
      <c r="I1097" s="2">
        <v>284.18</v>
      </c>
      <c r="J1097" s="2">
        <v>163.16</v>
      </c>
      <c r="K1097" s="2">
        <v>95.98</v>
      </c>
      <c r="L1097" s="2">
        <v>338.49</v>
      </c>
      <c r="M1097" s="64" t="s">
        <v>77</v>
      </c>
      <c r="N1097" s="1"/>
      <c r="O1097" s="12">
        <f t="shared" si="187"/>
        <v>1.1159281084776262E-2</v>
      </c>
      <c r="P1097" s="12">
        <f t="shared" si="188"/>
        <v>-8.053236129360597E-4</v>
      </c>
      <c r="Q1097" s="12">
        <f t="shared" si="189"/>
        <v>-7.3456814501797751E-3</v>
      </c>
      <c r="R1097" s="12">
        <f t="shared" si="190"/>
        <v>3.1934330048120074E-2</v>
      </c>
      <c r="S1097" s="12">
        <f t="shared" si="191"/>
        <v>2.8865805608815354E-3</v>
      </c>
      <c r="T1097" s="12">
        <f t="shared" si="192"/>
        <v>-1.8135654697133408E-3</v>
      </c>
      <c r="U1097" s="12">
        <f t="shared" si="193"/>
        <v>1.2775743122390715E-3</v>
      </c>
      <c r="V1097" s="12">
        <f t="shared" si="194"/>
        <v>2.5046742159664515E-3</v>
      </c>
      <c r="W1097" s="12">
        <f t="shared" si="195"/>
        <v>2.6809314033983567E-2</v>
      </c>
      <c r="X1097" s="12">
        <f t="shared" si="196"/>
        <v>1.063493734863652E-2</v>
      </c>
      <c r="Y1097" s="12">
        <f t="shared" si="197"/>
        <v>3.5929609793420081E-2</v>
      </c>
    </row>
    <row r="1098" spans="1:25" x14ac:dyDescent="0.35">
      <c r="A1098" s="6">
        <v>45722</v>
      </c>
      <c r="B1098" s="8">
        <v>5738.52</v>
      </c>
      <c r="C1098" s="2">
        <v>235.33</v>
      </c>
      <c r="D1098" s="2">
        <v>248.69</v>
      </c>
      <c r="E1098" s="2">
        <v>396.89</v>
      </c>
      <c r="F1098" s="2">
        <v>487.72</v>
      </c>
      <c r="G1098" s="2">
        <v>165.83</v>
      </c>
      <c r="H1098" s="2">
        <v>344.16</v>
      </c>
      <c r="I1098" s="2">
        <v>275.64</v>
      </c>
      <c r="J1098" s="2">
        <v>158.43</v>
      </c>
      <c r="K1098" s="2">
        <v>94.64</v>
      </c>
      <c r="L1098" s="2">
        <v>341.01</v>
      </c>
      <c r="M1098" s="64" t="s">
        <v>77</v>
      </c>
      <c r="N1098" s="1"/>
      <c r="O1098" s="12">
        <f t="shared" si="187"/>
        <v>-1.7819030128555013E-2</v>
      </c>
      <c r="P1098" s="12">
        <f t="shared" si="188"/>
        <v>-1.7392042080257575E-3</v>
      </c>
      <c r="Q1098" s="12">
        <f t="shared" si="189"/>
        <v>-1.0582852595981684E-2</v>
      </c>
      <c r="R1098" s="12">
        <f t="shared" si="190"/>
        <v>-1.0298738217545234E-2</v>
      </c>
      <c r="S1098" s="12">
        <f t="shared" si="191"/>
        <v>2.4664901886633839E-2</v>
      </c>
      <c r="T1098" s="12">
        <f t="shared" si="192"/>
        <v>4.2999031007753263E-3</v>
      </c>
      <c r="U1098" s="12">
        <f t="shared" si="193"/>
        <v>-2.4157876828853286E-2</v>
      </c>
      <c r="V1098" s="12">
        <f t="shared" si="194"/>
        <v>-3.005137588852147E-2</v>
      </c>
      <c r="W1098" s="12">
        <f t="shared" si="195"/>
        <v>-2.8989948516793262E-2</v>
      </c>
      <c r="X1098" s="12">
        <f t="shared" si="196"/>
        <v>-1.3961241925401158E-2</v>
      </c>
      <c r="Y1098" s="12">
        <f t="shared" si="197"/>
        <v>7.444828503057721E-3</v>
      </c>
    </row>
    <row r="1099" spans="1:25" x14ac:dyDescent="0.35">
      <c r="A1099" s="6">
        <v>45723</v>
      </c>
      <c r="B1099" s="8">
        <v>5770.2</v>
      </c>
      <c r="C1099" s="2">
        <v>239.07</v>
      </c>
      <c r="D1099" s="2">
        <v>261.54000000000002</v>
      </c>
      <c r="E1099" s="2">
        <v>393.31</v>
      </c>
      <c r="F1099" s="2">
        <v>493.48</v>
      </c>
      <c r="G1099" s="2">
        <v>166.69</v>
      </c>
      <c r="H1099" s="2">
        <v>345.32</v>
      </c>
      <c r="I1099" s="2">
        <v>273.20999999999998</v>
      </c>
      <c r="J1099" s="2">
        <v>154.18</v>
      </c>
      <c r="K1099" s="2">
        <v>91.72</v>
      </c>
      <c r="L1099" s="2">
        <v>350.3</v>
      </c>
      <c r="M1099" s="64" t="s">
        <v>77</v>
      </c>
      <c r="N1099" s="1"/>
      <c r="O1099" s="12">
        <f t="shared" si="187"/>
        <v>5.5205871897281433E-3</v>
      </c>
      <c r="P1099" s="12">
        <f t="shared" si="188"/>
        <v>1.589257638210162E-2</v>
      </c>
      <c r="Q1099" s="12">
        <f t="shared" si="189"/>
        <v>5.1670754754915782E-2</v>
      </c>
      <c r="R1099" s="12">
        <f t="shared" si="190"/>
        <v>-9.0201315225880707E-3</v>
      </c>
      <c r="S1099" s="12">
        <f t="shared" si="191"/>
        <v>1.1810054949561222E-2</v>
      </c>
      <c r="T1099" s="12">
        <f t="shared" si="192"/>
        <v>5.1860338901283942E-3</v>
      </c>
      <c r="U1099" s="12">
        <f t="shared" si="193"/>
        <v>3.3705253370523991E-3</v>
      </c>
      <c r="V1099" s="12">
        <f t="shared" si="194"/>
        <v>-8.8158467566391563E-3</v>
      </c>
      <c r="W1099" s="12">
        <f t="shared" si="195"/>
        <v>-2.6825727450609071E-2</v>
      </c>
      <c r="X1099" s="12">
        <f t="shared" si="196"/>
        <v>-3.0853761622992359E-2</v>
      </c>
      <c r="Y1099" s="12">
        <f t="shared" si="197"/>
        <v>2.7242602856221376E-2</v>
      </c>
    </row>
    <row r="1100" spans="1:25" x14ac:dyDescent="0.35">
      <c r="A1100" s="6">
        <v>45726</v>
      </c>
      <c r="B1100" s="8">
        <v>5614.56</v>
      </c>
      <c r="C1100" s="2">
        <v>227.48</v>
      </c>
      <c r="D1100" s="2">
        <v>256.89999999999998</v>
      </c>
      <c r="E1100" s="2">
        <v>380.16</v>
      </c>
      <c r="F1100" s="2">
        <v>480.22</v>
      </c>
      <c r="G1100" s="2">
        <v>167.7</v>
      </c>
      <c r="H1100" s="2">
        <v>341.48</v>
      </c>
      <c r="I1100" s="2">
        <v>261.32</v>
      </c>
      <c r="J1100" s="2">
        <v>148.15</v>
      </c>
      <c r="K1100" s="2">
        <v>87.82</v>
      </c>
      <c r="L1100" s="2">
        <v>345.21</v>
      </c>
      <c r="M1100" s="64">
        <v>11.02</v>
      </c>
      <c r="N1100" s="1"/>
      <c r="O1100" s="12">
        <f t="shared" si="187"/>
        <v>-2.6973068524487775E-2</v>
      </c>
      <c r="P1100" s="12">
        <f t="shared" si="188"/>
        <v>-4.8479524825364995E-2</v>
      </c>
      <c r="Q1100" s="12">
        <f t="shared" si="189"/>
        <v>-1.7741072111340683E-2</v>
      </c>
      <c r="R1100" s="12">
        <f t="shared" si="190"/>
        <v>-3.3434186773791619E-2</v>
      </c>
      <c r="S1100" s="12">
        <f t="shared" si="191"/>
        <v>-2.6870389884088519E-2</v>
      </c>
      <c r="T1100" s="12">
        <f t="shared" si="192"/>
        <v>6.0591517187593702E-3</v>
      </c>
      <c r="U1100" s="12">
        <f t="shared" si="193"/>
        <v>-1.1120120467971617E-2</v>
      </c>
      <c r="V1100" s="12">
        <f t="shared" si="194"/>
        <v>-4.3519636909337134E-2</v>
      </c>
      <c r="W1100" s="12">
        <f t="shared" si="195"/>
        <v>-3.9110131015695937E-2</v>
      </c>
      <c r="X1100" s="12">
        <f t="shared" si="196"/>
        <v>-4.2520715220235594E-2</v>
      </c>
      <c r="Y1100" s="12">
        <f t="shared" si="197"/>
        <v>-1.4530402512132556E-2</v>
      </c>
    </row>
    <row r="1101" spans="1:25" x14ac:dyDescent="0.35">
      <c r="A1101" s="6">
        <v>45727</v>
      </c>
      <c r="B1101" s="8">
        <v>5572.07</v>
      </c>
      <c r="C1101" s="2">
        <v>220.84</v>
      </c>
      <c r="D1101" s="2">
        <v>248.95</v>
      </c>
      <c r="E1101" s="2">
        <v>380.45</v>
      </c>
      <c r="F1101" s="2">
        <v>486.04</v>
      </c>
      <c r="G1101" s="2">
        <v>165.86</v>
      </c>
      <c r="H1101" s="2">
        <v>332.14</v>
      </c>
      <c r="I1101" s="2">
        <v>255.39</v>
      </c>
      <c r="J1101" s="2">
        <v>154.06</v>
      </c>
      <c r="K1101" s="2">
        <v>87.44</v>
      </c>
      <c r="L1101" s="2">
        <v>339.77</v>
      </c>
      <c r="M1101" s="64" t="s">
        <v>77</v>
      </c>
      <c r="N1101" s="1"/>
      <c r="O1101" s="12">
        <f t="shared" si="187"/>
        <v>-7.5678236584880709E-3</v>
      </c>
      <c r="P1101" s="12">
        <f t="shared" si="188"/>
        <v>-2.9189379286091E-2</v>
      </c>
      <c r="Q1101" s="12">
        <f t="shared" si="189"/>
        <v>-3.0945893343713449E-2</v>
      </c>
      <c r="R1101" s="12">
        <f t="shared" si="190"/>
        <v>7.6283670033649997E-4</v>
      </c>
      <c r="S1101" s="12">
        <f t="shared" si="191"/>
        <v>1.2119445254258343E-2</v>
      </c>
      <c r="T1101" s="12">
        <f t="shared" si="192"/>
        <v>-1.0971973762671339E-2</v>
      </c>
      <c r="U1101" s="12">
        <f t="shared" si="193"/>
        <v>-2.7351528640037537E-2</v>
      </c>
      <c r="V1101" s="12">
        <f t="shared" si="194"/>
        <v>-2.2692484310424033E-2</v>
      </c>
      <c r="W1101" s="12">
        <f t="shared" si="195"/>
        <v>3.9892001349983053E-2</v>
      </c>
      <c r="X1101" s="12">
        <f t="shared" si="196"/>
        <v>-4.3270325666134868E-3</v>
      </c>
      <c r="Y1101" s="12">
        <f t="shared" si="197"/>
        <v>-1.5758523797108959E-2</v>
      </c>
    </row>
    <row r="1102" spans="1:25" x14ac:dyDescent="0.35">
      <c r="A1102" s="6">
        <v>45728</v>
      </c>
      <c r="B1102" s="8">
        <v>5599.3</v>
      </c>
      <c r="C1102" s="2">
        <v>216.98</v>
      </c>
      <c r="D1102" s="2">
        <v>249.63</v>
      </c>
      <c r="E1102" s="2">
        <v>383.27</v>
      </c>
      <c r="F1102" s="2">
        <v>481.11</v>
      </c>
      <c r="G1102" s="2">
        <v>162.85</v>
      </c>
      <c r="H1102" s="2">
        <v>332.84</v>
      </c>
      <c r="I1102" s="2">
        <v>260.75</v>
      </c>
      <c r="J1102" s="2">
        <v>158.80000000000001</v>
      </c>
      <c r="K1102" s="2">
        <v>85.2</v>
      </c>
      <c r="L1102" s="2">
        <v>338.13</v>
      </c>
      <c r="M1102" s="64" t="s">
        <v>77</v>
      </c>
      <c r="N1102" s="1"/>
      <c r="O1102" s="12">
        <f t="shared" si="187"/>
        <v>4.8868732804865367E-3</v>
      </c>
      <c r="P1102" s="12">
        <f t="shared" si="188"/>
        <v>-1.7478717623618967E-2</v>
      </c>
      <c r="Q1102" s="12">
        <f t="shared" si="189"/>
        <v>2.7314721831692701E-3</v>
      </c>
      <c r="R1102" s="12">
        <f t="shared" si="190"/>
        <v>7.4122749375740149E-3</v>
      </c>
      <c r="S1102" s="12">
        <f t="shared" si="191"/>
        <v>-1.0143198090692085E-2</v>
      </c>
      <c r="T1102" s="12">
        <f t="shared" si="192"/>
        <v>-1.8147835523935951E-2</v>
      </c>
      <c r="U1102" s="12">
        <f t="shared" si="193"/>
        <v>2.1075450111398553E-3</v>
      </c>
      <c r="V1102" s="12">
        <f t="shared" si="194"/>
        <v>2.0987509299502882E-2</v>
      </c>
      <c r="W1102" s="12">
        <f t="shared" si="195"/>
        <v>3.0767233545371919E-2</v>
      </c>
      <c r="X1102" s="12">
        <f t="shared" si="196"/>
        <v>-2.5617566331198494E-2</v>
      </c>
      <c r="Y1102" s="12">
        <f t="shared" si="197"/>
        <v>-4.8267945963444969E-3</v>
      </c>
    </row>
    <row r="1103" spans="1:25" x14ac:dyDescent="0.35">
      <c r="A1103" s="6">
        <v>45729</v>
      </c>
      <c r="B1103" s="8">
        <v>5521.52</v>
      </c>
      <c r="C1103" s="2">
        <v>209.68</v>
      </c>
      <c r="D1103" s="2">
        <v>245.8</v>
      </c>
      <c r="E1103" s="2">
        <v>378.77</v>
      </c>
      <c r="F1103" s="2">
        <v>481.52</v>
      </c>
      <c r="G1103" s="2">
        <v>162.99</v>
      </c>
      <c r="H1103" s="2">
        <v>328.55</v>
      </c>
      <c r="I1103" s="2">
        <v>256.43</v>
      </c>
      <c r="J1103" s="2">
        <v>159.32</v>
      </c>
      <c r="K1103" s="2">
        <v>84.5</v>
      </c>
      <c r="L1103" s="2">
        <v>333.31</v>
      </c>
      <c r="M1103" s="64" t="s">
        <v>77</v>
      </c>
      <c r="N1103" s="1"/>
      <c r="O1103" s="12">
        <f t="shared" si="187"/>
        <v>-1.3891022092047178E-2</v>
      </c>
      <c r="P1103" s="12">
        <f t="shared" si="188"/>
        <v>-3.364365379297618E-2</v>
      </c>
      <c r="Q1103" s="12">
        <f t="shared" si="189"/>
        <v>-1.5342707206665751E-2</v>
      </c>
      <c r="R1103" s="12">
        <f t="shared" si="190"/>
        <v>-1.1741070263782682E-2</v>
      </c>
      <c r="S1103" s="12">
        <f t="shared" si="191"/>
        <v>8.5219596350105675E-4</v>
      </c>
      <c r="T1103" s="12">
        <f t="shared" si="192"/>
        <v>8.596868283696768E-4</v>
      </c>
      <c r="U1103" s="12">
        <f t="shared" si="193"/>
        <v>-1.2889075832231645E-2</v>
      </c>
      <c r="V1103" s="12">
        <f t="shared" si="194"/>
        <v>-1.6567593480345089E-2</v>
      </c>
      <c r="W1103" s="12">
        <f t="shared" si="195"/>
        <v>3.2745591939544738E-3</v>
      </c>
      <c r="X1103" s="12">
        <f t="shared" si="196"/>
        <v>-8.2159624413146171E-3</v>
      </c>
      <c r="Y1103" s="12">
        <f t="shared" si="197"/>
        <v>-1.4254872386360251E-2</v>
      </c>
    </row>
    <row r="1104" spans="1:25" x14ac:dyDescent="0.35">
      <c r="A1104" s="6">
        <v>45730</v>
      </c>
      <c r="B1104" s="8">
        <v>5638.94</v>
      </c>
      <c r="C1104" s="2">
        <v>213.49</v>
      </c>
      <c r="D1104" s="2">
        <v>248.35</v>
      </c>
      <c r="E1104" s="2">
        <v>388.56</v>
      </c>
      <c r="F1104" s="2">
        <v>488.65</v>
      </c>
      <c r="G1104" s="2">
        <v>162.81</v>
      </c>
      <c r="H1104" s="2">
        <v>331.8</v>
      </c>
      <c r="I1104" s="2">
        <v>265.63</v>
      </c>
      <c r="J1104" s="2">
        <v>161.81</v>
      </c>
      <c r="K1104" s="2">
        <v>85.35</v>
      </c>
      <c r="L1104" s="2">
        <v>339.64</v>
      </c>
      <c r="M1104" s="64" t="s">
        <v>77</v>
      </c>
      <c r="N1104" s="1"/>
      <c r="O1104" s="12">
        <f t="shared" si="187"/>
        <v>2.1265883307494793E-2</v>
      </c>
      <c r="P1104" s="12">
        <f t="shared" si="188"/>
        <v>1.8170545593285015E-2</v>
      </c>
      <c r="Q1104" s="12">
        <f t="shared" si="189"/>
        <v>1.0374288039056045E-2</v>
      </c>
      <c r="R1104" s="12">
        <f t="shared" si="190"/>
        <v>2.5846819969902679E-2</v>
      </c>
      <c r="S1104" s="12">
        <f t="shared" si="191"/>
        <v>1.4807276956305016E-2</v>
      </c>
      <c r="T1104" s="12">
        <f t="shared" si="192"/>
        <v>-1.104362230811784E-3</v>
      </c>
      <c r="U1104" s="12">
        <f t="shared" si="193"/>
        <v>9.8919494749658554E-3</v>
      </c>
      <c r="V1104" s="12">
        <f t="shared" si="194"/>
        <v>3.5877237452716093E-2</v>
      </c>
      <c r="W1104" s="12">
        <f t="shared" si="195"/>
        <v>1.5628922922420241E-2</v>
      </c>
      <c r="X1104" s="12">
        <f t="shared" si="196"/>
        <v>1.0059171597633032E-2</v>
      </c>
      <c r="Y1104" s="12">
        <f t="shared" si="197"/>
        <v>1.8991329393057477E-2</v>
      </c>
    </row>
    <row r="1105" spans="1:25" x14ac:dyDescent="0.35">
      <c r="A1105" s="6">
        <v>45733</v>
      </c>
      <c r="B1105" s="8">
        <v>5675.12</v>
      </c>
      <c r="C1105" s="2">
        <v>214</v>
      </c>
      <c r="D1105" s="2">
        <v>252.97</v>
      </c>
      <c r="E1105" s="2">
        <v>388.7</v>
      </c>
      <c r="F1105" s="2">
        <v>499.02</v>
      </c>
      <c r="G1105" s="2">
        <v>162.84</v>
      </c>
      <c r="H1105" s="2">
        <v>334.55</v>
      </c>
      <c r="I1105" s="2">
        <v>264.38</v>
      </c>
      <c r="J1105" s="2">
        <v>161.85</v>
      </c>
      <c r="K1105" s="2">
        <v>87.46</v>
      </c>
      <c r="L1105" s="2">
        <v>342.64</v>
      </c>
      <c r="M1105" s="64">
        <v>10.9</v>
      </c>
      <c r="N1105" s="1"/>
      <c r="O1105" s="12">
        <f t="shared" si="187"/>
        <v>6.4160994796895743E-3</v>
      </c>
      <c r="P1105" s="12">
        <f t="shared" si="188"/>
        <v>2.3888706730994524E-3</v>
      </c>
      <c r="Q1105" s="12">
        <f t="shared" si="189"/>
        <v>1.8602778337024395E-2</v>
      </c>
      <c r="R1105" s="12">
        <f t="shared" si="190"/>
        <v>3.6030471484460591E-4</v>
      </c>
      <c r="S1105" s="12">
        <f t="shared" si="191"/>
        <v>2.1221733346976412E-2</v>
      </c>
      <c r="T1105" s="12">
        <f t="shared" si="192"/>
        <v>1.8426386585601584E-4</v>
      </c>
      <c r="U1105" s="12">
        <f t="shared" si="193"/>
        <v>8.2881253767330687E-3</v>
      </c>
      <c r="V1105" s="12">
        <f t="shared" si="194"/>
        <v>-4.7057937732937205E-3</v>
      </c>
      <c r="W1105" s="12">
        <f t="shared" si="195"/>
        <v>2.4720351028983956E-4</v>
      </c>
      <c r="X1105" s="12">
        <f t="shared" si="196"/>
        <v>2.4721734036321052E-2</v>
      </c>
      <c r="Y1105" s="12">
        <f t="shared" si="197"/>
        <v>8.8328818749263682E-3</v>
      </c>
    </row>
    <row r="1106" spans="1:25" x14ac:dyDescent="0.35">
      <c r="A1106" s="6">
        <v>45734</v>
      </c>
      <c r="B1106" s="8">
        <v>5614.66</v>
      </c>
      <c r="C1106" s="2">
        <v>212.69</v>
      </c>
      <c r="D1106" s="2">
        <v>246.95</v>
      </c>
      <c r="E1106" s="2">
        <v>383.52</v>
      </c>
      <c r="F1106" s="2">
        <v>503.8</v>
      </c>
      <c r="G1106" s="2">
        <v>164.25</v>
      </c>
      <c r="H1106" s="2">
        <v>334.77</v>
      </c>
      <c r="I1106" s="2">
        <v>262.72000000000003</v>
      </c>
      <c r="J1106" s="2">
        <v>161.57</v>
      </c>
      <c r="K1106" s="2">
        <v>85.59</v>
      </c>
      <c r="L1106" s="2">
        <v>336.71</v>
      </c>
      <c r="M1106" s="64" t="s">
        <v>77</v>
      </c>
      <c r="N1106" s="1"/>
      <c r="O1106" s="12">
        <f t="shared" si="187"/>
        <v>-1.0653519220738983E-2</v>
      </c>
      <c r="P1106" s="12">
        <f t="shared" si="188"/>
        <v>-6.1214953271028216E-3</v>
      </c>
      <c r="Q1106" s="12">
        <f t="shared" si="189"/>
        <v>-2.3797288215994028E-2</v>
      </c>
      <c r="R1106" s="12">
        <f t="shared" si="190"/>
        <v>-1.3326472858245397E-2</v>
      </c>
      <c r="S1106" s="12">
        <f t="shared" si="191"/>
        <v>9.5787743978197337E-3</v>
      </c>
      <c r="T1106" s="12">
        <f t="shared" si="192"/>
        <v>8.6588061901251567E-3</v>
      </c>
      <c r="U1106" s="12">
        <f t="shared" si="193"/>
        <v>6.5759976087265137E-4</v>
      </c>
      <c r="V1106" s="12">
        <f t="shared" si="194"/>
        <v>-6.2788410621074098E-3</v>
      </c>
      <c r="W1106" s="12">
        <f t="shared" si="195"/>
        <v>-1.7299969107198443E-3</v>
      </c>
      <c r="X1106" s="12">
        <f t="shared" si="196"/>
        <v>-2.138120283558187E-2</v>
      </c>
      <c r="Y1106" s="12">
        <f t="shared" si="197"/>
        <v>-1.7306794303058592E-2</v>
      </c>
    </row>
    <row r="1107" spans="1:25" x14ac:dyDescent="0.35">
      <c r="A1107" s="6">
        <v>45735</v>
      </c>
      <c r="B1107" s="8">
        <v>5675.29</v>
      </c>
      <c r="C1107" s="2">
        <v>215.24</v>
      </c>
      <c r="D1107" s="2">
        <v>252.29</v>
      </c>
      <c r="E1107" s="2">
        <v>387.82</v>
      </c>
      <c r="F1107" s="2">
        <v>503.2</v>
      </c>
      <c r="G1107" s="2">
        <v>162.99</v>
      </c>
      <c r="H1107" s="2">
        <v>339.87</v>
      </c>
      <c r="I1107" s="2">
        <v>270.64999999999998</v>
      </c>
      <c r="J1107" s="2">
        <v>172.62</v>
      </c>
      <c r="K1107" s="2">
        <v>86.33</v>
      </c>
      <c r="L1107" s="2">
        <v>338.62</v>
      </c>
      <c r="M1107" s="64" t="s">
        <v>77</v>
      </c>
      <c r="N1107" s="1"/>
      <c r="O1107" s="12">
        <f t="shared" si="187"/>
        <v>1.0798516740105457E-2</v>
      </c>
      <c r="P1107" s="12">
        <f t="shared" si="188"/>
        <v>1.1989280173021921E-2</v>
      </c>
      <c r="Q1107" s="12">
        <f t="shared" si="189"/>
        <v>2.1623810487953143E-2</v>
      </c>
      <c r="R1107" s="12">
        <f t="shared" si="190"/>
        <v>1.1211931581143197E-2</v>
      </c>
      <c r="S1107" s="12">
        <f t="shared" si="191"/>
        <v>-1.1909487892021176E-3</v>
      </c>
      <c r="T1107" s="12">
        <f t="shared" si="192"/>
        <v>-7.6712328767122306E-3</v>
      </c>
      <c r="U1107" s="12">
        <f t="shared" si="193"/>
        <v>1.5234339994623314E-2</v>
      </c>
      <c r="V1107" s="12">
        <f t="shared" si="194"/>
        <v>3.0184226552983917E-2</v>
      </c>
      <c r="W1107" s="12">
        <f t="shared" si="195"/>
        <v>6.8391409296280292E-2</v>
      </c>
      <c r="X1107" s="12">
        <f t="shared" si="196"/>
        <v>8.6458698446079119E-3</v>
      </c>
      <c r="Y1107" s="12">
        <f t="shared" si="197"/>
        <v>5.6725371981825035E-3</v>
      </c>
    </row>
    <row r="1108" spans="1:25" x14ac:dyDescent="0.35">
      <c r="A1108" s="6">
        <v>45736</v>
      </c>
      <c r="B1108" s="8">
        <v>5662.89</v>
      </c>
      <c r="C1108" s="2">
        <v>214.1</v>
      </c>
      <c r="D1108" s="2">
        <v>243.32</v>
      </c>
      <c r="E1108" s="2">
        <v>386.84</v>
      </c>
      <c r="F1108" s="2">
        <v>511.3</v>
      </c>
      <c r="G1108" s="2">
        <v>163.02000000000001</v>
      </c>
      <c r="H1108" s="2">
        <v>339.5</v>
      </c>
      <c r="I1108" s="2">
        <v>270.83</v>
      </c>
      <c r="J1108" s="2">
        <v>172.83</v>
      </c>
      <c r="K1108" s="2">
        <v>85.81</v>
      </c>
      <c r="L1108" s="2">
        <v>336.25</v>
      </c>
      <c r="M1108" s="64" t="s">
        <v>77</v>
      </c>
      <c r="N1108" s="1"/>
      <c r="O1108" s="12">
        <f t="shared" si="187"/>
        <v>-2.1849103746239829E-3</v>
      </c>
      <c r="P1108" s="12">
        <f t="shared" si="188"/>
        <v>-5.2964133060769969E-3</v>
      </c>
      <c r="Q1108" s="12">
        <f t="shared" si="189"/>
        <v>-3.5554322406754157E-2</v>
      </c>
      <c r="R1108" s="12">
        <f t="shared" si="190"/>
        <v>-2.526945490175847E-3</v>
      </c>
      <c r="S1108" s="12">
        <f t="shared" si="191"/>
        <v>1.6096979332273387E-2</v>
      </c>
      <c r="T1108" s="12">
        <f t="shared" si="192"/>
        <v>1.84060371801964E-4</v>
      </c>
      <c r="U1108" s="12">
        <f t="shared" si="193"/>
        <v>-1.088651543237118E-3</v>
      </c>
      <c r="V1108" s="12">
        <f t="shared" si="194"/>
        <v>6.6506558285617245E-4</v>
      </c>
      <c r="W1108" s="12">
        <f t="shared" si="195"/>
        <v>1.2165450121655041E-3</v>
      </c>
      <c r="X1108" s="12">
        <f t="shared" si="196"/>
        <v>-6.0233985868179962E-3</v>
      </c>
      <c r="Y1108" s="12">
        <f t="shared" si="197"/>
        <v>-6.9989959246352651E-3</v>
      </c>
    </row>
    <row r="1109" spans="1:25" x14ac:dyDescent="0.35">
      <c r="A1109" s="6">
        <v>45737</v>
      </c>
      <c r="B1109" s="8">
        <v>5667.56</v>
      </c>
      <c r="C1109" s="2">
        <v>218.27</v>
      </c>
      <c r="D1109" s="2">
        <v>243.87</v>
      </c>
      <c r="E1109" s="2">
        <v>391.26</v>
      </c>
      <c r="F1109" s="2">
        <v>516.85</v>
      </c>
      <c r="G1109" s="2">
        <v>163.63</v>
      </c>
      <c r="H1109" s="2">
        <v>335.66</v>
      </c>
      <c r="I1109" s="2">
        <v>270.51</v>
      </c>
      <c r="J1109" s="2">
        <v>178.11</v>
      </c>
      <c r="K1109" s="2">
        <v>85.98</v>
      </c>
      <c r="L1109" s="2">
        <v>335.78</v>
      </c>
      <c r="M1109" s="64" t="s">
        <v>77</v>
      </c>
      <c r="N1109" s="1"/>
      <c r="O1109" s="12">
        <f t="shared" si="187"/>
        <v>8.2466726353502828E-4</v>
      </c>
      <c r="P1109" s="12">
        <f t="shared" si="188"/>
        <v>1.9476879962634364E-2</v>
      </c>
      <c r="Q1109" s="12">
        <f t="shared" si="189"/>
        <v>2.2603978300181904E-3</v>
      </c>
      <c r="R1109" s="12">
        <f t="shared" si="190"/>
        <v>1.1425912521972892E-2</v>
      </c>
      <c r="S1109" s="12">
        <f t="shared" si="191"/>
        <v>1.0854684138470683E-2</v>
      </c>
      <c r="T1109" s="12">
        <f t="shared" si="192"/>
        <v>3.7418721629247642E-3</v>
      </c>
      <c r="U1109" s="12">
        <f t="shared" si="193"/>
        <v>-1.1310751104565475E-2</v>
      </c>
      <c r="V1109" s="12">
        <f t="shared" si="194"/>
        <v>-1.181553003729241E-3</v>
      </c>
      <c r="W1109" s="12">
        <f t="shared" si="195"/>
        <v>3.0550251692414543E-2</v>
      </c>
      <c r="X1109" s="12">
        <f t="shared" si="196"/>
        <v>1.9811210814590918E-3</v>
      </c>
      <c r="Y1109" s="12">
        <f t="shared" si="197"/>
        <v>-1.397769516728653E-3</v>
      </c>
    </row>
    <row r="1110" spans="1:25" x14ac:dyDescent="0.35">
      <c r="A1110" s="6">
        <v>45740</v>
      </c>
      <c r="B1110" s="8">
        <v>5767.57</v>
      </c>
      <c r="C1110" s="2">
        <v>220.73</v>
      </c>
      <c r="D1110" s="2">
        <v>248.45</v>
      </c>
      <c r="E1110" s="2">
        <v>393.08</v>
      </c>
      <c r="F1110" s="2">
        <v>516.5</v>
      </c>
      <c r="G1110" s="2">
        <v>163.29</v>
      </c>
      <c r="H1110" s="2">
        <v>343.87</v>
      </c>
      <c r="I1110" s="2">
        <v>277.86</v>
      </c>
      <c r="J1110" s="2">
        <v>180.9</v>
      </c>
      <c r="K1110" s="2">
        <v>87.49</v>
      </c>
      <c r="L1110" s="2">
        <v>341.67</v>
      </c>
      <c r="M1110" s="64">
        <v>10.89</v>
      </c>
      <c r="N1110" s="1"/>
      <c r="O1110" s="12">
        <f t="shared" si="187"/>
        <v>1.7646041682840563E-2</v>
      </c>
      <c r="P1110" s="12">
        <f t="shared" si="188"/>
        <v>1.1270444861868123E-2</v>
      </c>
      <c r="Q1110" s="12">
        <f t="shared" si="189"/>
        <v>1.8780497806208052E-2</v>
      </c>
      <c r="R1110" s="12">
        <f t="shared" si="190"/>
        <v>4.6516382967847214E-3</v>
      </c>
      <c r="S1110" s="12">
        <f t="shared" si="191"/>
        <v>-6.7717906549291662E-4</v>
      </c>
      <c r="T1110" s="12">
        <f t="shared" si="192"/>
        <v>-2.0778585833893803E-3</v>
      </c>
      <c r="U1110" s="12">
        <f t="shared" si="193"/>
        <v>2.4459274265625774E-2</v>
      </c>
      <c r="V1110" s="12">
        <f t="shared" si="194"/>
        <v>2.7170899412221505E-2</v>
      </c>
      <c r="W1110" s="12">
        <f t="shared" si="195"/>
        <v>1.5664477008590083E-2</v>
      </c>
      <c r="X1110" s="12">
        <f t="shared" si="196"/>
        <v>1.7562223772970453E-2</v>
      </c>
      <c r="Y1110" s="12">
        <f t="shared" si="197"/>
        <v>1.7541247245220104E-2</v>
      </c>
    </row>
    <row r="1111" spans="1:25" x14ac:dyDescent="0.35">
      <c r="A1111" s="6">
        <v>45741</v>
      </c>
      <c r="B1111" s="8">
        <v>5776.65</v>
      </c>
      <c r="C1111" s="2">
        <v>223.75</v>
      </c>
      <c r="D1111" s="2">
        <v>249.9</v>
      </c>
      <c r="E1111" s="2">
        <v>395.16</v>
      </c>
      <c r="F1111" s="2">
        <v>513.42999999999995</v>
      </c>
      <c r="G1111" s="2">
        <v>161.02000000000001</v>
      </c>
      <c r="H1111" s="2">
        <v>344.62</v>
      </c>
      <c r="I1111" s="2">
        <v>279.27999999999997</v>
      </c>
      <c r="J1111" s="2">
        <v>182.59</v>
      </c>
      <c r="K1111" s="2">
        <v>84.76</v>
      </c>
      <c r="L1111" s="2">
        <v>342.62</v>
      </c>
      <c r="M1111" s="64" t="s">
        <v>77</v>
      </c>
      <c r="N1111" s="1"/>
      <c r="O1111" s="12">
        <f t="shared" si="187"/>
        <v>1.5743198608773046E-3</v>
      </c>
      <c r="P1111" s="12">
        <f t="shared" si="188"/>
        <v>1.3681873782449117E-2</v>
      </c>
      <c r="Q1111" s="12">
        <f t="shared" si="189"/>
        <v>5.8361843429262095E-3</v>
      </c>
      <c r="R1111" s="12">
        <f t="shared" si="190"/>
        <v>5.2915437061158421E-3</v>
      </c>
      <c r="S1111" s="12">
        <f t="shared" si="191"/>
        <v>-5.9438528557600456E-3</v>
      </c>
      <c r="T1111" s="12">
        <f t="shared" si="192"/>
        <v>-1.3901647375834325E-2</v>
      </c>
      <c r="U1111" s="12">
        <f t="shared" si="193"/>
        <v>2.1810567947189163E-3</v>
      </c>
      <c r="V1111" s="12">
        <f t="shared" si="194"/>
        <v>5.1104872957603575E-3</v>
      </c>
      <c r="W1111" s="12">
        <f t="shared" si="195"/>
        <v>9.3421779988944742E-3</v>
      </c>
      <c r="X1111" s="12">
        <f t="shared" si="196"/>
        <v>-3.1203566121842385E-2</v>
      </c>
      <c r="Y1111" s="12">
        <f t="shared" si="197"/>
        <v>2.7804606784322949E-3</v>
      </c>
    </row>
    <row r="1112" spans="1:25" x14ac:dyDescent="0.35">
      <c r="A1112" s="6">
        <v>45742</v>
      </c>
      <c r="B1112" s="8">
        <v>5712.2</v>
      </c>
      <c r="C1112" s="2">
        <v>221.53</v>
      </c>
      <c r="D1112" s="2">
        <v>250.34</v>
      </c>
      <c r="E1112" s="2">
        <v>389.97</v>
      </c>
      <c r="F1112" s="2">
        <v>518.20000000000005</v>
      </c>
      <c r="G1112" s="2">
        <v>161.72</v>
      </c>
      <c r="H1112" s="2">
        <v>344.18</v>
      </c>
      <c r="I1112" s="2">
        <v>276</v>
      </c>
      <c r="J1112" s="2">
        <v>178.55</v>
      </c>
      <c r="K1112" s="2">
        <v>85.21</v>
      </c>
      <c r="L1112" s="2">
        <v>341.11</v>
      </c>
      <c r="M1112" s="64" t="s">
        <v>77</v>
      </c>
      <c r="N1112" s="1"/>
      <c r="O1112" s="12">
        <f t="shared" si="187"/>
        <v>-1.115698545004451E-2</v>
      </c>
      <c r="P1112" s="12">
        <f t="shared" si="188"/>
        <v>-9.921787709497254E-3</v>
      </c>
      <c r="Q1112" s="12">
        <f t="shared" si="189"/>
        <v>1.7607042817127105E-3</v>
      </c>
      <c r="R1112" s="12">
        <f t="shared" si="190"/>
        <v>-1.3133920437291224E-2</v>
      </c>
      <c r="S1112" s="12">
        <f t="shared" si="191"/>
        <v>9.2904582903221566E-3</v>
      </c>
      <c r="T1112" s="12">
        <f t="shared" si="192"/>
        <v>4.3472860514222056E-3</v>
      </c>
      <c r="U1112" s="12">
        <f t="shared" si="193"/>
        <v>-1.2767686147060475E-3</v>
      </c>
      <c r="V1112" s="12">
        <f t="shared" si="194"/>
        <v>-1.174448582068166E-2</v>
      </c>
      <c r="W1112" s="12">
        <f t="shared" si="195"/>
        <v>-2.2126074812421237E-2</v>
      </c>
      <c r="X1112" s="12">
        <f t="shared" si="196"/>
        <v>5.3091080698441928E-3</v>
      </c>
      <c r="Y1112" s="12">
        <f t="shared" si="197"/>
        <v>-4.4072149903683355E-3</v>
      </c>
    </row>
    <row r="1113" spans="1:25" x14ac:dyDescent="0.35">
      <c r="A1113" s="6">
        <v>45743</v>
      </c>
      <c r="B1113" s="8">
        <v>5693.31</v>
      </c>
      <c r="C1113" s="2">
        <v>223.85</v>
      </c>
      <c r="D1113" s="2">
        <v>246.21</v>
      </c>
      <c r="E1113" s="2">
        <v>390.58</v>
      </c>
      <c r="F1113" s="2">
        <v>515.72</v>
      </c>
      <c r="G1113" s="2">
        <v>163.13</v>
      </c>
      <c r="H1113" s="2">
        <v>349.86</v>
      </c>
      <c r="I1113" s="2">
        <v>272.02</v>
      </c>
      <c r="J1113" s="2">
        <v>179.11</v>
      </c>
      <c r="K1113" s="2">
        <v>85.63</v>
      </c>
      <c r="L1113" s="2">
        <v>339.3</v>
      </c>
      <c r="M1113" s="64" t="s">
        <v>77</v>
      </c>
      <c r="N1113" s="1"/>
      <c r="O1113" s="12">
        <f t="shared" si="187"/>
        <v>-3.3069570393192693E-3</v>
      </c>
      <c r="P1113" s="12">
        <f t="shared" si="188"/>
        <v>1.047262221820966E-2</v>
      </c>
      <c r="Q1113" s="12">
        <f t="shared" si="189"/>
        <v>-1.6497563313893071E-2</v>
      </c>
      <c r="R1113" s="12">
        <f t="shared" si="190"/>
        <v>1.5642228889400922E-3</v>
      </c>
      <c r="S1113" s="12">
        <f t="shared" si="191"/>
        <v>-4.7857969895793717E-3</v>
      </c>
      <c r="T1113" s="12">
        <f t="shared" si="192"/>
        <v>8.7187731882265584E-3</v>
      </c>
      <c r="U1113" s="12">
        <f t="shared" si="193"/>
        <v>1.6502992620140544E-2</v>
      </c>
      <c r="V1113" s="12">
        <f t="shared" si="194"/>
        <v>-1.4420289855072488E-2</v>
      </c>
      <c r="W1113" s="12">
        <f t="shared" si="195"/>
        <v>3.1363763651637289E-3</v>
      </c>
      <c r="X1113" s="12">
        <f t="shared" si="196"/>
        <v>4.928998943785956E-3</v>
      </c>
      <c r="Y1113" s="12">
        <f t="shared" si="197"/>
        <v>-5.3062062091407958E-3</v>
      </c>
    </row>
    <row r="1114" spans="1:25" x14ac:dyDescent="0.35">
      <c r="A1114" s="6">
        <v>45744</v>
      </c>
      <c r="B1114" s="8">
        <v>5580.94</v>
      </c>
      <c r="C1114" s="2">
        <v>217.9</v>
      </c>
      <c r="D1114" s="2">
        <v>244</v>
      </c>
      <c r="E1114" s="2">
        <v>378.8</v>
      </c>
      <c r="F1114" s="2">
        <v>516.04</v>
      </c>
      <c r="G1114" s="2">
        <v>163.71</v>
      </c>
      <c r="H1114" s="2">
        <v>342.85</v>
      </c>
      <c r="I1114" s="2">
        <v>265.48</v>
      </c>
      <c r="J1114" s="2">
        <v>173.31</v>
      </c>
      <c r="K1114" s="2">
        <v>85.15</v>
      </c>
      <c r="L1114" s="2">
        <v>329.69</v>
      </c>
      <c r="M1114" s="64" t="s">
        <v>77</v>
      </c>
      <c r="N1114" s="1"/>
      <c r="O1114" s="12">
        <f t="shared" si="187"/>
        <v>-1.9737200328104554E-2</v>
      </c>
      <c r="P1114" s="12">
        <f t="shared" si="188"/>
        <v>-2.6580299307571997E-2</v>
      </c>
      <c r="Q1114" s="12">
        <f t="shared" si="189"/>
        <v>-8.9760773323586118E-3</v>
      </c>
      <c r="R1114" s="12">
        <f t="shared" si="190"/>
        <v>-3.0160274463618131E-2</v>
      </c>
      <c r="S1114" s="12">
        <f t="shared" si="191"/>
        <v>6.2049173970368798E-4</v>
      </c>
      <c r="T1114" s="12">
        <f t="shared" si="192"/>
        <v>3.5554465763503185E-3</v>
      </c>
      <c r="U1114" s="12">
        <f t="shared" si="193"/>
        <v>-2.0036586062996631E-2</v>
      </c>
      <c r="V1114" s="12">
        <f t="shared" si="194"/>
        <v>-2.4042349827218423E-2</v>
      </c>
      <c r="W1114" s="12">
        <f t="shared" si="195"/>
        <v>-3.2382334878008012E-2</v>
      </c>
      <c r="X1114" s="12">
        <f t="shared" si="196"/>
        <v>-5.6055120868853114E-3</v>
      </c>
      <c r="Y1114" s="12">
        <f t="shared" si="197"/>
        <v>-2.8323017978190479E-2</v>
      </c>
    </row>
    <row r="1115" spans="1:25" x14ac:dyDescent="0.35">
      <c r="A1115" s="6">
        <v>45747</v>
      </c>
      <c r="B1115" s="8">
        <v>5611.85</v>
      </c>
      <c r="C1115" s="2">
        <v>222.13</v>
      </c>
      <c r="D1115" s="2">
        <v>248.66</v>
      </c>
      <c r="E1115" s="2">
        <v>375.39</v>
      </c>
      <c r="F1115" s="2">
        <v>523.75</v>
      </c>
      <c r="G1115" s="2">
        <v>165.84</v>
      </c>
      <c r="H1115" s="2">
        <v>350.46</v>
      </c>
      <c r="I1115" s="2">
        <v>269.05</v>
      </c>
      <c r="J1115" s="2">
        <v>170.55</v>
      </c>
      <c r="K1115" s="2">
        <v>87.79</v>
      </c>
      <c r="L1115" s="2">
        <v>329.8</v>
      </c>
      <c r="M1115" s="64">
        <v>10.87</v>
      </c>
      <c r="N1115" s="1"/>
      <c r="O1115" s="12">
        <f t="shared" si="187"/>
        <v>5.5384935154294546E-3</v>
      </c>
      <c r="P1115" s="12">
        <f t="shared" si="188"/>
        <v>1.9412574575493391E-2</v>
      </c>
      <c r="Q1115" s="12">
        <f t="shared" si="189"/>
        <v>1.9098360655737778E-2</v>
      </c>
      <c r="R1115" s="12">
        <f t="shared" si="190"/>
        <v>-9.0021119324181775E-3</v>
      </c>
      <c r="S1115" s="12">
        <f t="shared" si="191"/>
        <v>1.4940702271141859E-2</v>
      </c>
      <c r="T1115" s="12">
        <f t="shared" si="192"/>
        <v>1.3010811801356104E-2</v>
      </c>
      <c r="U1115" s="12">
        <f t="shared" si="193"/>
        <v>2.2196295756161444E-2</v>
      </c>
      <c r="V1115" s="12">
        <f t="shared" si="194"/>
        <v>1.3447340665963425E-2</v>
      </c>
      <c r="W1115" s="12">
        <f t="shared" si="195"/>
        <v>-1.5925220702786902E-2</v>
      </c>
      <c r="X1115" s="12">
        <f t="shared" si="196"/>
        <v>3.1004110393423323E-2</v>
      </c>
      <c r="Y1115" s="12">
        <f t="shared" si="197"/>
        <v>3.3364675907665564E-4</v>
      </c>
    </row>
    <row r="1116" spans="1:25" x14ac:dyDescent="0.35">
      <c r="A1116" s="6">
        <v>45748</v>
      </c>
      <c r="B1116" s="8">
        <v>5633.07</v>
      </c>
      <c r="C1116" s="2">
        <v>223.19</v>
      </c>
      <c r="D1116" s="2">
        <v>250.34</v>
      </c>
      <c r="E1116" s="2">
        <v>382.19</v>
      </c>
      <c r="F1116" s="2">
        <v>523.12</v>
      </c>
      <c r="G1116" s="2">
        <v>153.25</v>
      </c>
      <c r="H1116" s="2">
        <v>346.35</v>
      </c>
      <c r="I1116" s="2">
        <v>270.48</v>
      </c>
      <c r="J1116" s="2">
        <v>168.17</v>
      </c>
      <c r="K1116" s="2">
        <v>88.83</v>
      </c>
      <c r="L1116" s="2">
        <v>330.57</v>
      </c>
      <c r="M1116" s="64" t="s">
        <v>77</v>
      </c>
      <c r="N1116" s="1"/>
      <c r="O1116" s="12">
        <f t="shared" si="187"/>
        <v>3.7812842467277452E-3</v>
      </c>
      <c r="P1116" s="12">
        <f t="shared" si="188"/>
        <v>4.7719803718542231E-3</v>
      </c>
      <c r="Q1116" s="12">
        <f t="shared" si="189"/>
        <v>6.7562133033056693E-3</v>
      </c>
      <c r="R1116" s="12">
        <f t="shared" si="190"/>
        <v>1.8114494259303671E-2</v>
      </c>
      <c r="S1116" s="12">
        <f t="shared" si="191"/>
        <v>-1.2028639618137937E-3</v>
      </c>
      <c r="T1116" s="12">
        <f t="shared" si="192"/>
        <v>-7.5916546068499735E-2</v>
      </c>
      <c r="U1116" s="12">
        <f t="shared" si="193"/>
        <v>-1.1727443930833692E-2</v>
      </c>
      <c r="V1116" s="12">
        <f t="shared" si="194"/>
        <v>5.3149972124140188E-3</v>
      </c>
      <c r="W1116" s="12">
        <f t="shared" si="195"/>
        <v>-1.395485194957502E-2</v>
      </c>
      <c r="X1116" s="12">
        <f t="shared" si="196"/>
        <v>1.1846451759881527E-2</v>
      </c>
      <c r="Y1116" s="12">
        <f t="shared" si="197"/>
        <v>2.3347483323226115E-3</v>
      </c>
    </row>
    <row r="1117" spans="1:25" x14ac:dyDescent="0.35">
      <c r="A1117" s="6">
        <v>45749</v>
      </c>
      <c r="B1117" s="8">
        <v>5670.97</v>
      </c>
      <c r="C1117" s="2">
        <v>223.89</v>
      </c>
      <c r="D1117" s="2">
        <v>249.98</v>
      </c>
      <c r="E1117" s="2">
        <v>382.14</v>
      </c>
      <c r="F1117" s="2">
        <v>523.20000000000005</v>
      </c>
      <c r="G1117" s="2">
        <v>155.36000000000001</v>
      </c>
      <c r="H1117" s="2">
        <v>346.33</v>
      </c>
      <c r="I1117" s="2">
        <v>275.25</v>
      </c>
      <c r="J1117" s="2">
        <v>168.56</v>
      </c>
      <c r="K1117" s="2">
        <v>89.76</v>
      </c>
      <c r="L1117" s="2">
        <v>334.66</v>
      </c>
      <c r="M1117" s="64" t="s">
        <v>77</v>
      </c>
      <c r="N1117" s="1"/>
      <c r="O1117" s="12">
        <f t="shared" si="187"/>
        <v>6.7281251608803938E-3</v>
      </c>
      <c r="P1117" s="12">
        <f t="shared" si="188"/>
        <v>3.1363412339262542E-3</v>
      </c>
      <c r="Q1117" s="12">
        <f t="shared" si="189"/>
        <v>-1.4380442598067589E-3</v>
      </c>
      <c r="R1117" s="12">
        <f t="shared" si="190"/>
        <v>-1.3082498233862871E-4</v>
      </c>
      <c r="S1117" s="12">
        <f t="shared" si="191"/>
        <v>1.5292858235205209E-4</v>
      </c>
      <c r="T1117" s="12">
        <f t="shared" si="192"/>
        <v>1.3768352365416181E-2</v>
      </c>
      <c r="U1117" s="12">
        <f t="shared" si="193"/>
        <v>-5.7745055579760951E-5</v>
      </c>
      <c r="V1117" s="12">
        <f t="shared" si="194"/>
        <v>1.7635314995563478E-2</v>
      </c>
      <c r="W1117" s="12">
        <f t="shared" si="195"/>
        <v>2.3190818814295966E-3</v>
      </c>
      <c r="X1117" s="12">
        <f t="shared" si="196"/>
        <v>1.0469436001350862E-2</v>
      </c>
      <c r="Y1117" s="12">
        <f t="shared" si="197"/>
        <v>1.2372568593641331E-2</v>
      </c>
    </row>
    <row r="1118" spans="1:25" x14ac:dyDescent="0.35">
      <c r="A1118" s="6">
        <v>45750</v>
      </c>
      <c r="B1118" s="8">
        <v>5396.52</v>
      </c>
      <c r="C1118" s="2">
        <v>203.19</v>
      </c>
      <c r="D1118" s="2">
        <v>243.49</v>
      </c>
      <c r="E1118" s="2">
        <v>373.11</v>
      </c>
      <c r="F1118" s="2">
        <v>540.44000000000005</v>
      </c>
      <c r="G1118" s="2">
        <v>159.82</v>
      </c>
      <c r="H1118" s="2">
        <v>339.39</v>
      </c>
      <c r="I1118" s="2">
        <v>247.82</v>
      </c>
      <c r="J1118" s="2">
        <v>150.91</v>
      </c>
      <c r="K1118" s="2">
        <v>87.26</v>
      </c>
      <c r="L1118" s="2">
        <v>305.76</v>
      </c>
      <c r="M1118" s="64" t="s">
        <v>77</v>
      </c>
      <c r="N1118" s="1"/>
      <c r="O1118" s="12">
        <f t="shared" si="187"/>
        <v>-4.839560075260485E-2</v>
      </c>
      <c r="P1118" s="12">
        <f t="shared" si="188"/>
        <v>-9.2456116843092517E-2</v>
      </c>
      <c r="Q1118" s="12">
        <f t="shared" si="189"/>
        <v>-2.5962076966157266E-2</v>
      </c>
      <c r="R1118" s="12">
        <f t="shared" si="190"/>
        <v>-2.3630083215575359E-2</v>
      </c>
      <c r="S1118" s="12">
        <f t="shared" si="191"/>
        <v>3.2951070336391552E-2</v>
      </c>
      <c r="T1118" s="12">
        <f t="shared" si="192"/>
        <v>2.870751802265703E-2</v>
      </c>
      <c r="U1118" s="12">
        <f t="shared" si="193"/>
        <v>-2.0038691421476629E-2</v>
      </c>
      <c r="V1118" s="12">
        <f t="shared" si="194"/>
        <v>-9.9654859218891945E-2</v>
      </c>
      <c r="W1118" s="12">
        <f t="shared" si="195"/>
        <v>-0.10471048884670153</v>
      </c>
      <c r="X1118" s="12">
        <f t="shared" si="196"/>
        <v>-2.7852049910873422E-2</v>
      </c>
      <c r="Y1118" s="12">
        <f t="shared" si="197"/>
        <v>-8.6356301918364964E-2</v>
      </c>
    </row>
    <row r="1119" spans="1:25" x14ac:dyDescent="0.35">
      <c r="A1119" s="6">
        <v>45751</v>
      </c>
      <c r="B1119" s="8">
        <v>5074.08</v>
      </c>
      <c r="C1119" s="2">
        <v>188.38</v>
      </c>
      <c r="D1119" s="2">
        <v>227.48</v>
      </c>
      <c r="E1119" s="2">
        <v>359.84</v>
      </c>
      <c r="F1119" s="2">
        <v>525.04999999999995</v>
      </c>
      <c r="G1119" s="2">
        <v>153.24</v>
      </c>
      <c r="H1119" s="2">
        <v>313.13</v>
      </c>
      <c r="I1119" s="2">
        <v>233.68</v>
      </c>
      <c r="J1119" s="2">
        <v>136.59</v>
      </c>
      <c r="K1119" s="2">
        <v>83.19</v>
      </c>
      <c r="L1119" s="2">
        <v>288.08</v>
      </c>
      <c r="M1119" s="64" t="s">
        <v>77</v>
      </c>
      <c r="N1119" s="1"/>
      <c r="O1119" s="12">
        <f t="shared" si="187"/>
        <v>-5.9749616419470408E-2</v>
      </c>
      <c r="P1119" s="12">
        <f t="shared" si="188"/>
        <v>-7.2887445248289828E-2</v>
      </c>
      <c r="Q1119" s="12">
        <f t="shared" si="189"/>
        <v>-6.5752186948129343E-2</v>
      </c>
      <c r="R1119" s="12">
        <f t="shared" si="190"/>
        <v>-3.5565918897912274E-2</v>
      </c>
      <c r="S1119" s="12">
        <f t="shared" si="191"/>
        <v>-2.8476796684183459E-2</v>
      </c>
      <c r="T1119" s="12">
        <f t="shared" si="192"/>
        <v>-4.1171317732448864E-2</v>
      </c>
      <c r="U1119" s="12">
        <f t="shared" si="193"/>
        <v>-7.737411237809011E-2</v>
      </c>
      <c r="V1119" s="12">
        <f t="shared" si="194"/>
        <v>-5.705754176418365E-2</v>
      </c>
      <c r="W1119" s="12">
        <f t="shared" si="195"/>
        <v>-9.4890994632562453E-2</v>
      </c>
      <c r="X1119" s="12">
        <f t="shared" si="196"/>
        <v>-4.6642218656887557E-2</v>
      </c>
      <c r="Y1119" s="12">
        <f t="shared" si="197"/>
        <v>-5.7823129251700744E-2</v>
      </c>
    </row>
    <row r="1120" spans="1:25" x14ac:dyDescent="0.35">
      <c r="A1120" s="6">
        <v>45754</v>
      </c>
      <c r="B1120" s="8">
        <v>5062.25</v>
      </c>
      <c r="C1120" s="2">
        <v>181.46</v>
      </c>
      <c r="D1120" s="2">
        <v>225.78</v>
      </c>
      <c r="E1120" s="2">
        <v>357.86</v>
      </c>
      <c r="F1120" s="2">
        <v>524.70000000000005</v>
      </c>
      <c r="G1120" s="2">
        <v>150.62</v>
      </c>
      <c r="H1120" s="2">
        <v>312.32</v>
      </c>
      <c r="I1120" s="2">
        <v>234.28</v>
      </c>
      <c r="J1120" s="2">
        <v>138.86000000000001</v>
      </c>
      <c r="K1120" s="2">
        <v>83.83</v>
      </c>
      <c r="L1120" s="2">
        <v>280.06</v>
      </c>
      <c r="M1120" s="64">
        <v>10.97</v>
      </c>
      <c r="N1120" s="1"/>
      <c r="O1120" s="12">
        <f t="shared" si="187"/>
        <v>-2.3314571311449095E-3</v>
      </c>
      <c r="P1120" s="12">
        <f t="shared" si="188"/>
        <v>-3.673426053721196E-2</v>
      </c>
      <c r="Q1120" s="12">
        <f t="shared" si="189"/>
        <v>-7.4731844557762717E-3</v>
      </c>
      <c r="R1120" s="12">
        <f t="shared" si="190"/>
        <v>-5.5024455313471554E-3</v>
      </c>
      <c r="S1120" s="12">
        <f t="shared" si="191"/>
        <v>-6.6660318064926116E-4</v>
      </c>
      <c r="T1120" s="12">
        <f t="shared" si="192"/>
        <v>-1.7097363612633809E-2</v>
      </c>
      <c r="U1120" s="12">
        <f t="shared" si="193"/>
        <v>-2.5867850413566762E-3</v>
      </c>
      <c r="V1120" s="12">
        <f t="shared" si="194"/>
        <v>2.567613830879889E-3</v>
      </c>
      <c r="W1120" s="12">
        <f t="shared" si="195"/>
        <v>1.6619078995534053E-2</v>
      </c>
      <c r="X1120" s="12">
        <f t="shared" si="196"/>
        <v>7.693232359658575E-3</v>
      </c>
      <c r="Y1120" s="12">
        <f t="shared" si="197"/>
        <v>-2.7839489030824671E-2</v>
      </c>
    </row>
    <row r="1121" spans="1:25" x14ac:dyDescent="0.35">
      <c r="A1121" s="6">
        <v>45755</v>
      </c>
      <c r="B1121" s="8">
        <v>4982.7700000000004</v>
      </c>
      <c r="C1121" s="2">
        <v>172.42</v>
      </c>
      <c r="D1121" s="2">
        <v>221.03</v>
      </c>
      <c r="E1121" s="2">
        <v>354.56</v>
      </c>
      <c r="F1121" s="2">
        <v>553.08000000000004</v>
      </c>
      <c r="G1121" s="2">
        <v>150</v>
      </c>
      <c r="H1121" s="2">
        <v>308.27</v>
      </c>
      <c r="I1121" s="2">
        <v>231.39</v>
      </c>
      <c r="J1121" s="2">
        <v>139.38999999999999</v>
      </c>
      <c r="K1121" s="2">
        <v>81.790000000000006</v>
      </c>
      <c r="L1121" s="2">
        <v>273.94</v>
      </c>
      <c r="M1121" s="64" t="s">
        <v>77</v>
      </c>
      <c r="N1121" s="1"/>
      <c r="O1121" s="12">
        <f t="shared" si="187"/>
        <v>-1.5700528421156545E-2</v>
      </c>
      <c r="P1121" s="12">
        <f t="shared" si="188"/>
        <v>-4.9818141739226385E-2</v>
      </c>
      <c r="Q1121" s="12">
        <f t="shared" si="189"/>
        <v>-2.1038178758083115E-2</v>
      </c>
      <c r="R1121" s="12">
        <f t="shared" si="190"/>
        <v>-9.2214832616107634E-3</v>
      </c>
      <c r="S1121" s="12">
        <f t="shared" si="191"/>
        <v>5.4088050314465397E-2</v>
      </c>
      <c r="T1121" s="12">
        <f t="shared" si="192"/>
        <v>-4.1163192139158644E-3</v>
      </c>
      <c r="U1121" s="12">
        <f t="shared" si="193"/>
        <v>-1.2967469262295084E-2</v>
      </c>
      <c r="V1121" s="12">
        <f t="shared" si="194"/>
        <v>-1.2335666723578664E-2</v>
      </c>
      <c r="W1121" s="12">
        <f t="shared" si="195"/>
        <v>3.8167938931294998E-3</v>
      </c>
      <c r="X1121" s="12">
        <f t="shared" si="196"/>
        <v>-2.4334963616843508E-2</v>
      </c>
      <c r="Y1121" s="12">
        <f t="shared" si="197"/>
        <v>-2.185246018710274E-2</v>
      </c>
    </row>
    <row r="1122" spans="1:25" x14ac:dyDescent="0.35">
      <c r="A1122" s="6">
        <v>45756</v>
      </c>
      <c r="B1122" s="8">
        <v>5456.9</v>
      </c>
      <c r="C1122" s="2">
        <v>198.85</v>
      </c>
      <c r="D1122" s="2">
        <v>235.31</v>
      </c>
      <c r="E1122" s="2">
        <v>390.49</v>
      </c>
      <c r="F1122" s="2">
        <v>578.5</v>
      </c>
      <c r="G1122" s="2">
        <v>150.97</v>
      </c>
      <c r="H1122" s="2">
        <v>332.43</v>
      </c>
      <c r="I1122" s="2">
        <v>262.36</v>
      </c>
      <c r="J1122" s="2">
        <v>160.82</v>
      </c>
      <c r="K1122" s="2">
        <v>89.6</v>
      </c>
      <c r="L1122" s="2">
        <v>301.01</v>
      </c>
      <c r="M1122" s="64" t="s">
        <v>77</v>
      </c>
      <c r="N1122" s="1"/>
      <c r="O1122" s="12">
        <f t="shared" si="187"/>
        <v>9.5153900340573472E-2</v>
      </c>
      <c r="P1122" s="12">
        <f t="shared" si="188"/>
        <v>0.15328848161466202</v>
      </c>
      <c r="Q1122" s="12">
        <f t="shared" si="189"/>
        <v>6.4606614486721226E-2</v>
      </c>
      <c r="R1122" s="12">
        <f t="shared" si="190"/>
        <v>0.10133686823104693</v>
      </c>
      <c r="S1122" s="12">
        <f t="shared" si="191"/>
        <v>4.596080133072955E-2</v>
      </c>
      <c r="T1122" s="12">
        <f t="shared" si="192"/>
        <v>6.4666666666666206E-3</v>
      </c>
      <c r="U1122" s="12">
        <f t="shared" si="193"/>
        <v>7.8372854964803729E-2</v>
      </c>
      <c r="V1122" s="12">
        <f t="shared" si="194"/>
        <v>0.13384329487013291</v>
      </c>
      <c r="W1122" s="12">
        <f t="shared" si="195"/>
        <v>0.15374130138460451</v>
      </c>
      <c r="X1122" s="12">
        <f t="shared" si="196"/>
        <v>9.5488446020295825E-2</v>
      </c>
      <c r="Y1122" s="12">
        <f t="shared" si="197"/>
        <v>9.8817259253851208E-2</v>
      </c>
    </row>
    <row r="1123" spans="1:25" x14ac:dyDescent="0.35">
      <c r="A1123" s="6">
        <v>45757</v>
      </c>
      <c r="B1123" s="8">
        <v>5268.05</v>
      </c>
      <c r="C1123" s="2">
        <v>190.42</v>
      </c>
      <c r="D1123" s="2">
        <v>229.55</v>
      </c>
      <c r="E1123" s="2">
        <v>381.35</v>
      </c>
      <c r="F1123" s="2">
        <v>594.4</v>
      </c>
      <c r="G1123" s="2">
        <v>148.69</v>
      </c>
      <c r="H1123" s="2">
        <v>324.61</v>
      </c>
      <c r="I1123" s="2">
        <v>246.89</v>
      </c>
      <c r="J1123" s="2">
        <v>155.52000000000001</v>
      </c>
      <c r="K1123" s="2">
        <v>90.61</v>
      </c>
      <c r="L1123" s="2">
        <v>289.16000000000003</v>
      </c>
      <c r="M1123" s="64" t="s">
        <v>77</v>
      </c>
      <c r="N1123" s="1"/>
      <c r="O1123" s="12">
        <f t="shared" si="187"/>
        <v>-3.4607561069471604E-2</v>
      </c>
      <c r="P1123" s="12">
        <f t="shared" si="188"/>
        <v>-4.2393764143827006E-2</v>
      </c>
      <c r="Q1123" s="12">
        <f t="shared" si="189"/>
        <v>-2.4478347711529458E-2</v>
      </c>
      <c r="R1123" s="12">
        <f t="shared" si="190"/>
        <v>-2.3406489282696064E-2</v>
      </c>
      <c r="S1123" s="12">
        <f t="shared" si="191"/>
        <v>2.7484874675885784E-2</v>
      </c>
      <c r="T1123" s="12">
        <f t="shared" si="192"/>
        <v>-1.5102338212889976E-2</v>
      </c>
      <c r="U1123" s="12">
        <f t="shared" si="193"/>
        <v>-2.3523749360767621E-2</v>
      </c>
      <c r="V1123" s="12">
        <f t="shared" si="194"/>
        <v>-5.8964781216648943E-2</v>
      </c>
      <c r="W1123" s="12">
        <f t="shared" si="195"/>
        <v>-3.2956099987563658E-2</v>
      </c>
      <c r="X1123" s="12">
        <f t="shared" si="196"/>
        <v>1.1272321428571486E-2</v>
      </c>
      <c r="Y1123" s="12">
        <f t="shared" si="197"/>
        <v>-3.936746287498738E-2</v>
      </c>
    </row>
    <row r="1124" spans="1:25" x14ac:dyDescent="0.35">
      <c r="A1124" s="6">
        <v>45758</v>
      </c>
      <c r="B1124" s="8">
        <v>5363.36</v>
      </c>
      <c r="C1124" s="2">
        <v>198.15</v>
      </c>
      <c r="D1124" s="2">
        <v>235.48</v>
      </c>
      <c r="E1124" s="2">
        <v>388.45</v>
      </c>
      <c r="F1124" s="2">
        <v>599.47</v>
      </c>
      <c r="G1124" s="2">
        <v>151.72999999999999</v>
      </c>
      <c r="H1124" s="2">
        <v>333.4</v>
      </c>
      <c r="I1124" s="2">
        <v>251.13</v>
      </c>
      <c r="J1124" s="2">
        <v>156.84</v>
      </c>
      <c r="K1124" s="2">
        <v>92.8</v>
      </c>
      <c r="L1124" s="2">
        <v>293.45</v>
      </c>
      <c r="M1124" s="64" t="s">
        <v>77</v>
      </c>
      <c r="N1124" s="1"/>
      <c r="O1124" s="12">
        <f t="shared" si="187"/>
        <v>1.8092083408471682E-2</v>
      </c>
      <c r="P1124" s="12">
        <f t="shared" si="188"/>
        <v>4.0594475370234306E-2</v>
      </c>
      <c r="Q1124" s="12">
        <f t="shared" si="189"/>
        <v>2.5833151818775768E-2</v>
      </c>
      <c r="R1124" s="12">
        <f t="shared" si="190"/>
        <v>1.8618067392159432E-2</v>
      </c>
      <c r="S1124" s="12">
        <f t="shared" si="191"/>
        <v>8.5296096904441399E-3</v>
      </c>
      <c r="T1124" s="12">
        <f t="shared" si="192"/>
        <v>2.0445221601990582E-2</v>
      </c>
      <c r="U1124" s="12">
        <f t="shared" si="193"/>
        <v>2.7078648224022617E-2</v>
      </c>
      <c r="V1124" s="12">
        <f t="shared" si="194"/>
        <v>1.7173640082627895E-2</v>
      </c>
      <c r="W1124" s="12">
        <f t="shared" si="195"/>
        <v>8.4876543209875255E-3</v>
      </c>
      <c r="X1124" s="12">
        <f t="shared" si="196"/>
        <v>2.4169517713276578E-2</v>
      </c>
      <c r="Y1124" s="12">
        <f t="shared" si="197"/>
        <v>1.4836076912435825E-2</v>
      </c>
    </row>
    <row r="1125" spans="1:25" x14ac:dyDescent="0.35">
      <c r="A1125" s="6">
        <v>45761</v>
      </c>
      <c r="B1125" s="8">
        <v>5405.97</v>
      </c>
      <c r="C1125" s="2">
        <v>202.52</v>
      </c>
      <c r="D1125" s="2">
        <v>239.06</v>
      </c>
      <c r="E1125" s="2">
        <v>387.81</v>
      </c>
      <c r="F1125" s="2">
        <v>587.05999999999995</v>
      </c>
      <c r="G1125" s="2">
        <v>154.36000000000001</v>
      </c>
      <c r="H1125" s="2">
        <v>335.18</v>
      </c>
      <c r="I1125" s="2">
        <v>255.38</v>
      </c>
      <c r="J1125" s="2">
        <v>159.28</v>
      </c>
      <c r="K1125" s="2">
        <v>94.73</v>
      </c>
      <c r="L1125" s="2">
        <v>298.12</v>
      </c>
      <c r="M1125" s="64">
        <v>10.86</v>
      </c>
      <c r="N1125" s="1"/>
      <c r="O1125" s="12">
        <f t="shared" si="187"/>
        <v>7.9446466394201831E-3</v>
      </c>
      <c r="P1125" s="12">
        <f t="shared" si="188"/>
        <v>2.2053999495331933E-2</v>
      </c>
      <c r="Q1125" s="12">
        <f t="shared" si="189"/>
        <v>1.5202989638185782E-2</v>
      </c>
      <c r="R1125" s="12">
        <f t="shared" si="190"/>
        <v>-1.6475736903075466E-3</v>
      </c>
      <c r="S1125" s="12">
        <f t="shared" si="191"/>
        <v>-2.0701619764125101E-2</v>
      </c>
      <c r="T1125" s="12">
        <f t="shared" si="192"/>
        <v>1.7333421208726163E-2</v>
      </c>
      <c r="U1125" s="12">
        <f t="shared" si="193"/>
        <v>5.3389322135573014E-3</v>
      </c>
      <c r="V1125" s="12">
        <f t="shared" si="194"/>
        <v>1.6923505753992041E-2</v>
      </c>
      <c r="W1125" s="12">
        <f t="shared" si="195"/>
        <v>1.555725580209133E-2</v>
      </c>
      <c r="X1125" s="12">
        <f t="shared" si="196"/>
        <v>2.0797413793103514E-2</v>
      </c>
      <c r="Y1125" s="12">
        <f t="shared" si="197"/>
        <v>1.5914125063895002E-2</v>
      </c>
    </row>
    <row r="1126" spans="1:25" x14ac:dyDescent="0.35">
      <c r="A1126" s="6">
        <v>45762</v>
      </c>
      <c r="B1126" s="8">
        <v>5396.63</v>
      </c>
      <c r="C1126" s="2">
        <v>202.14</v>
      </c>
      <c r="D1126" s="2">
        <v>240.7</v>
      </c>
      <c r="E1126" s="2">
        <v>385.73</v>
      </c>
      <c r="F1126" s="2">
        <v>583.59</v>
      </c>
      <c r="G1126" s="2">
        <v>153.62</v>
      </c>
      <c r="H1126" s="2">
        <v>335.81</v>
      </c>
      <c r="I1126" s="2">
        <v>257.86</v>
      </c>
      <c r="J1126" s="2">
        <v>155.52000000000001</v>
      </c>
      <c r="K1126" s="2">
        <v>93.97</v>
      </c>
      <c r="L1126" s="2">
        <v>293.43</v>
      </c>
      <c r="M1126" s="64" t="s">
        <v>77</v>
      </c>
      <c r="N1126" s="1"/>
      <c r="O1126" s="12">
        <f t="shared" si="187"/>
        <v>-1.7277195396940837E-3</v>
      </c>
      <c r="P1126" s="12">
        <f t="shared" si="188"/>
        <v>-1.8763578905788281E-3</v>
      </c>
      <c r="Q1126" s="12">
        <f t="shared" si="189"/>
        <v>6.8602024596335909E-3</v>
      </c>
      <c r="R1126" s="12">
        <f t="shared" si="190"/>
        <v>-5.363451174544176E-3</v>
      </c>
      <c r="S1126" s="12">
        <f t="shared" si="191"/>
        <v>-5.910809797976202E-3</v>
      </c>
      <c r="T1126" s="12">
        <f t="shared" si="192"/>
        <v>-4.7939880798134604E-3</v>
      </c>
      <c r="U1126" s="12">
        <f t="shared" si="193"/>
        <v>1.8795870875349951E-3</v>
      </c>
      <c r="V1126" s="12">
        <f t="shared" si="194"/>
        <v>9.7110188738351866E-3</v>
      </c>
      <c r="W1126" s="12">
        <f t="shared" si="195"/>
        <v>-2.3606228026117448E-2</v>
      </c>
      <c r="X1126" s="12">
        <f t="shared" si="196"/>
        <v>-8.0228016467857044E-3</v>
      </c>
      <c r="Y1126" s="12">
        <f t="shared" si="197"/>
        <v>-1.5731920032201807E-2</v>
      </c>
    </row>
    <row r="1127" spans="1:25" x14ac:dyDescent="0.35">
      <c r="A1127" s="6">
        <v>45763</v>
      </c>
      <c r="B1127" s="8">
        <v>5275.7</v>
      </c>
      <c r="C1127" s="2">
        <v>194.27</v>
      </c>
      <c r="D1127" s="2">
        <v>238.57</v>
      </c>
      <c r="E1127" s="2">
        <v>371.61</v>
      </c>
      <c r="F1127" s="2">
        <v>585.04</v>
      </c>
      <c r="G1127" s="2">
        <v>153.91</v>
      </c>
      <c r="H1127" s="2">
        <v>331.33</v>
      </c>
      <c r="I1127" s="2">
        <v>252.92</v>
      </c>
      <c r="J1127" s="2">
        <v>156.47</v>
      </c>
      <c r="K1127" s="2">
        <v>91.19</v>
      </c>
      <c r="L1127" s="2">
        <v>290.14</v>
      </c>
      <c r="M1127" s="64" t="s">
        <v>77</v>
      </c>
      <c r="N1127" s="1"/>
      <c r="O1127" s="12">
        <f t="shared" si="187"/>
        <v>-2.2408428964001637E-2</v>
      </c>
      <c r="P1127" s="12">
        <f t="shared" si="188"/>
        <v>-3.893341248639548E-2</v>
      </c>
      <c r="Q1127" s="12">
        <f t="shared" si="189"/>
        <v>-8.8491898628998422E-3</v>
      </c>
      <c r="R1127" s="12">
        <f t="shared" si="190"/>
        <v>-3.6605916055271859E-2</v>
      </c>
      <c r="S1127" s="12">
        <f t="shared" si="191"/>
        <v>2.4846210524511747E-3</v>
      </c>
      <c r="T1127" s="12">
        <f t="shared" si="192"/>
        <v>1.8877750292929374E-3</v>
      </c>
      <c r="U1127" s="12">
        <f t="shared" si="193"/>
        <v>-1.3340877281796337E-2</v>
      </c>
      <c r="V1127" s="12">
        <f t="shared" si="194"/>
        <v>-1.9157682463352255E-2</v>
      </c>
      <c r="W1127" s="12">
        <f t="shared" si="195"/>
        <v>6.108539094650034E-3</v>
      </c>
      <c r="X1127" s="12">
        <f t="shared" si="196"/>
        <v>-2.9583909758433502E-2</v>
      </c>
      <c r="Y1127" s="12">
        <f t="shared" si="197"/>
        <v>-1.1212214156698486E-2</v>
      </c>
    </row>
    <row r="1128" spans="1:25" x14ac:dyDescent="0.35">
      <c r="A1128" s="6">
        <v>45764</v>
      </c>
      <c r="B1128" s="8">
        <v>5282.7</v>
      </c>
      <c r="C1128" s="2">
        <v>196.98</v>
      </c>
      <c r="D1128" s="2">
        <v>238.81</v>
      </c>
      <c r="E1128" s="2">
        <v>367.78</v>
      </c>
      <c r="F1128" s="2">
        <v>454.11</v>
      </c>
      <c r="G1128" s="2">
        <v>157.47</v>
      </c>
      <c r="H1128" s="2">
        <v>329.61</v>
      </c>
      <c r="I1128" s="2">
        <v>251.31</v>
      </c>
      <c r="J1128" s="2">
        <v>161.9</v>
      </c>
      <c r="K1128" s="2">
        <v>93.22</v>
      </c>
      <c r="L1128" s="2">
        <v>294.25</v>
      </c>
      <c r="M1128" s="64" t="s">
        <v>77</v>
      </c>
      <c r="N1128" s="1"/>
      <c r="O1128" s="12">
        <f t="shared" si="187"/>
        <v>1.3268381447011368E-3</v>
      </c>
      <c r="P1128" s="12">
        <f t="shared" si="188"/>
        <v>1.3949657692901463E-2</v>
      </c>
      <c r="Q1128" s="12">
        <f t="shared" si="189"/>
        <v>1.005994047868608E-3</v>
      </c>
      <c r="R1128" s="12">
        <f t="shared" si="190"/>
        <v>-1.0306504130674687E-2</v>
      </c>
      <c r="S1128" s="12">
        <f t="shared" si="191"/>
        <v>-0.22379666347600158</v>
      </c>
      <c r="T1128" s="12">
        <f t="shared" si="192"/>
        <v>2.3130400883633273E-2</v>
      </c>
      <c r="U1128" s="12">
        <f t="shared" si="193"/>
        <v>-5.191199106630795E-3</v>
      </c>
      <c r="V1128" s="12">
        <f t="shared" si="194"/>
        <v>-6.3656492171436652E-3</v>
      </c>
      <c r="W1128" s="12">
        <f t="shared" si="195"/>
        <v>3.4703137981721754E-2</v>
      </c>
      <c r="X1128" s="12">
        <f t="shared" si="196"/>
        <v>2.2261212852286549E-2</v>
      </c>
      <c r="Y1128" s="12">
        <f t="shared" si="197"/>
        <v>1.4165575239539541E-2</v>
      </c>
    </row>
    <row r="1129" spans="1:25" x14ac:dyDescent="0.35">
      <c r="A1129" s="6">
        <v>45768</v>
      </c>
      <c r="B1129" s="8">
        <v>5158.2</v>
      </c>
      <c r="C1129" s="2">
        <v>193.16</v>
      </c>
      <c r="D1129" s="2">
        <v>236.22</v>
      </c>
      <c r="E1129" s="2">
        <v>359.12</v>
      </c>
      <c r="F1129" s="2">
        <v>425.33</v>
      </c>
      <c r="G1129" s="2">
        <v>156.91999999999999</v>
      </c>
      <c r="H1129" s="2">
        <v>320.10000000000002</v>
      </c>
      <c r="I1129" s="2">
        <v>242.51</v>
      </c>
      <c r="J1129" s="2">
        <v>159.34</v>
      </c>
      <c r="K1129" s="2">
        <v>92.41</v>
      </c>
      <c r="L1129" s="2">
        <v>284.74</v>
      </c>
      <c r="M1129" s="64" t="s">
        <v>77</v>
      </c>
      <c r="N1129" s="1"/>
      <c r="O1129" s="12">
        <f t="shared" si="187"/>
        <v>-2.3567493895167213E-2</v>
      </c>
      <c r="P1129" s="12">
        <f t="shared" si="188"/>
        <v>-1.9392831759569518E-2</v>
      </c>
      <c r="Q1129" s="12">
        <f t="shared" si="189"/>
        <v>-1.0845441983166504E-2</v>
      </c>
      <c r="R1129" s="12">
        <f t="shared" si="190"/>
        <v>-2.3546685518516464E-2</v>
      </c>
      <c r="S1129" s="12">
        <f t="shared" si="191"/>
        <v>-6.3376714892867447E-2</v>
      </c>
      <c r="T1129" s="12">
        <f t="shared" si="192"/>
        <v>-3.4927287737347434E-3</v>
      </c>
      <c r="U1129" s="12">
        <f t="shared" si="193"/>
        <v>-2.885227996723394E-2</v>
      </c>
      <c r="V1129" s="12">
        <f t="shared" si="194"/>
        <v>-3.5016513469420252E-2</v>
      </c>
      <c r="W1129" s="12">
        <f t="shared" si="195"/>
        <v>-1.5812229771463904E-2</v>
      </c>
      <c r="X1129" s="12">
        <f t="shared" si="196"/>
        <v>-8.6891225059000377E-3</v>
      </c>
      <c r="Y1129" s="12">
        <f t="shared" si="197"/>
        <v>-3.2319456244689904E-2</v>
      </c>
    </row>
    <row r="1130" spans="1:25" x14ac:dyDescent="0.35">
      <c r="A1130" s="6">
        <v>45769</v>
      </c>
      <c r="B1130" s="8">
        <v>5287.76</v>
      </c>
      <c r="C1130" s="2">
        <v>199.74</v>
      </c>
      <c r="D1130" s="2">
        <v>240.9</v>
      </c>
      <c r="E1130" s="2">
        <v>366.82</v>
      </c>
      <c r="F1130" s="2">
        <v>427.18</v>
      </c>
      <c r="G1130" s="2">
        <v>157.75</v>
      </c>
      <c r="H1130" s="2">
        <v>331.4</v>
      </c>
      <c r="I1130" s="2">
        <v>252.42</v>
      </c>
      <c r="J1130" s="2">
        <v>162.52000000000001</v>
      </c>
      <c r="K1130" s="2">
        <v>94.85</v>
      </c>
      <c r="L1130" s="2">
        <v>291.17</v>
      </c>
      <c r="M1130" s="64">
        <v>10.65</v>
      </c>
      <c r="N1130" s="1"/>
      <c r="O1130" s="12">
        <f t="shared" si="187"/>
        <v>2.511728897677501E-2</v>
      </c>
      <c r="P1130" s="12">
        <f t="shared" si="188"/>
        <v>3.406502381445442E-2</v>
      </c>
      <c r="Q1130" s="12">
        <f t="shared" si="189"/>
        <v>1.9812039624079292E-2</v>
      </c>
      <c r="R1130" s="12">
        <f t="shared" si="190"/>
        <v>2.1441300957897091E-2</v>
      </c>
      <c r="S1130" s="12">
        <f t="shared" si="191"/>
        <v>4.3495638680555171E-3</v>
      </c>
      <c r="T1130" s="12">
        <f t="shared" si="192"/>
        <v>5.2893193984195896E-3</v>
      </c>
      <c r="U1130" s="12">
        <f t="shared" si="193"/>
        <v>3.5301468291158766E-2</v>
      </c>
      <c r="V1130" s="12">
        <f t="shared" si="194"/>
        <v>4.0864294255906985E-2</v>
      </c>
      <c r="W1130" s="12">
        <f t="shared" si="195"/>
        <v>1.9957323961340645E-2</v>
      </c>
      <c r="X1130" s="12">
        <f t="shared" si="196"/>
        <v>2.6404068823720372E-2</v>
      </c>
      <c r="Y1130" s="12">
        <f t="shared" si="197"/>
        <v>2.2582004635808062E-2</v>
      </c>
    </row>
    <row r="1131" spans="1:25" x14ac:dyDescent="0.35">
      <c r="A1131" s="6">
        <v>45770</v>
      </c>
      <c r="B1131" s="8">
        <v>5375.86</v>
      </c>
      <c r="C1131" s="2">
        <v>204.6</v>
      </c>
      <c r="D1131" s="2">
        <v>245.48</v>
      </c>
      <c r="E1131" s="2">
        <v>374.39</v>
      </c>
      <c r="F1131" s="2">
        <v>427.96</v>
      </c>
      <c r="G1131" s="2">
        <v>155.38</v>
      </c>
      <c r="H1131" s="2">
        <v>334.37</v>
      </c>
      <c r="I1131" s="2">
        <v>260.14</v>
      </c>
      <c r="J1131" s="2">
        <v>172.37</v>
      </c>
      <c r="K1131" s="2">
        <v>94.96</v>
      </c>
      <c r="L1131" s="2">
        <v>295.77</v>
      </c>
      <c r="M1131" s="64" t="s">
        <v>77</v>
      </c>
      <c r="N1131" s="1"/>
      <c r="O1131" s="12">
        <f t="shared" si="187"/>
        <v>1.6661119264111734E-2</v>
      </c>
      <c r="P1131" s="12">
        <f t="shared" si="188"/>
        <v>2.4331631120456443E-2</v>
      </c>
      <c r="Q1131" s="12">
        <f t="shared" si="189"/>
        <v>1.9012038190120206E-2</v>
      </c>
      <c r="R1131" s="12">
        <f t="shared" si="190"/>
        <v>2.063682460062144E-2</v>
      </c>
      <c r="S1131" s="12">
        <f t="shared" si="191"/>
        <v>1.8259281801582539E-3</v>
      </c>
      <c r="T1131" s="12">
        <f t="shared" si="192"/>
        <v>-1.5023771790808271E-2</v>
      </c>
      <c r="U1131" s="12">
        <f t="shared" si="193"/>
        <v>8.9619794809898679E-3</v>
      </c>
      <c r="V1131" s="12">
        <f t="shared" si="194"/>
        <v>3.0583947389271948E-2</v>
      </c>
      <c r="W1131" s="12">
        <f t="shared" si="195"/>
        <v>6.0607925178439492E-2</v>
      </c>
      <c r="X1131" s="12">
        <f t="shared" si="196"/>
        <v>1.1597258829731949E-3</v>
      </c>
      <c r="Y1131" s="12">
        <f t="shared" si="197"/>
        <v>1.5798330871999111E-2</v>
      </c>
    </row>
    <row r="1132" spans="1:25" x14ac:dyDescent="0.35">
      <c r="A1132" s="6">
        <v>45771</v>
      </c>
      <c r="B1132" s="8">
        <v>5484.77</v>
      </c>
      <c r="C1132" s="2">
        <v>208.37</v>
      </c>
      <c r="D1132" s="2">
        <v>229.33</v>
      </c>
      <c r="E1132" s="2">
        <v>387.3</v>
      </c>
      <c r="F1132" s="2">
        <v>424.25</v>
      </c>
      <c r="G1132" s="2">
        <v>154.93</v>
      </c>
      <c r="H1132" s="2">
        <v>335.71</v>
      </c>
      <c r="I1132" s="2">
        <v>267.32</v>
      </c>
      <c r="J1132" s="2">
        <v>176.26</v>
      </c>
      <c r="K1132" s="2">
        <v>95.84</v>
      </c>
      <c r="L1132" s="2">
        <v>306.86</v>
      </c>
      <c r="M1132" s="64" t="s">
        <v>77</v>
      </c>
      <c r="N1132" s="1"/>
      <c r="O1132" s="12">
        <f t="shared" si="187"/>
        <v>2.025908412793509E-2</v>
      </c>
      <c r="P1132" s="12">
        <f t="shared" si="188"/>
        <v>1.842619745845564E-2</v>
      </c>
      <c r="Q1132" s="12">
        <f t="shared" si="189"/>
        <v>-6.5789473684210398E-2</v>
      </c>
      <c r="R1132" s="12">
        <f t="shared" si="190"/>
        <v>3.4482758620689724E-2</v>
      </c>
      <c r="S1132" s="12">
        <f t="shared" si="191"/>
        <v>-8.6690344892045301E-3</v>
      </c>
      <c r="T1132" s="12">
        <f t="shared" si="192"/>
        <v>-2.8961256274938618E-3</v>
      </c>
      <c r="U1132" s="12">
        <f t="shared" si="193"/>
        <v>4.0075365612943781E-3</v>
      </c>
      <c r="V1132" s="12">
        <f t="shared" si="194"/>
        <v>2.7600522795417914E-2</v>
      </c>
      <c r="W1132" s="12">
        <f t="shared" si="195"/>
        <v>2.2567732203979673E-2</v>
      </c>
      <c r="X1132" s="12">
        <f t="shared" si="196"/>
        <v>9.2670598146589178E-3</v>
      </c>
      <c r="Y1132" s="12">
        <f t="shared" si="197"/>
        <v>3.7495351117422526E-2</v>
      </c>
    </row>
    <row r="1133" spans="1:25" x14ac:dyDescent="0.35">
      <c r="A1133" s="6">
        <v>45772</v>
      </c>
      <c r="B1133" s="8">
        <v>5525.21</v>
      </c>
      <c r="C1133" s="2">
        <v>209.28</v>
      </c>
      <c r="D1133" s="2">
        <v>232.41</v>
      </c>
      <c r="E1133" s="2">
        <v>391.85</v>
      </c>
      <c r="F1133" s="2">
        <v>418.64</v>
      </c>
      <c r="G1133" s="2">
        <v>154.58000000000001</v>
      </c>
      <c r="H1133" s="2">
        <v>335.17</v>
      </c>
      <c r="I1133" s="2">
        <v>264.81</v>
      </c>
      <c r="J1133" s="2">
        <v>177.95</v>
      </c>
      <c r="K1133" s="2">
        <v>95.09</v>
      </c>
      <c r="L1133" s="2">
        <v>306.45</v>
      </c>
      <c r="M1133" s="64" t="s">
        <v>77</v>
      </c>
      <c r="N1133" s="1"/>
      <c r="O1133" s="12">
        <f t="shared" si="187"/>
        <v>7.3731441792452834E-3</v>
      </c>
      <c r="P1133" s="12">
        <f t="shared" si="188"/>
        <v>4.367231367279345E-3</v>
      </c>
      <c r="Q1133" s="12">
        <f t="shared" si="189"/>
        <v>1.3430427767845421E-2</v>
      </c>
      <c r="R1133" s="12">
        <f t="shared" si="190"/>
        <v>1.1747998967208906E-2</v>
      </c>
      <c r="S1133" s="12">
        <f t="shared" si="191"/>
        <v>-1.3223335297584016E-2</v>
      </c>
      <c r="T1133" s="12">
        <f t="shared" si="192"/>
        <v>-2.2590847479506682E-3</v>
      </c>
      <c r="U1133" s="12">
        <f t="shared" si="193"/>
        <v>-1.6085311727382923E-3</v>
      </c>
      <c r="V1133" s="12">
        <f t="shared" si="194"/>
        <v>-9.3894957354481168E-3</v>
      </c>
      <c r="W1133" s="12">
        <f t="shared" si="195"/>
        <v>9.5881084761149094E-3</v>
      </c>
      <c r="X1133" s="12">
        <f t="shared" si="196"/>
        <v>-7.8255425709515825E-3</v>
      </c>
      <c r="Y1133" s="12">
        <f t="shared" si="197"/>
        <v>-1.3361141888810213E-3</v>
      </c>
    </row>
    <row r="1134" spans="1:25" x14ac:dyDescent="0.35">
      <c r="A1134" s="6">
        <v>45775</v>
      </c>
      <c r="B1134" s="8">
        <v>5528.75</v>
      </c>
      <c r="C1134" s="2">
        <v>210.14</v>
      </c>
      <c r="D1134" s="2">
        <v>236.16</v>
      </c>
      <c r="E1134" s="2">
        <v>391.16</v>
      </c>
      <c r="F1134" s="2">
        <v>420</v>
      </c>
      <c r="G1134" s="2">
        <v>155.35</v>
      </c>
      <c r="H1134" s="2">
        <v>337.51</v>
      </c>
      <c r="I1134" s="2">
        <v>264.95</v>
      </c>
      <c r="J1134" s="2">
        <v>182.3</v>
      </c>
      <c r="K1134" s="2">
        <v>95.22</v>
      </c>
      <c r="L1134" s="2">
        <v>307.06</v>
      </c>
      <c r="M1134" s="64" t="s">
        <v>77</v>
      </c>
      <c r="N1134" s="1"/>
      <c r="O1134" s="12">
        <f t="shared" si="187"/>
        <v>6.4069962951629478E-4</v>
      </c>
      <c r="P1134" s="12">
        <f t="shared" si="188"/>
        <v>4.1093272171253137E-3</v>
      </c>
      <c r="Q1134" s="12">
        <f t="shared" si="189"/>
        <v>1.6135278172195733E-2</v>
      </c>
      <c r="R1134" s="12">
        <f t="shared" si="190"/>
        <v>-1.7608778869465658E-3</v>
      </c>
      <c r="S1134" s="12">
        <f t="shared" si="191"/>
        <v>3.248614561436991E-3</v>
      </c>
      <c r="T1134" s="12">
        <f t="shared" si="192"/>
        <v>4.9812394876438404E-3</v>
      </c>
      <c r="U1134" s="12">
        <f t="shared" si="193"/>
        <v>6.9815317600023796E-3</v>
      </c>
      <c r="V1134" s="12">
        <f t="shared" si="194"/>
        <v>5.2868094105207319E-4</v>
      </c>
      <c r="W1134" s="12">
        <f t="shared" si="195"/>
        <v>2.4445068839561879E-2</v>
      </c>
      <c r="X1134" s="12">
        <f t="shared" si="196"/>
        <v>1.3671258807446129E-3</v>
      </c>
      <c r="Y1134" s="12">
        <f t="shared" si="197"/>
        <v>1.9905367922989914E-3</v>
      </c>
    </row>
    <row r="1135" spans="1:25" x14ac:dyDescent="0.35">
      <c r="A1135" s="6">
        <v>45776</v>
      </c>
      <c r="B1135" s="8">
        <v>5560.83</v>
      </c>
      <c r="C1135" s="2">
        <v>211.21</v>
      </c>
      <c r="D1135" s="2">
        <v>239.39</v>
      </c>
      <c r="E1135" s="2">
        <v>394.04</v>
      </c>
      <c r="F1135" s="2">
        <v>409.23</v>
      </c>
      <c r="G1135" s="2">
        <v>155.91</v>
      </c>
      <c r="H1135" s="2">
        <v>341.52</v>
      </c>
      <c r="I1135" s="2">
        <v>267.02</v>
      </c>
      <c r="J1135" s="2">
        <v>182</v>
      </c>
      <c r="K1135" s="2">
        <v>96.04</v>
      </c>
      <c r="L1135" s="2">
        <v>307.39999999999998</v>
      </c>
      <c r="M1135" s="64">
        <v>10.65</v>
      </c>
      <c r="N1135" s="1"/>
      <c r="O1135" s="12">
        <f t="shared" si="187"/>
        <v>5.8023965634184105E-3</v>
      </c>
      <c r="P1135" s="12">
        <f t="shared" si="188"/>
        <v>5.0918435328828338E-3</v>
      </c>
      <c r="Q1135" s="12">
        <f t="shared" si="189"/>
        <v>1.3677168021680064E-2</v>
      </c>
      <c r="R1135" s="12">
        <f t="shared" si="190"/>
        <v>7.3627160241334089E-3</v>
      </c>
      <c r="S1135" s="12">
        <f t="shared" si="191"/>
        <v>-2.5642857142857078E-2</v>
      </c>
      <c r="T1135" s="12">
        <f t="shared" si="192"/>
        <v>3.6047634373994608E-3</v>
      </c>
      <c r="U1135" s="12">
        <f t="shared" si="193"/>
        <v>1.1881129448016337E-2</v>
      </c>
      <c r="V1135" s="12">
        <f t="shared" si="194"/>
        <v>7.8127948669559633E-3</v>
      </c>
      <c r="W1135" s="12">
        <f t="shared" si="195"/>
        <v>-1.645639056500392E-3</v>
      </c>
      <c r="X1135" s="12">
        <f t="shared" si="196"/>
        <v>8.6116362108801248E-3</v>
      </c>
      <c r="Y1135" s="12">
        <f t="shared" si="197"/>
        <v>1.1072754510519367E-3</v>
      </c>
    </row>
    <row r="1136" spans="1:25" x14ac:dyDescent="0.35">
      <c r="A1136" s="6">
        <v>45777</v>
      </c>
      <c r="B1136" s="8">
        <v>5569.06</v>
      </c>
      <c r="C1136" s="2">
        <v>212.5</v>
      </c>
      <c r="D1136" s="2">
        <v>241.82</v>
      </c>
      <c r="E1136" s="2">
        <v>395.26</v>
      </c>
      <c r="F1136" s="2">
        <v>411.44</v>
      </c>
      <c r="G1136" s="2">
        <v>156.31</v>
      </c>
      <c r="H1136" s="2">
        <v>345.5</v>
      </c>
      <c r="I1136" s="2">
        <v>266.41000000000003</v>
      </c>
      <c r="J1136" s="2">
        <v>183.24</v>
      </c>
      <c r="K1136" s="2">
        <v>97.25</v>
      </c>
      <c r="L1136" s="2">
        <v>309.27</v>
      </c>
      <c r="M1136" s="64" t="s">
        <v>77</v>
      </c>
      <c r="N1136" s="1"/>
      <c r="O1136" s="12">
        <f t="shared" si="187"/>
        <v>1.4799948928487794E-3</v>
      </c>
      <c r="P1136" s="12">
        <f t="shared" si="188"/>
        <v>6.1076653567539996E-3</v>
      </c>
      <c r="Q1136" s="12">
        <f t="shared" si="189"/>
        <v>1.0150799949872669E-2</v>
      </c>
      <c r="R1136" s="12">
        <f t="shared" si="190"/>
        <v>3.0961323723479595E-3</v>
      </c>
      <c r="S1136" s="12">
        <f t="shared" si="191"/>
        <v>5.4003860909512813E-3</v>
      </c>
      <c r="T1136" s="12">
        <f t="shared" si="192"/>
        <v>2.5655827079726912E-3</v>
      </c>
      <c r="U1136" s="12">
        <f t="shared" si="193"/>
        <v>1.1653783087374192E-2</v>
      </c>
      <c r="V1136" s="12">
        <f t="shared" si="194"/>
        <v>-2.2844730731779173E-3</v>
      </c>
      <c r="W1136" s="12">
        <f t="shared" si="195"/>
        <v>6.8131868131868778E-3</v>
      </c>
      <c r="X1136" s="12">
        <f t="shared" si="196"/>
        <v>1.2598917117867536E-2</v>
      </c>
      <c r="Y1136" s="12">
        <f t="shared" si="197"/>
        <v>6.08327911515949E-3</v>
      </c>
    </row>
    <row r="1137" spans="1:25" x14ac:dyDescent="0.35">
      <c r="A1137" s="6">
        <v>45778</v>
      </c>
      <c r="B1137" s="8">
        <v>5604.14</v>
      </c>
      <c r="C1137" s="2">
        <v>213.32</v>
      </c>
      <c r="D1137" s="2">
        <v>239.66</v>
      </c>
      <c r="E1137" s="2">
        <v>425.4</v>
      </c>
      <c r="F1137" s="2">
        <v>400.68</v>
      </c>
      <c r="G1137" s="2">
        <v>154.46</v>
      </c>
      <c r="H1137" s="2">
        <v>342.45</v>
      </c>
      <c r="I1137" s="2">
        <v>268.54000000000002</v>
      </c>
      <c r="J1137" s="2">
        <v>182.89</v>
      </c>
      <c r="K1137" s="2">
        <v>97.41</v>
      </c>
      <c r="L1137" s="2">
        <v>313.95999999999998</v>
      </c>
      <c r="M1137" s="64" t="s">
        <v>77</v>
      </c>
      <c r="N1137" s="1"/>
      <c r="O1137" s="12">
        <f t="shared" si="187"/>
        <v>6.2990881764606321E-3</v>
      </c>
      <c r="P1137" s="12">
        <f t="shared" si="188"/>
        <v>3.8588235294116924E-3</v>
      </c>
      <c r="Q1137" s="12">
        <f t="shared" si="189"/>
        <v>-8.9322636671904654E-3</v>
      </c>
      <c r="R1137" s="12">
        <f t="shared" si="190"/>
        <v>7.6253605221879184E-2</v>
      </c>
      <c r="S1137" s="12">
        <f t="shared" si="191"/>
        <v>-2.6152051331907455E-2</v>
      </c>
      <c r="T1137" s="12">
        <f t="shared" si="192"/>
        <v>-1.1835455185208898E-2</v>
      </c>
      <c r="U1137" s="12">
        <f t="shared" si="193"/>
        <v>-8.8277858176556423E-3</v>
      </c>
      <c r="V1137" s="12">
        <f t="shared" si="194"/>
        <v>7.9951953755490468E-3</v>
      </c>
      <c r="W1137" s="12">
        <f t="shared" si="195"/>
        <v>-1.9100633049553561E-3</v>
      </c>
      <c r="X1137" s="12">
        <f t="shared" si="196"/>
        <v>1.6452442159382574E-3</v>
      </c>
      <c r="Y1137" s="12">
        <f t="shared" si="197"/>
        <v>1.5164742781388352E-2</v>
      </c>
    </row>
    <row r="1138" spans="1:25" x14ac:dyDescent="0.35">
      <c r="A1138" s="6">
        <v>45779</v>
      </c>
      <c r="B1138" s="8">
        <v>5686.67</v>
      </c>
      <c r="C1138" s="2">
        <v>205.35</v>
      </c>
      <c r="D1138" s="2">
        <v>245.55</v>
      </c>
      <c r="E1138" s="2">
        <v>435.28</v>
      </c>
      <c r="F1138" s="2">
        <v>399.92</v>
      </c>
      <c r="G1138" s="2">
        <v>156.12</v>
      </c>
      <c r="H1138" s="2">
        <v>347.6</v>
      </c>
      <c r="I1138" s="2">
        <v>276.85000000000002</v>
      </c>
      <c r="J1138" s="2">
        <v>185.46</v>
      </c>
      <c r="K1138" s="2">
        <v>98.75</v>
      </c>
      <c r="L1138" s="2">
        <v>323.68</v>
      </c>
      <c r="M1138" s="64" t="s">
        <v>77</v>
      </c>
      <c r="N1138" s="1"/>
      <c r="O1138" s="12">
        <f t="shared" si="187"/>
        <v>1.4726612825518126E-2</v>
      </c>
      <c r="P1138" s="12">
        <f t="shared" si="188"/>
        <v>-3.7361710106881718E-2</v>
      </c>
      <c r="Q1138" s="12">
        <f t="shared" si="189"/>
        <v>2.4576483351414602E-2</v>
      </c>
      <c r="R1138" s="12">
        <f t="shared" si="190"/>
        <v>2.322519981194171E-2</v>
      </c>
      <c r="S1138" s="12">
        <f t="shared" si="191"/>
        <v>-1.8967754816811011E-3</v>
      </c>
      <c r="T1138" s="12">
        <f t="shared" si="192"/>
        <v>1.0747118995209082E-2</v>
      </c>
      <c r="U1138" s="12">
        <f t="shared" si="193"/>
        <v>1.5038691779821978E-2</v>
      </c>
      <c r="V1138" s="12">
        <f t="shared" si="194"/>
        <v>3.094511059804872E-2</v>
      </c>
      <c r="W1138" s="12">
        <f t="shared" si="195"/>
        <v>1.4052162502050436E-2</v>
      </c>
      <c r="X1138" s="12">
        <f t="shared" si="196"/>
        <v>1.3756287855456462E-2</v>
      </c>
      <c r="Y1138" s="12">
        <f t="shared" si="197"/>
        <v>3.0959357879984717E-2</v>
      </c>
    </row>
    <row r="1139" spans="1:25" x14ac:dyDescent="0.35">
      <c r="A1139" s="6">
        <v>45782</v>
      </c>
      <c r="B1139" s="8">
        <v>5650.38</v>
      </c>
      <c r="C1139" s="2">
        <v>198.89</v>
      </c>
      <c r="D1139" s="2">
        <v>249.18</v>
      </c>
      <c r="E1139" s="2">
        <v>436.17</v>
      </c>
      <c r="F1139" s="2">
        <v>404.81</v>
      </c>
      <c r="G1139" s="2">
        <v>155</v>
      </c>
      <c r="H1139" s="2">
        <v>348.64</v>
      </c>
      <c r="I1139" s="2">
        <v>278.02999999999997</v>
      </c>
      <c r="J1139" s="2">
        <v>186.46</v>
      </c>
      <c r="K1139" s="2">
        <v>99.33</v>
      </c>
      <c r="L1139" s="2">
        <v>323.11</v>
      </c>
      <c r="M1139" s="64" t="s">
        <v>77</v>
      </c>
      <c r="N1139" s="1"/>
      <c r="O1139" s="12">
        <f t="shared" si="187"/>
        <v>-6.3815906321273985E-3</v>
      </c>
      <c r="P1139" s="12">
        <f t="shared" si="188"/>
        <v>-3.1458485512539602E-2</v>
      </c>
      <c r="Q1139" s="12">
        <f t="shared" si="189"/>
        <v>1.4783139890042651E-2</v>
      </c>
      <c r="R1139" s="12">
        <f t="shared" si="190"/>
        <v>2.0446609079214362E-3</v>
      </c>
      <c r="S1139" s="12">
        <f t="shared" si="191"/>
        <v>1.2227445489097821E-2</v>
      </c>
      <c r="T1139" s="12">
        <f t="shared" si="192"/>
        <v>-7.1739687419933862E-3</v>
      </c>
      <c r="U1139" s="12">
        <f t="shared" si="193"/>
        <v>2.9919447640964769E-3</v>
      </c>
      <c r="V1139" s="12">
        <f t="shared" si="194"/>
        <v>4.2622358677981698E-3</v>
      </c>
      <c r="W1139" s="12">
        <f t="shared" si="195"/>
        <v>5.3919982745604944E-3</v>
      </c>
      <c r="X1139" s="12">
        <f t="shared" si="196"/>
        <v>5.8734177215189476E-3</v>
      </c>
      <c r="Y1139" s="12">
        <f t="shared" si="197"/>
        <v>-1.7609985170539133E-3</v>
      </c>
    </row>
    <row r="1140" spans="1:25" x14ac:dyDescent="0.35">
      <c r="A1140" s="6">
        <v>45783</v>
      </c>
      <c r="B1140" s="8">
        <v>5606.91</v>
      </c>
      <c r="C1140" s="2">
        <v>198.51</v>
      </c>
      <c r="D1140" s="2">
        <v>249.12</v>
      </c>
      <c r="E1140" s="2">
        <v>433.31</v>
      </c>
      <c r="F1140" s="2">
        <v>394.51</v>
      </c>
      <c r="G1140" s="2">
        <v>154.47</v>
      </c>
      <c r="H1140" s="2">
        <v>347.7</v>
      </c>
      <c r="I1140" s="2">
        <v>275.37</v>
      </c>
      <c r="J1140" s="2">
        <v>185.96</v>
      </c>
      <c r="K1140" s="2">
        <v>98.55</v>
      </c>
      <c r="L1140" s="2">
        <v>320.89</v>
      </c>
      <c r="M1140" s="64">
        <v>10.65</v>
      </c>
      <c r="N1140" s="1"/>
      <c r="O1140" s="12">
        <f t="shared" si="187"/>
        <v>-7.6932878850626274E-3</v>
      </c>
      <c r="P1140" s="12">
        <f t="shared" si="188"/>
        <v>-1.9106038513750923E-3</v>
      </c>
      <c r="Q1140" s="12">
        <f t="shared" si="189"/>
        <v>-2.407897905128964E-4</v>
      </c>
      <c r="R1140" s="12">
        <f t="shared" si="190"/>
        <v>-6.5570763693055811E-3</v>
      </c>
      <c r="S1140" s="12">
        <f t="shared" si="191"/>
        <v>-2.5444035473431992E-2</v>
      </c>
      <c r="T1140" s="12">
        <f t="shared" si="192"/>
        <v>-3.4193548387096984E-3</v>
      </c>
      <c r="U1140" s="12">
        <f t="shared" si="193"/>
        <v>-2.696190913263008E-3</v>
      </c>
      <c r="V1140" s="12">
        <f t="shared" si="194"/>
        <v>-9.5673128799049767E-3</v>
      </c>
      <c r="W1140" s="12">
        <f t="shared" si="195"/>
        <v>-2.6815402767349505E-3</v>
      </c>
      <c r="X1140" s="12">
        <f t="shared" si="196"/>
        <v>-7.8526125037753358E-3</v>
      </c>
      <c r="Y1140" s="12">
        <f t="shared" si="197"/>
        <v>-6.8707251400452751E-3</v>
      </c>
    </row>
    <row r="1141" spans="1:25" x14ac:dyDescent="0.35">
      <c r="A1141" s="6">
        <v>45784</v>
      </c>
      <c r="B1141" s="8">
        <v>5631.28</v>
      </c>
      <c r="C1141" s="2">
        <v>196.25</v>
      </c>
      <c r="D1141" s="2">
        <v>253.37</v>
      </c>
      <c r="E1141" s="2">
        <v>433.35</v>
      </c>
      <c r="F1141" s="2">
        <v>391.06</v>
      </c>
      <c r="G1141" s="2">
        <v>157.30000000000001</v>
      </c>
      <c r="H1141" s="2">
        <v>349.85</v>
      </c>
      <c r="I1141" s="2">
        <v>276.24</v>
      </c>
      <c r="J1141" s="2">
        <v>185.56</v>
      </c>
      <c r="K1141" s="2">
        <v>98.83</v>
      </c>
      <c r="L1141" s="2">
        <v>320.29000000000002</v>
      </c>
      <c r="M1141" s="64" t="s">
        <v>77</v>
      </c>
      <c r="N1141" s="1"/>
      <c r="O1141" s="12">
        <f t="shared" si="187"/>
        <v>4.3464225393308187E-3</v>
      </c>
      <c r="P1141" s="12">
        <f t="shared" si="188"/>
        <v>-1.1384816885799176E-2</v>
      </c>
      <c r="Q1141" s="12">
        <f t="shared" si="189"/>
        <v>1.706005138086053E-2</v>
      </c>
      <c r="R1141" s="12">
        <f t="shared" si="190"/>
        <v>9.2312662989701977E-5</v>
      </c>
      <c r="S1141" s="12">
        <f t="shared" si="191"/>
        <v>-8.7450254746394007E-3</v>
      </c>
      <c r="T1141" s="12">
        <f t="shared" si="192"/>
        <v>1.8320709522884782E-2</v>
      </c>
      <c r="U1141" s="12">
        <f t="shared" si="193"/>
        <v>6.183491515674433E-3</v>
      </c>
      <c r="V1141" s="12">
        <f t="shared" si="194"/>
        <v>3.159385553981986E-3</v>
      </c>
      <c r="W1141" s="12">
        <f t="shared" si="195"/>
        <v>-2.1510002151000629E-3</v>
      </c>
      <c r="X1141" s="12">
        <f t="shared" si="196"/>
        <v>2.8411973617452624E-3</v>
      </c>
      <c r="Y1141" s="12">
        <f t="shared" si="197"/>
        <v>-1.8697996198072664E-3</v>
      </c>
    </row>
    <row r="1142" spans="1:25" x14ac:dyDescent="0.35">
      <c r="A1142" s="6">
        <v>45785</v>
      </c>
      <c r="B1142" s="8">
        <v>5663.94</v>
      </c>
      <c r="C1142" s="2">
        <v>197.49</v>
      </c>
      <c r="D1142" s="2">
        <v>254.14</v>
      </c>
      <c r="E1142" s="2">
        <v>438.17</v>
      </c>
      <c r="F1142" s="2">
        <v>385.55</v>
      </c>
      <c r="G1142" s="2">
        <v>155.66</v>
      </c>
      <c r="H1142" s="2">
        <v>351.27</v>
      </c>
      <c r="I1142" s="2">
        <v>283.66000000000003</v>
      </c>
      <c r="J1142" s="2">
        <v>191.7</v>
      </c>
      <c r="K1142" s="2">
        <v>97.43</v>
      </c>
      <c r="L1142" s="2">
        <v>324.25</v>
      </c>
      <c r="M1142" s="64" t="s">
        <v>77</v>
      </c>
      <c r="N1142" s="1"/>
      <c r="O1142" s="12">
        <f t="shared" si="187"/>
        <v>5.7997471267632328E-3</v>
      </c>
      <c r="P1142" s="12">
        <f t="shared" si="188"/>
        <v>6.3184713375796786E-3</v>
      </c>
      <c r="Q1142" s="12">
        <f t="shared" si="189"/>
        <v>3.0390338240517956E-3</v>
      </c>
      <c r="R1142" s="12">
        <f t="shared" si="190"/>
        <v>1.1122649128879614E-2</v>
      </c>
      <c r="S1142" s="12">
        <f t="shared" si="191"/>
        <v>-1.408990947680655E-2</v>
      </c>
      <c r="T1142" s="12">
        <f t="shared" si="192"/>
        <v>-1.0425937698665066E-2</v>
      </c>
      <c r="U1142" s="12">
        <f t="shared" si="193"/>
        <v>4.0588823781619876E-3</v>
      </c>
      <c r="V1142" s="12">
        <f t="shared" si="194"/>
        <v>2.6860700839849372E-2</v>
      </c>
      <c r="W1142" s="12">
        <f t="shared" si="195"/>
        <v>3.3089027807717164E-2</v>
      </c>
      <c r="X1142" s="12">
        <f t="shared" si="196"/>
        <v>-1.4165739148031875E-2</v>
      </c>
      <c r="Y1142" s="12">
        <f t="shared" si="197"/>
        <v>1.2363795310499803E-2</v>
      </c>
    </row>
    <row r="1143" spans="1:25" x14ac:dyDescent="0.35">
      <c r="A1143" s="6">
        <v>45786</v>
      </c>
      <c r="B1143" s="8">
        <v>5659.91</v>
      </c>
      <c r="C1143" s="2">
        <v>198.53</v>
      </c>
      <c r="D1143" s="2">
        <v>249.2</v>
      </c>
      <c r="E1143" s="2">
        <v>438.73</v>
      </c>
      <c r="F1143" s="2">
        <v>380.64</v>
      </c>
      <c r="G1143" s="2">
        <v>154.22</v>
      </c>
      <c r="H1143" s="2">
        <v>352.54</v>
      </c>
      <c r="I1143" s="2">
        <v>284.51</v>
      </c>
      <c r="J1143" s="2">
        <v>194.85</v>
      </c>
      <c r="K1143" s="2">
        <v>96.72</v>
      </c>
      <c r="L1143" s="2">
        <v>325.62</v>
      </c>
      <c r="M1143" s="64" t="s">
        <v>77</v>
      </c>
      <c r="N1143" s="1"/>
      <c r="O1143" s="12">
        <f t="shared" si="187"/>
        <v>-7.1151883671083382E-4</v>
      </c>
      <c r="P1143" s="12">
        <f t="shared" si="188"/>
        <v>5.2660894222491539E-3</v>
      </c>
      <c r="Q1143" s="12">
        <f t="shared" si="189"/>
        <v>-1.9438104981506221E-2</v>
      </c>
      <c r="R1143" s="12">
        <f t="shared" si="190"/>
        <v>1.2780427687884011E-3</v>
      </c>
      <c r="S1143" s="12">
        <f t="shared" si="191"/>
        <v>-1.2735053819219355E-2</v>
      </c>
      <c r="T1143" s="12">
        <f t="shared" si="192"/>
        <v>-9.250931517409744E-3</v>
      </c>
      <c r="U1143" s="12">
        <f t="shared" si="193"/>
        <v>3.6154525009253202E-3</v>
      </c>
      <c r="V1143" s="12">
        <f t="shared" si="194"/>
        <v>2.9965451596980497E-3</v>
      </c>
      <c r="W1143" s="12">
        <f t="shared" si="195"/>
        <v>1.6431924882629234E-2</v>
      </c>
      <c r="X1143" s="12">
        <f t="shared" si="196"/>
        <v>-7.2872831776661373E-3</v>
      </c>
      <c r="Y1143" s="12">
        <f t="shared" si="197"/>
        <v>4.2251349267541372E-3</v>
      </c>
    </row>
    <row r="1144" spans="1:25" x14ac:dyDescent="0.35">
      <c r="A1144" s="6">
        <v>45789</v>
      </c>
      <c r="B1144" s="8">
        <v>5844.19</v>
      </c>
      <c r="C1144" s="2">
        <v>210.79</v>
      </c>
      <c r="D1144" s="2">
        <v>253.69</v>
      </c>
      <c r="E1144" s="2">
        <v>449.26</v>
      </c>
      <c r="F1144" s="2">
        <v>378.75</v>
      </c>
      <c r="G1144" s="2">
        <v>154.13999999999999</v>
      </c>
      <c r="H1144" s="2">
        <v>355.85</v>
      </c>
      <c r="I1144" s="2">
        <v>298.92</v>
      </c>
      <c r="J1144" s="2">
        <v>198.53</v>
      </c>
      <c r="K1144" s="2">
        <v>96.75</v>
      </c>
      <c r="L1144" s="2">
        <v>342.55</v>
      </c>
      <c r="M1144" s="64" t="s">
        <v>77</v>
      </c>
      <c r="N1144" s="1"/>
      <c r="O1144" s="12">
        <f t="shared" si="187"/>
        <v>3.2558821606703869E-2</v>
      </c>
      <c r="P1144" s="12">
        <f t="shared" si="188"/>
        <v>6.1753891099581848E-2</v>
      </c>
      <c r="Q1144" s="12">
        <f t="shared" si="189"/>
        <v>1.8017656500802559E-2</v>
      </c>
      <c r="R1144" s="12">
        <f t="shared" si="190"/>
        <v>2.4001094066965933E-2</v>
      </c>
      <c r="S1144" s="12">
        <f t="shared" si="191"/>
        <v>-4.9653215636822345E-3</v>
      </c>
      <c r="T1144" s="12">
        <f t="shared" si="192"/>
        <v>-5.1873946310476704E-4</v>
      </c>
      <c r="U1144" s="12">
        <f t="shared" si="193"/>
        <v>9.3890055029217656E-3</v>
      </c>
      <c r="V1144" s="12">
        <f t="shared" si="194"/>
        <v>5.0648483357351282E-2</v>
      </c>
      <c r="W1144" s="12">
        <f t="shared" si="195"/>
        <v>1.8886322812419865E-2</v>
      </c>
      <c r="X1144" s="12">
        <f t="shared" si="196"/>
        <v>3.1017369727037725E-4</v>
      </c>
      <c r="Y1144" s="12">
        <f t="shared" si="197"/>
        <v>5.1993120815674754E-2</v>
      </c>
    </row>
    <row r="1145" spans="1:25" x14ac:dyDescent="0.35">
      <c r="A1145" s="6">
        <v>45790</v>
      </c>
      <c r="B1145" s="8">
        <v>5886.55</v>
      </c>
      <c r="C1145" s="2">
        <v>212.93</v>
      </c>
      <c r="D1145" s="2">
        <v>258.58999999999997</v>
      </c>
      <c r="E1145" s="2">
        <v>449.14</v>
      </c>
      <c r="F1145" s="2">
        <v>311.38</v>
      </c>
      <c r="G1145" s="2">
        <v>148.44</v>
      </c>
      <c r="H1145" s="2">
        <v>356.14</v>
      </c>
      <c r="I1145" s="2">
        <v>302.3</v>
      </c>
      <c r="J1145" s="2">
        <v>203.42</v>
      </c>
      <c r="K1145" s="2">
        <v>95.88</v>
      </c>
      <c r="L1145" s="2">
        <v>352.54</v>
      </c>
      <c r="M1145" s="64">
        <v>10.51</v>
      </c>
      <c r="N1145" s="1"/>
      <c r="O1145" s="12">
        <f t="shared" si="187"/>
        <v>7.2482243048224149E-3</v>
      </c>
      <c r="P1145" s="12">
        <f t="shared" si="188"/>
        <v>1.0152284263959421E-2</v>
      </c>
      <c r="Q1145" s="12">
        <f t="shared" si="189"/>
        <v>1.931491190035084E-2</v>
      </c>
      <c r="R1145" s="12">
        <f t="shared" si="190"/>
        <v>-2.6710590749234875E-4</v>
      </c>
      <c r="S1145" s="12">
        <f t="shared" si="191"/>
        <v>-0.17787458745874585</v>
      </c>
      <c r="T1145" s="12">
        <f t="shared" si="192"/>
        <v>-3.6979369404437468E-2</v>
      </c>
      <c r="U1145" s="12">
        <f t="shared" si="193"/>
        <v>8.1495011943233386E-4</v>
      </c>
      <c r="V1145" s="12">
        <f t="shared" si="194"/>
        <v>1.1307373210223348E-2</v>
      </c>
      <c r="W1145" s="12">
        <f t="shared" si="195"/>
        <v>2.4631038130257243E-2</v>
      </c>
      <c r="X1145" s="12">
        <f t="shared" si="196"/>
        <v>-8.9922480620155953E-3</v>
      </c>
      <c r="Y1145" s="12">
        <f t="shared" si="197"/>
        <v>2.916362574806608E-2</v>
      </c>
    </row>
    <row r="1146" spans="1:25" x14ac:dyDescent="0.35">
      <c r="A1146" s="6">
        <v>45791</v>
      </c>
      <c r="B1146" s="8">
        <v>5892.58</v>
      </c>
      <c r="C1146" s="2">
        <v>212.33</v>
      </c>
      <c r="D1146" s="2">
        <v>257.82</v>
      </c>
      <c r="E1146" s="2">
        <v>452.94</v>
      </c>
      <c r="F1146" s="2">
        <v>308.01</v>
      </c>
      <c r="G1146" s="2">
        <v>146.36000000000001</v>
      </c>
      <c r="H1146" s="2">
        <v>356.46</v>
      </c>
      <c r="I1146" s="2">
        <v>300.10000000000002</v>
      </c>
      <c r="J1146" s="2">
        <v>204.72</v>
      </c>
      <c r="K1146" s="2">
        <v>96.83</v>
      </c>
      <c r="L1146" s="2">
        <v>349.66</v>
      </c>
      <c r="M1146" s="64" t="s">
        <v>77</v>
      </c>
      <c r="N1146" s="1"/>
      <c r="O1146" s="12">
        <f t="shared" si="187"/>
        <v>1.024369112638146E-3</v>
      </c>
      <c r="P1146" s="12">
        <f t="shared" si="188"/>
        <v>-2.8178274550321181E-3</v>
      </c>
      <c r="Q1146" s="12">
        <f t="shared" si="189"/>
        <v>-2.9776866854865913E-3</v>
      </c>
      <c r="R1146" s="12">
        <f t="shared" si="190"/>
        <v>8.4606136171350155E-3</v>
      </c>
      <c r="S1146" s="12">
        <f t="shared" si="191"/>
        <v>-1.082278887532917E-2</v>
      </c>
      <c r="T1146" s="12">
        <f t="shared" si="192"/>
        <v>-1.4012395580705883E-2</v>
      </c>
      <c r="U1146" s="12">
        <f t="shared" si="193"/>
        <v>8.9852305273208088E-4</v>
      </c>
      <c r="V1146" s="12">
        <f t="shared" si="194"/>
        <v>-7.2775388686734388E-3</v>
      </c>
      <c r="W1146" s="12">
        <f t="shared" si="195"/>
        <v>6.3907187100580298E-3</v>
      </c>
      <c r="X1146" s="12">
        <f t="shared" si="196"/>
        <v>9.9082186065915234E-3</v>
      </c>
      <c r="Y1146" s="12">
        <f t="shared" si="197"/>
        <v>-8.169285754807909E-3</v>
      </c>
    </row>
    <row r="1147" spans="1:25" x14ac:dyDescent="0.35">
      <c r="A1147" s="6">
        <v>45792</v>
      </c>
      <c r="B1147" s="8">
        <v>5916.93</v>
      </c>
      <c r="C1147" s="2">
        <v>211.45</v>
      </c>
      <c r="D1147" s="2">
        <v>266.68</v>
      </c>
      <c r="E1147" s="2">
        <v>453.13</v>
      </c>
      <c r="F1147" s="2">
        <v>274.35000000000002</v>
      </c>
      <c r="G1147" s="2">
        <v>149.61000000000001</v>
      </c>
      <c r="H1147" s="2">
        <v>362.3</v>
      </c>
      <c r="I1147" s="2">
        <v>299.55</v>
      </c>
      <c r="J1147" s="2">
        <v>206.24</v>
      </c>
      <c r="K1147" s="2">
        <v>96.35</v>
      </c>
      <c r="L1147" s="2">
        <v>349.81</v>
      </c>
      <c r="M1147" s="64" t="s">
        <v>77</v>
      </c>
      <c r="N1147" s="1"/>
      <c r="O1147" s="12">
        <f t="shared" si="187"/>
        <v>4.1323155561741043E-3</v>
      </c>
      <c r="P1147" s="12">
        <f t="shared" si="188"/>
        <v>-4.1444920642397243E-3</v>
      </c>
      <c r="Q1147" s="12">
        <f t="shared" si="189"/>
        <v>3.4365060895198196E-2</v>
      </c>
      <c r="R1147" s="12">
        <f t="shared" si="190"/>
        <v>4.1948160904303755E-4</v>
      </c>
      <c r="S1147" s="12">
        <f t="shared" si="191"/>
        <v>-0.10928216616343611</v>
      </c>
      <c r="T1147" s="12">
        <f t="shared" si="192"/>
        <v>2.2205520634053011E-2</v>
      </c>
      <c r="U1147" s="12">
        <f t="shared" si="193"/>
        <v>1.6383324917241815E-2</v>
      </c>
      <c r="V1147" s="12">
        <f t="shared" si="194"/>
        <v>-1.8327224258580799E-3</v>
      </c>
      <c r="W1147" s="12">
        <f t="shared" si="195"/>
        <v>7.4247753028526819E-3</v>
      </c>
      <c r="X1147" s="12">
        <f t="shared" si="196"/>
        <v>-4.9571413818032539E-3</v>
      </c>
      <c r="Y1147" s="12">
        <f t="shared" si="197"/>
        <v>4.2898815992664652E-4</v>
      </c>
    </row>
    <row r="1148" spans="1:25" x14ac:dyDescent="0.35">
      <c r="A1148" s="6">
        <v>45793</v>
      </c>
      <c r="B1148" s="8">
        <v>5958.38</v>
      </c>
      <c r="C1148" s="2">
        <v>211.26</v>
      </c>
      <c r="D1148" s="2">
        <v>266.76</v>
      </c>
      <c r="E1148" s="2">
        <v>454.27</v>
      </c>
      <c r="F1148" s="2">
        <v>291.91000000000003</v>
      </c>
      <c r="G1148" s="2">
        <v>151.33000000000001</v>
      </c>
      <c r="H1148" s="2">
        <v>365.12</v>
      </c>
      <c r="I1148" s="2">
        <v>299.72000000000003</v>
      </c>
      <c r="J1148" s="2">
        <v>205.82</v>
      </c>
      <c r="K1148" s="2">
        <v>98.24</v>
      </c>
      <c r="L1148" s="2">
        <v>353.58</v>
      </c>
      <c r="M1148" s="64" t="s">
        <v>77</v>
      </c>
      <c r="N1148" s="1"/>
      <c r="O1148" s="12">
        <f t="shared" si="187"/>
        <v>7.0053220166539365E-3</v>
      </c>
      <c r="P1148" s="12">
        <f t="shared" si="188"/>
        <v>-8.9855757862378205E-4</v>
      </c>
      <c r="Q1148" s="12">
        <f t="shared" si="189"/>
        <v>2.9998500074990275E-4</v>
      </c>
      <c r="R1148" s="12">
        <f t="shared" si="190"/>
        <v>2.5158343080351475E-3</v>
      </c>
      <c r="S1148" s="12">
        <f t="shared" si="191"/>
        <v>6.4005831966466253E-2</v>
      </c>
      <c r="T1148" s="12">
        <f t="shared" si="192"/>
        <v>1.1496557716730083E-2</v>
      </c>
      <c r="U1148" s="12">
        <f t="shared" si="193"/>
        <v>7.7836047474468817E-3</v>
      </c>
      <c r="V1148" s="12">
        <f t="shared" si="194"/>
        <v>5.6751794358200769E-4</v>
      </c>
      <c r="W1148" s="12">
        <f t="shared" si="195"/>
        <v>-2.0364623739334009E-3</v>
      </c>
      <c r="X1148" s="12">
        <f t="shared" si="196"/>
        <v>1.961598339387649E-2</v>
      </c>
      <c r="Y1148" s="12">
        <f t="shared" si="197"/>
        <v>1.0777279094365433E-2</v>
      </c>
    </row>
    <row r="1149" spans="1:25" x14ac:dyDescent="0.35">
      <c r="A1149" s="6">
        <v>45796</v>
      </c>
      <c r="B1149" s="8">
        <v>5963.6</v>
      </c>
      <c r="C1149" s="2">
        <v>208.78</v>
      </c>
      <c r="D1149" s="2">
        <v>268.41000000000003</v>
      </c>
      <c r="E1149" s="2">
        <v>458.87</v>
      </c>
      <c r="F1149" s="2">
        <v>315.89</v>
      </c>
      <c r="G1149" s="2">
        <v>152.49</v>
      </c>
      <c r="H1149" s="2">
        <v>367.9</v>
      </c>
      <c r="I1149" s="2">
        <v>299.3</v>
      </c>
      <c r="J1149" s="2">
        <v>205.25</v>
      </c>
      <c r="K1149" s="2">
        <v>98.12</v>
      </c>
      <c r="L1149" s="2">
        <v>352.57</v>
      </c>
      <c r="M1149" s="64" t="s">
        <v>77</v>
      </c>
      <c r="N1149" s="1"/>
      <c r="O1149" s="12">
        <f t="shared" si="187"/>
        <v>8.76077054501323E-4</v>
      </c>
      <c r="P1149" s="12">
        <f t="shared" si="188"/>
        <v>-1.1739089273880454E-2</v>
      </c>
      <c r="Q1149" s="12">
        <f t="shared" si="189"/>
        <v>6.1853351327036954E-3</v>
      </c>
      <c r="R1149" s="12">
        <f t="shared" si="190"/>
        <v>1.0126136438681987E-2</v>
      </c>
      <c r="S1149" s="12">
        <f t="shared" si="191"/>
        <v>8.2148607447500854E-2</v>
      </c>
      <c r="T1149" s="12">
        <f t="shared" si="192"/>
        <v>7.6653670785700179E-3</v>
      </c>
      <c r="U1149" s="12">
        <f t="shared" si="193"/>
        <v>7.6139351446098402E-3</v>
      </c>
      <c r="V1149" s="12">
        <f t="shared" si="194"/>
        <v>-1.4013078873615914E-3</v>
      </c>
      <c r="W1149" s="12">
        <f t="shared" si="195"/>
        <v>-2.7694101642211644E-3</v>
      </c>
      <c r="X1149" s="12">
        <f t="shared" si="196"/>
        <v>-1.2214983713354499E-3</v>
      </c>
      <c r="Y1149" s="12">
        <f t="shared" si="197"/>
        <v>-2.8564964081678745E-3</v>
      </c>
    </row>
    <row r="1150" spans="1:25" x14ac:dyDescent="0.35">
      <c r="A1150" s="6">
        <v>45797</v>
      </c>
      <c r="B1150" s="8">
        <v>5940.46</v>
      </c>
      <c r="C1150" s="2">
        <v>206.86</v>
      </c>
      <c r="D1150" s="2">
        <v>266.95</v>
      </c>
      <c r="E1150" s="2">
        <v>458.17</v>
      </c>
      <c r="F1150" s="2">
        <v>321.58</v>
      </c>
      <c r="G1150" s="2">
        <v>153.66</v>
      </c>
      <c r="H1150" s="2">
        <v>366.84</v>
      </c>
      <c r="I1150" s="2">
        <v>296.17</v>
      </c>
      <c r="J1150" s="2">
        <v>207.67</v>
      </c>
      <c r="K1150" s="2">
        <v>97.8</v>
      </c>
      <c r="L1150" s="2">
        <v>349.49</v>
      </c>
      <c r="M1150" s="64">
        <v>10.49</v>
      </c>
      <c r="N1150" s="1"/>
      <c r="O1150" s="12">
        <f t="shared" si="187"/>
        <v>-3.8802065866255786E-3</v>
      </c>
      <c r="P1150" s="12">
        <f t="shared" si="188"/>
        <v>-9.196283168885877E-3</v>
      </c>
      <c r="Q1150" s="12">
        <f t="shared" si="189"/>
        <v>-5.4394396632019282E-3</v>
      </c>
      <c r="R1150" s="12">
        <f t="shared" si="190"/>
        <v>-1.5254865212369628E-3</v>
      </c>
      <c r="S1150" s="12">
        <f t="shared" si="191"/>
        <v>1.8012599322549061E-2</v>
      </c>
      <c r="T1150" s="12">
        <f t="shared" si="192"/>
        <v>7.6726342710997653E-3</v>
      </c>
      <c r="U1150" s="12">
        <f t="shared" si="193"/>
        <v>-2.8812177222071744E-3</v>
      </c>
      <c r="V1150" s="12">
        <f t="shared" si="194"/>
        <v>-1.0457734714333422E-2</v>
      </c>
      <c r="W1150" s="12">
        <f t="shared" si="195"/>
        <v>1.1790499390986531E-2</v>
      </c>
      <c r="X1150" s="12">
        <f t="shared" si="196"/>
        <v>-3.2613126783531676E-3</v>
      </c>
      <c r="Y1150" s="12">
        <f t="shared" si="197"/>
        <v>-8.7358538729896962E-3</v>
      </c>
    </row>
    <row r="1151" spans="1:25" x14ac:dyDescent="0.35">
      <c r="A1151" s="6">
        <v>45798</v>
      </c>
      <c r="B1151" s="8">
        <v>5844.61</v>
      </c>
      <c r="C1151" s="2">
        <v>202.09</v>
      </c>
      <c r="D1151" s="2">
        <v>260.87</v>
      </c>
      <c r="E1151" s="2">
        <v>452.57</v>
      </c>
      <c r="F1151" s="2">
        <v>302.98</v>
      </c>
      <c r="G1151" s="2">
        <v>153.18</v>
      </c>
      <c r="H1151" s="2">
        <v>358.3</v>
      </c>
      <c r="I1151" s="2">
        <v>286</v>
      </c>
      <c r="J1151" s="2">
        <v>203.21</v>
      </c>
      <c r="K1151" s="2">
        <v>96.43</v>
      </c>
      <c r="L1151" s="2">
        <v>342.51</v>
      </c>
      <c r="M1151" s="64" t="s">
        <v>77</v>
      </c>
      <c r="N1151" s="1"/>
      <c r="O1151" s="12">
        <f t="shared" si="187"/>
        <v>-1.6135114115741978E-2</v>
      </c>
      <c r="P1151" s="12">
        <f t="shared" si="188"/>
        <v>-2.3059073769699401E-2</v>
      </c>
      <c r="Q1151" s="12">
        <f t="shared" si="189"/>
        <v>-2.2775800711743677E-2</v>
      </c>
      <c r="R1151" s="12">
        <f t="shared" si="190"/>
        <v>-1.2222537486086038E-2</v>
      </c>
      <c r="S1151" s="12">
        <f t="shared" si="191"/>
        <v>-5.7839417874245846E-2</v>
      </c>
      <c r="T1151" s="12">
        <f t="shared" si="192"/>
        <v>-3.1237797735258477E-3</v>
      </c>
      <c r="U1151" s="12">
        <f t="shared" si="193"/>
        <v>-2.3279904045360289E-2</v>
      </c>
      <c r="V1151" s="12">
        <f t="shared" si="194"/>
        <v>-3.4338386737346793E-2</v>
      </c>
      <c r="W1151" s="12">
        <f t="shared" si="195"/>
        <v>-2.1476380796455863E-2</v>
      </c>
      <c r="X1151" s="12">
        <f t="shared" si="196"/>
        <v>-1.4008179959100087E-2</v>
      </c>
      <c r="Y1151" s="12">
        <f t="shared" si="197"/>
        <v>-1.9971959140461903E-2</v>
      </c>
    </row>
    <row r="1152" spans="1:25" x14ac:dyDescent="0.35">
      <c r="A1152" s="6">
        <v>45799</v>
      </c>
      <c r="B1152" s="8">
        <v>5842.01</v>
      </c>
      <c r="C1152" s="2">
        <v>201.36</v>
      </c>
      <c r="D1152" s="2">
        <v>258.37</v>
      </c>
      <c r="E1152" s="2">
        <v>454.86</v>
      </c>
      <c r="F1152" s="2">
        <v>296.67</v>
      </c>
      <c r="G1152" s="2">
        <v>152.61000000000001</v>
      </c>
      <c r="H1152" s="2">
        <v>357.97</v>
      </c>
      <c r="I1152" s="2">
        <v>287.18</v>
      </c>
      <c r="J1152" s="2">
        <v>203.41</v>
      </c>
      <c r="K1152" s="2">
        <v>95.93</v>
      </c>
      <c r="L1152" s="2">
        <v>345.19</v>
      </c>
      <c r="M1152" s="64" t="s">
        <v>77</v>
      </c>
      <c r="N1152" s="1"/>
      <c r="O1152" s="12">
        <f t="shared" si="187"/>
        <v>-4.4485431876539749E-4</v>
      </c>
      <c r="P1152" s="12">
        <f t="shared" si="188"/>
        <v>-3.6122519669453679E-3</v>
      </c>
      <c r="Q1152" s="12">
        <f t="shared" si="189"/>
        <v>-9.5833173611377109E-3</v>
      </c>
      <c r="R1152" s="12">
        <f t="shared" si="190"/>
        <v>5.059990719667784E-3</v>
      </c>
      <c r="S1152" s="12">
        <f t="shared" si="191"/>
        <v>-2.082645719189391E-2</v>
      </c>
      <c r="T1152" s="12">
        <f t="shared" si="192"/>
        <v>-3.7211124167645382E-3</v>
      </c>
      <c r="U1152" s="12">
        <f t="shared" si="193"/>
        <v>-9.2101590845650172E-4</v>
      </c>
      <c r="V1152" s="12">
        <f t="shared" si="194"/>
        <v>4.1258741258740628E-3</v>
      </c>
      <c r="W1152" s="12">
        <f t="shared" si="195"/>
        <v>9.8420353329053967E-4</v>
      </c>
      <c r="X1152" s="12">
        <f t="shared" si="196"/>
        <v>-5.1851083687649568E-3</v>
      </c>
      <c r="Y1152" s="12">
        <f t="shared" si="197"/>
        <v>7.8245890630930237E-3</v>
      </c>
    </row>
    <row r="1153" spans="1:25" x14ac:dyDescent="0.35">
      <c r="A1153" s="6">
        <v>45800</v>
      </c>
      <c r="B1153" s="8">
        <v>5802.82</v>
      </c>
      <c r="C1153" s="2">
        <v>195.27</v>
      </c>
      <c r="D1153" s="2">
        <v>258.63</v>
      </c>
      <c r="E1153" s="2">
        <v>450.18</v>
      </c>
      <c r="F1153" s="2">
        <v>295.57</v>
      </c>
      <c r="G1153" s="2">
        <v>152.94</v>
      </c>
      <c r="H1153" s="2">
        <v>353.54</v>
      </c>
      <c r="I1153" s="2">
        <v>285.22000000000003</v>
      </c>
      <c r="J1153" s="2">
        <v>202.36</v>
      </c>
      <c r="K1153" s="2">
        <v>96.34</v>
      </c>
      <c r="L1153" s="2">
        <v>343.39</v>
      </c>
      <c r="M1153" s="64" t="s">
        <v>77</v>
      </c>
      <c r="N1153" s="1"/>
      <c r="O1153" s="12">
        <f t="shared" si="187"/>
        <v>-6.708307585916562E-3</v>
      </c>
      <c r="P1153" s="12">
        <f t="shared" si="188"/>
        <v>-3.0244338498212175E-2</v>
      </c>
      <c r="Q1153" s="12">
        <f t="shared" si="189"/>
        <v>1.0063087819793815E-3</v>
      </c>
      <c r="R1153" s="12">
        <f t="shared" si="190"/>
        <v>-1.0288880094974306E-2</v>
      </c>
      <c r="S1153" s="12">
        <f t="shared" si="191"/>
        <v>-3.7078235076011268E-3</v>
      </c>
      <c r="T1153" s="12">
        <f t="shared" si="192"/>
        <v>2.1623746805581323E-3</v>
      </c>
      <c r="U1153" s="12">
        <f t="shared" si="193"/>
        <v>-1.2375338715534867E-2</v>
      </c>
      <c r="V1153" s="12">
        <f t="shared" si="194"/>
        <v>-6.8249878125217212E-3</v>
      </c>
      <c r="W1153" s="12">
        <f t="shared" si="195"/>
        <v>-5.1619881028464043E-3</v>
      </c>
      <c r="X1153" s="12">
        <f t="shared" si="196"/>
        <v>4.2739497550297045E-3</v>
      </c>
      <c r="Y1153" s="12">
        <f t="shared" si="197"/>
        <v>-5.2145195399635469E-3</v>
      </c>
    </row>
    <row r="1154" spans="1:25" x14ac:dyDescent="0.35">
      <c r="A1154" s="6">
        <v>45804</v>
      </c>
      <c r="B1154" s="8">
        <v>5921.54</v>
      </c>
      <c r="C1154" s="2">
        <v>200.21</v>
      </c>
      <c r="D1154" s="2">
        <v>263.23</v>
      </c>
      <c r="E1154" s="2">
        <v>460.69</v>
      </c>
      <c r="F1154" s="2">
        <v>295</v>
      </c>
      <c r="G1154" s="2">
        <v>153.25</v>
      </c>
      <c r="H1154" s="2">
        <v>359.3</v>
      </c>
      <c r="I1154" s="2">
        <v>293.76</v>
      </c>
      <c r="J1154" s="2">
        <v>201.03</v>
      </c>
      <c r="K1154" s="2">
        <v>97.58</v>
      </c>
      <c r="L1154" s="2">
        <v>351.51</v>
      </c>
      <c r="M1154" s="64">
        <v>10.4</v>
      </c>
      <c r="N1154" s="1"/>
      <c r="O1154" s="12">
        <f t="shared" si="187"/>
        <v>2.0459018201495205E-2</v>
      </c>
      <c r="P1154" s="12">
        <f t="shared" si="188"/>
        <v>2.5298304911148595E-2</v>
      </c>
      <c r="Q1154" s="12">
        <f t="shared" si="189"/>
        <v>1.7786026369717378E-2</v>
      </c>
      <c r="R1154" s="12">
        <f t="shared" si="190"/>
        <v>2.334621706872797E-2</v>
      </c>
      <c r="S1154" s="12">
        <f t="shared" si="191"/>
        <v>-1.928477179686694E-3</v>
      </c>
      <c r="T1154" s="12">
        <f t="shared" si="192"/>
        <v>2.0269386687590263E-3</v>
      </c>
      <c r="U1154" s="12">
        <f t="shared" si="193"/>
        <v>1.629235730044698E-2</v>
      </c>
      <c r="V1154" s="12">
        <f t="shared" si="194"/>
        <v>2.9941799312811046E-2</v>
      </c>
      <c r="W1154" s="12">
        <f t="shared" si="195"/>
        <v>-6.5724451472624068E-3</v>
      </c>
      <c r="X1154" s="12">
        <f t="shared" si="196"/>
        <v>1.2871081586049327E-2</v>
      </c>
      <c r="Y1154" s="12">
        <f t="shared" si="197"/>
        <v>2.3646582602871336E-2</v>
      </c>
    </row>
    <row r="1155" spans="1:25" x14ac:dyDescent="0.35">
      <c r="A1155" s="6">
        <v>45805</v>
      </c>
      <c r="B1155" s="8">
        <v>5888.55</v>
      </c>
      <c r="C1155" s="2">
        <v>200.42</v>
      </c>
      <c r="D1155" s="2">
        <v>260.24</v>
      </c>
      <c r="E1155" s="2">
        <v>457.36</v>
      </c>
      <c r="F1155" s="2">
        <v>298.11</v>
      </c>
      <c r="G1155" s="2">
        <v>152.43</v>
      </c>
      <c r="H1155" s="2">
        <v>359.73</v>
      </c>
      <c r="I1155" s="2">
        <v>293.36</v>
      </c>
      <c r="J1155" s="2">
        <v>201.5</v>
      </c>
      <c r="K1155" s="2">
        <v>97.24</v>
      </c>
      <c r="L1155" s="2">
        <v>349.49</v>
      </c>
      <c r="M1155" s="64" t="s">
        <v>77</v>
      </c>
      <c r="N1155" s="1"/>
      <c r="O1155" s="12">
        <f t="shared" si="187"/>
        <v>-5.571185873944895E-3</v>
      </c>
      <c r="P1155" s="12">
        <f t="shared" si="188"/>
        <v>1.0488986564105574E-3</v>
      </c>
      <c r="Q1155" s="12">
        <f t="shared" si="189"/>
        <v>-1.1358887664779882E-2</v>
      </c>
      <c r="R1155" s="12">
        <f t="shared" si="190"/>
        <v>-7.2282880027784158E-3</v>
      </c>
      <c r="S1155" s="12">
        <f t="shared" si="191"/>
        <v>1.0542372881356066E-2</v>
      </c>
      <c r="T1155" s="12">
        <f t="shared" si="192"/>
        <v>-5.350734094616616E-3</v>
      </c>
      <c r="U1155" s="12">
        <f t="shared" si="193"/>
        <v>1.1967715001390822E-3</v>
      </c>
      <c r="V1155" s="12">
        <f t="shared" si="194"/>
        <v>-1.3616557734204005E-3</v>
      </c>
      <c r="W1155" s="12">
        <f t="shared" si="195"/>
        <v>2.3379595085311067E-3</v>
      </c>
      <c r="X1155" s="12">
        <f t="shared" si="196"/>
        <v>-3.4843205574913716E-3</v>
      </c>
      <c r="Y1155" s="12">
        <f t="shared" si="197"/>
        <v>-5.7466359420783597E-3</v>
      </c>
    </row>
    <row r="1156" spans="1:25" x14ac:dyDescent="0.35">
      <c r="A1156" s="6">
        <v>45806</v>
      </c>
      <c r="B1156" s="8">
        <v>5912.17</v>
      </c>
      <c r="C1156" s="2">
        <v>199.95</v>
      </c>
      <c r="D1156" s="2">
        <v>258.69</v>
      </c>
      <c r="E1156" s="2">
        <v>458.68</v>
      </c>
      <c r="F1156" s="2">
        <v>298.17</v>
      </c>
      <c r="G1156" s="2">
        <v>153.58000000000001</v>
      </c>
      <c r="H1156" s="2">
        <v>362.4</v>
      </c>
      <c r="I1156" s="2">
        <v>295.38</v>
      </c>
      <c r="J1156" s="2">
        <v>208.18</v>
      </c>
      <c r="K1156" s="2">
        <v>97.1</v>
      </c>
      <c r="L1156" s="2">
        <v>351.79</v>
      </c>
      <c r="M1156" s="64" t="s">
        <v>77</v>
      </c>
      <c r="N1156" s="1"/>
      <c r="O1156" s="12">
        <f t="shared" si="187"/>
        <v>4.0111742279509421E-3</v>
      </c>
      <c r="P1156" s="12">
        <f t="shared" si="188"/>
        <v>-2.3450753417822989E-3</v>
      </c>
      <c r="Q1156" s="12">
        <f t="shared" si="189"/>
        <v>-5.9560405779280901E-3</v>
      </c>
      <c r="R1156" s="12">
        <f t="shared" si="190"/>
        <v>2.8861290886827984E-3</v>
      </c>
      <c r="S1156" s="12">
        <f t="shared" si="191"/>
        <v>2.012679883265367E-4</v>
      </c>
      <c r="T1156" s="12">
        <f t="shared" si="192"/>
        <v>7.5444466312406533E-3</v>
      </c>
      <c r="U1156" s="12">
        <f t="shared" si="193"/>
        <v>7.4222333416729125E-3</v>
      </c>
      <c r="V1156" s="12">
        <f t="shared" si="194"/>
        <v>6.8857376602127207E-3</v>
      </c>
      <c r="W1156" s="12">
        <f t="shared" si="195"/>
        <v>3.3151364764268054E-2</v>
      </c>
      <c r="X1156" s="12">
        <f t="shared" si="196"/>
        <v>-1.4397367338543354E-3</v>
      </c>
      <c r="Y1156" s="12">
        <f t="shared" si="197"/>
        <v>6.5810180548799835E-3</v>
      </c>
    </row>
    <row r="1157" spans="1:25" x14ac:dyDescent="0.35">
      <c r="A1157" s="6">
        <v>45807</v>
      </c>
      <c r="B1157" s="8">
        <v>5911.69</v>
      </c>
      <c r="C1157" s="2">
        <v>200.85</v>
      </c>
      <c r="D1157" s="2">
        <v>259.06</v>
      </c>
      <c r="E1157" s="2">
        <v>460.36</v>
      </c>
      <c r="F1157" s="2">
        <v>301.91000000000003</v>
      </c>
      <c r="G1157" s="2">
        <v>155.21</v>
      </c>
      <c r="H1157" s="2">
        <v>365.19</v>
      </c>
      <c r="I1157" s="2">
        <v>294.05</v>
      </c>
      <c r="J1157" s="2">
        <v>207.32</v>
      </c>
      <c r="K1157" s="2">
        <v>98.72</v>
      </c>
      <c r="L1157" s="2">
        <v>348.03</v>
      </c>
      <c r="M1157" s="64" t="s">
        <v>77</v>
      </c>
      <c r="N1157" s="1"/>
      <c r="O1157" s="12">
        <f t="shared" ref="O1157:O1220" si="198">(B1157/B1156)-1</f>
        <v>-8.118846379590039E-5</v>
      </c>
      <c r="P1157" s="12">
        <f t="shared" ref="P1157:P1220" si="199">(C1157/C1156)-1</f>
        <v>4.5011252813202951E-3</v>
      </c>
      <c r="Q1157" s="12">
        <f t="shared" ref="Q1157:Q1220" si="200">(D1157/D1156)-1</f>
        <v>1.4302833507287005E-3</v>
      </c>
      <c r="R1157" s="12">
        <f t="shared" ref="R1157:R1220" si="201">(E1157/E1156)-1</f>
        <v>3.6626842242957203E-3</v>
      </c>
      <c r="S1157" s="12">
        <f t="shared" ref="S1157:S1220" si="202">(F1157/F1156)-1</f>
        <v>1.2543180065063497E-2</v>
      </c>
      <c r="T1157" s="12">
        <f t="shared" ref="T1157:T1220" si="203">(G1157/G1156)-1</f>
        <v>1.0613361114728548E-2</v>
      </c>
      <c r="U1157" s="12">
        <f t="shared" ref="U1157:U1220" si="204">(H1157/H1156)-1</f>
        <v>7.6986754966887894E-3</v>
      </c>
      <c r="V1157" s="12">
        <f t="shared" ref="V1157:V1220" si="205">(I1157/I1156)-1</f>
        <v>-4.5026745209559849E-3</v>
      </c>
      <c r="W1157" s="12">
        <f t="shared" ref="W1157:W1220" si="206">(J1157/J1156)-1</f>
        <v>-4.1310404457681749E-3</v>
      </c>
      <c r="X1157" s="12">
        <f t="shared" ref="X1157:X1220" si="207">(K1157/K1156)-1</f>
        <v>1.6683831101956814E-2</v>
      </c>
      <c r="Y1157" s="12">
        <f t="shared" ref="Y1157:Y1220" si="208">(L1157/L1156)-1</f>
        <v>-1.0688194661587991E-2</v>
      </c>
    </row>
    <row r="1158" spans="1:25" x14ac:dyDescent="0.35">
      <c r="A1158" s="6">
        <v>45810</v>
      </c>
      <c r="B1158" s="8">
        <v>5935.94</v>
      </c>
      <c r="C1158" s="2">
        <v>201.7</v>
      </c>
      <c r="D1158" s="2">
        <v>263.89999999999998</v>
      </c>
      <c r="E1158" s="2">
        <v>461.97</v>
      </c>
      <c r="F1158" s="2">
        <v>304.72000000000003</v>
      </c>
      <c r="G1158" s="2">
        <v>155.4</v>
      </c>
      <c r="H1158" s="2">
        <v>365.32</v>
      </c>
      <c r="I1158" s="2">
        <v>295.33</v>
      </c>
      <c r="J1158" s="2">
        <v>211.47</v>
      </c>
      <c r="K1158" s="2">
        <v>99.77</v>
      </c>
      <c r="L1158" s="2">
        <v>344.67</v>
      </c>
      <c r="M1158" s="64" t="s">
        <v>77</v>
      </c>
      <c r="N1158" s="1"/>
      <c r="O1158" s="12">
        <f t="shared" si="198"/>
        <v>4.1020418864994301E-3</v>
      </c>
      <c r="P1158" s="12">
        <f t="shared" si="199"/>
        <v>4.2320139407516777E-3</v>
      </c>
      <c r="Q1158" s="12">
        <f t="shared" si="200"/>
        <v>1.8682930595228742E-2</v>
      </c>
      <c r="R1158" s="12">
        <f t="shared" si="201"/>
        <v>3.4972630115561731E-3</v>
      </c>
      <c r="S1158" s="12">
        <f t="shared" si="202"/>
        <v>9.3074094928953244E-3</v>
      </c>
      <c r="T1158" s="12">
        <f t="shared" si="203"/>
        <v>1.2241479286128065E-3</v>
      </c>
      <c r="U1158" s="12">
        <f t="shared" si="204"/>
        <v>3.5597907938322848E-4</v>
      </c>
      <c r="V1158" s="12">
        <f t="shared" si="205"/>
        <v>4.3530011902737087E-3</v>
      </c>
      <c r="W1158" s="12">
        <f t="shared" si="206"/>
        <v>2.0017364460737097E-2</v>
      </c>
      <c r="X1158" s="12">
        <f t="shared" si="207"/>
        <v>1.0636142625607858E-2</v>
      </c>
      <c r="Y1158" s="12">
        <f t="shared" si="208"/>
        <v>-9.654340143090967E-3</v>
      </c>
    </row>
    <row r="1159" spans="1:25" x14ac:dyDescent="0.35">
      <c r="A1159" s="6">
        <v>45811</v>
      </c>
      <c r="B1159" s="8">
        <v>5970.37</v>
      </c>
      <c r="C1159" s="2">
        <v>203.27</v>
      </c>
      <c r="D1159" s="2">
        <v>265.2</v>
      </c>
      <c r="E1159" s="2">
        <v>462.97</v>
      </c>
      <c r="F1159" s="2">
        <v>301.22000000000003</v>
      </c>
      <c r="G1159" s="2">
        <v>154.41999999999999</v>
      </c>
      <c r="H1159" s="2">
        <v>365.86</v>
      </c>
      <c r="I1159" s="2">
        <v>297.39</v>
      </c>
      <c r="J1159" s="2">
        <v>213.43</v>
      </c>
      <c r="K1159" s="2">
        <v>99.98</v>
      </c>
      <c r="L1159" s="2">
        <v>349.4</v>
      </c>
      <c r="M1159" s="64">
        <v>10.35</v>
      </c>
      <c r="N1159" s="1"/>
      <c r="O1159" s="12">
        <f t="shared" si="198"/>
        <v>5.8002607843070653E-3</v>
      </c>
      <c r="P1159" s="12">
        <f t="shared" si="199"/>
        <v>7.7838373822509688E-3</v>
      </c>
      <c r="Q1159" s="12">
        <f t="shared" si="200"/>
        <v>4.9261083743843415E-3</v>
      </c>
      <c r="R1159" s="12">
        <f t="shared" si="201"/>
        <v>2.1646427257180356E-3</v>
      </c>
      <c r="S1159" s="12">
        <f t="shared" si="202"/>
        <v>-1.1485954318718794E-2</v>
      </c>
      <c r="T1159" s="12">
        <f t="shared" si="203"/>
        <v>-6.3063063063064639E-3</v>
      </c>
      <c r="U1159" s="12">
        <f t="shared" si="204"/>
        <v>1.4781561370853513E-3</v>
      </c>
      <c r="V1159" s="12">
        <f t="shared" si="205"/>
        <v>6.9752480276301654E-3</v>
      </c>
      <c r="W1159" s="12">
        <f t="shared" si="206"/>
        <v>9.2684541542535914E-3</v>
      </c>
      <c r="X1159" s="12">
        <f t="shared" si="207"/>
        <v>2.1048411346096252E-3</v>
      </c>
      <c r="Y1159" s="12">
        <f t="shared" si="208"/>
        <v>1.3723271535091452E-2</v>
      </c>
    </row>
    <row r="1160" spans="1:25" x14ac:dyDescent="0.35">
      <c r="A1160" s="6">
        <v>45812</v>
      </c>
      <c r="B1160" s="8">
        <v>5970.81</v>
      </c>
      <c r="C1160" s="2">
        <v>202.82</v>
      </c>
      <c r="D1160" s="2">
        <v>265.52</v>
      </c>
      <c r="E1160" s="2">
        <v>463.87</v>
      </c>
      <c r="F1160" s="2">
        <v>300.38</v>
      </c>
      <c r="G1160" s="2">
        <v>153.22</v>
      </c>
      <c r="H1160" s="2">
        <v>368</v>
      </c>
      <c r="I1160" s="2">
        <v>295.93</v>
      </c>
      <c r="J1160" s="2">
        <v>211.98</v>
      </c>
      <c r="K1160" s="2">
        <v>99.35</v>
      </c>
      <c r="L1160" s="2">
        <v>349.33</v>
      </c>
      <c r="M1160" s="64" t="s">
        <v>77</v>
      </c>
      <c r="N1160" s="1"/>
      <c r="O1160" s="12">
        <f t="shared" si="198"/>
        <v>7.3697275043249633E-5</v>
      </c>
      <c r="P1160" s="12">
        <f t="shared" si="199"/>
        <v>-2.2138042996999729E-3</v>
      </c>
      <c r="Q1160" s="12">
        <f t="shared" si="200"/>
        <v>1.2066365007541435E-3</v>
      </c>
      <c r="R1160" s="12">
        <f t="shared" si="201"/>
        <v>1.9439704516490686E-3</v>
      </c>
      <c r="S1160" s="12">
        <f t="shared" si="202"/>
        <v>-2.788659451563702E-3</v>
      </c>
      <c r="T1160" s="12">
        <f t="shared" si="203"/>
        <v>-7.7710141173422675E-3</v>
      </c>
      <c r="U1160" s="12">
        <f t="shared" si="204"/>
        <v>5.8492319466463272E-3</v>
      </c>
      <c r="V1160" s="12">
        <f t="shared" si="205"/>
        <v>-4.9093782575069245E-3</v>
      </c>
      <c r="W1160" s="12">
        <f t="shared" si="206"/>
        <v>-6.7937965609333739E-3</v>
      </c>
      <c r="X1160" s="12">
        <f t="shared" si="207"/>
        <v>-6.3012602520504668E-3</v>
      </c>
      <c r="Y1160" s="12">
        <f t="shared" si="208"/>
        <v>-2.0034344590724729E-4</v>
      </c>
    </row>
    <row r="1161" spans="1:25" x14ac:dyDescent="0.35">
      <c r="A1161" s="6">
        <v>45813</v>
      </c>
      <c r="B1161" s="8">
        <v>5939.3</v>
      </c>
      <c r="C1161" s="2">
        <v>200.63</v>
      </c>
      <c r="D1161" s="2">
        <v>266.86</v>
      </c>
      <c r="E1161" s="2">
        <v>467.68</v>
      </c>
      <c r="F1161" s="2">
        <v>295.83999999999997</v>
      </c>
      <c r="G1161" s="2">
        <v>153.66</v>
      </c>
      <c r="H1161" s="2">
        <v>366.77</v>
      </c>
      <c r="I1161" s="2">
        <v>295.95999999999998</v>
      </c>
      <c r="J1161" s="2">
        <v>209.02</v>
      </c>
      <c r="K1161" s="2">
        <v>97.96</v>
      </c>
      <c r="L1161" s="2">
        <v>348.96</v>
      </c>
      <c r="M1161" s="64" t="s">
        <v>77</v>
      </c>
      <c r="N1161" s="1"/>
      <c r="O1161" s="12">
        <f t="shared" si="198"/>
        <v>-5.2773409302925289E-3</v>
      </c>
      <c r="P1161" s="12">
        <f t="shared" si="199"/>
        <v>-1.0797751701015712E-2</v>
      </c>
      <c r="Q1161" s="12">
        <f t="shared" si="200"/>
        <v>5.0467008134982283E-3</v>
      </c>
      <c r="R1161" s="12">
        <f t="shared" si="201"/>
        <v>8.2135080949403694E-3</v>
      </c>
      <c r="S1161" s="12">
        <f t="shared" si="202"/>
        <v>-1.5114188694320574E-2</v>
      </c>
      <c r="T1161" s="12">
        <f t="shared" si="203"/>
        <v>2.8716877692207543E-3</v>
      </c>
      <c r="U1161" s="12">
        <f t="shared" si="204"/>
        <v>-3.3423913043478803E-3</v>
      </c>
      <c r="V1161" s="12">
        <f t="shared" si="205"/>
        <v>1.0137532524567838E-4</v>
      </c>
      <c r="W1161" s="12">
        <f t="shared" si="206"/>
        <v>-1.3963581469949915E-2</v>
      </c>
      <c r="X1161" s="12">
        <f t="shared" si="207"/>
        <v>-1.3990941117262179E-2</v>
      </c>
      <c r="Y1161" s="12">
        <f t="shared" si="208"/>
        <v>-1.0591704119313761E-3</v>
      </c>
    </row>
    <row r="1162" spans="1:25" x14ac:dyDescent="0.35">
      <c r="A1162" s="6">
        <v>45814</v>
      </c>
      <c r="B1162" s="8">
        <v>6000.36</v>
      </c>
      <c r="C1162" s="2">
        <v>203.92</v>
      </c>
      <c r="D1162" s="2">
        <v>268.87</v>
      </c>
      <c r="E1162" s="2">
        <v>470.38</v>
      </c>
      <c r="F1162" s="2">
        <v>303.22000000000003</v>
      </c>
      <c r="G1162" s="2">
        <v>155.03</v>
      </c>
      <c r="H1162" s="2">
        <v>370.22</v>
      </c>
      <c r="I1162" s="2">
        <v>302.47000000000003</v>
      </c>
      <c r="J1162" s="2">
        <v>210.8</v>
      </c>
      <c r="K1162" s="2">
        <v>97.47</v>
      </c>
      <c r="L1162" s="2">
        <v>353.35</v>
      </c>
      <c r="M1162" s="64" t="s">
        <v>77</v>
      </c>
      <c r="N1162" s="1"/>
      <c r="O1162" s="12">
        <f t="shared" si="198"/>
        <v>1.0280672806559643E-2</v>
      </c>
      <c r="P1162" s="12">
        <f t="shared" si="199"/>
        <v>1.6398345212580434E-2</v>
      </c>
      <c r="Q1162" s="12">
        <f t="shared" si="200"/>
        <v>7.5320392715281237E-3</v>
      </c>
      <c r="R1162" s="12">
        <f t="shared" si="201"/>
        <v>5.7731782415326727E-3</v>
      </c>
      <c r="S1162" s="12">
        <f t="shared" si="202"/>
        <v>2.4945916711736293E-2</v>
      </c>
      <c r="T1162" s="12">
        <f t="shared" si="203"/>
        <v>8.9157881036054931E-3</v>
      </c>
      <c r="U1162" s="12">
        <f t="shared" si="204"/>
        <v>9.4064400032718432E-3</v>
      </c>
      <c r="V1162" s="12">
        <f t="shared" si="205"/>
        <v>2.1996215704825239E-2</v>
      </c>
      <c r="W1162" s="12">
        <f t="shared" si="206"/>
        <v>8.5159314898095584E-3</v>
      </c>
      <c r="X1162" s="12">
        <f t="shared" si="207"/>
        <v>-5.0020416496528997E-3</v>
      </c>
      <c r="Y1162" s="12">
        <f t="shared" si="208"/>
        <v>1.2580238422742029E-2</v>
      </c>
    </row>
    <row r="1163" spans="1:25" x14ac:dyDescent="0.35">
      <c r="A1163" s="6">
        <v>45817</v>
      </c>
      <c r="B1163" s="8">
        <v>6005.88</v>
      </c>
      <c r="C1163" s="2">
        <v>201.45</v>
      </c>
      <c r="D1163" s="2">
        <v>272.08</v>
      </c>
      <c r="E1163" s="2">
        <v>472.75</v>
      </c>
      <c r="F1163" s="2">
        <v>303.19</v>
      </c>
      <c r="G1163" s="2">
        <v>155.22999999999999</v>
      </c>
      <c r="H1163" s="2">
        <v>366.66</v>
      </c>
      <c r="I1163" s="2">
        <v>301.56</v>
      </c>
      <c r="J1163" s="2">
        <v>217.51</v>
      </c>
      <c r="K1163" s="2">
        <v>97.45</v>
      </c>
      <c r="L1163" s="2">
        <v>358.07</v>
      </c>
      <c r="M1163" s="64" t="s">
        <v>77</v>
      </c>
      <c r="N1163" s="1"/>
      <c r="O1163" s="12">
        <f t="shared" si="198"/>
        <v>9.1994480331192285E-4</v>
      </c>
      <c r="P1163" s="12">
        <f t="shared" si="199"/>
        <v>-1.2112593173793651E-2</v>
      </c>
      <c r="Q1163" s="12">
        <f t="shared" si="200"/>
        <v>1.1938855208836863E-2</v>
      </c>
      <c r="R1163" s="12">
        <f t="shared" si="201"/>
        <v>5.0384795271907201E-3</v>
      </c>
      <c r="S1163" s="12">
        <f t="shared" si="202"/>
        <v>-9.8938064771569856E-5</v>
      </c>
      <c r="T1163" s="12">
        <f t="shared" si="203"/>
        <v>1.2900728891180879E-3</v>
      </c>
      <c r="U1163" s="12">
        <f t="shared" si="204"/>
        <v>-9.6159040570471532E-3</v>
      </c>
      <c r="V1163" s="12">
        <f t="shared" si="205"/>
        <v>-3.008562832677697E-3</v>
      </c>
      <c r="W1163" s="12">
        <f t="shared" si="206"/>
        <v>3.1831119544591946E-2</v>
      </c>
      <c r="X1163" s="12">
        <f t="shared" si="207"/>
        <v>-2.0519134092533697E-4</v>
      </c>
      <c r="Y1163" s="12">
        <f t="shared" si="208"/>
        <v>1.3357860478279138E-2</v>
      </c>
    </row>
    <row r="1164" spans="1:25" x14ac:dyDescent="0.35">
      <c r="A1164" s="6">
        <v>45818</v>
      </c>
      <c r="B1164" s="8">
        <v>6038.81</v>
      </c>
      <c r="C1164" s="2">
        <v>202.67</v>
      </c>
      <c r="D1164" s="2">
        <v>276.24</v>
      </c>
      <c r="E1164" s="2">
        <v>470.92</v>
      </c>
      <c r="F1164" s="2">
        <v>303.79000000000002</v>
      </c>
      <c r="G1164" s="2">
        <v>156.44999999999999</v>
      </c>
      <c r="H1164" s="2">
        <v>370.7</v>
      </c>
      <c r="I1164" s="2">
        <v>299.52</v>
      </c>
      <c r="J1164" s="2">
        <v>215.73</v>
      </c>
      <c r="K1164" s="2">
        <v>97.32</v>
      </c>
      <c r="L1164" s="2">
        <v>358.57</v>
      </c>
      <c r="M1164" s="64" t="s">
        <v>77</v>
      </c>
      <c r="N1164" s="1"/>
      <c r="O1164" s="12">
        <f t="shared" si="198"/>
        <v>5.4829600325014827E-3</v>
      </c>
      <c r="P1164" s="12">
        <f t="shared" si="199"/>
        <v>6.0560933234052872E-3</v>
      </c>
      <c r="Q1164" s="12">
        <f t="shared" si="200"/>
        <v>1.5289620699794337E-2</v>
      </c>
      <c r="R1164" s="12">
        <f t="shared" si="201"/>
        <v>-3.8709677419354049E-3</v>
      </c>
      <c r="S1164" s="12">
        <f t="shared" si="202"/>
        <v>1.9789570896138198E-3</v>
      </c>
      <c r="T1164" s="12">
        <f t="shared" si="203"/>
        <v>7.8593055466082973E-3</v>
      </c>
      <c r="U1164" s="12">
        <f t="shared" si="204"/>
        <v>1.1018382152402584E-2</v>
      </c>
      <c r="V1164" s="12">
        <f t="shared" si="205"/>
        <v>-6.7648229208118194E-3</v>
      </c>
      <c r="W1164" s="12">
        <f t="shared" si="206"/>
        <v>-8.1835317916417738E-3</v>
      </c>
      <c r="X1164" s="12">
        <f t="shared" si="207"/>
        <v>-1.3340174448436271E-3</v>
      </c>
      <c r="Y1164" s="12">
        <f t="shared" si="208"/>
        <v>1.3963750104728501E-3</v>
      </c>
    </row>
    <row r="1165" spans="1:25" x14ac:dyDescent="0.35">
      <c r="A1165" s="6">
        <v>45819</v>
      </c>
      <c r="B1165" s="8">
        <v>6022.24</v>
      </c>
      <c r="C1165" s="2">
        <v>198.78</v>
      </c>
      <c r="D1165" s="2">
        <v>281.52</v>
      </c>
      <c r="E1165" s="2">
        <v>472.62</v>
      </c>
      <c r="F1165" s="2">
        <v>310.56</v>
      </c>
      <c r="G1165" s="2">
        <v>155.26</v>
      </c>
      <c r="H1165" s="2">
        <v>373.31</v>
      </c>
      <c r="I1165" s="2">
        <v>299.10000000000002</v>
      </c>
      <c r="J1165" s="2">
        <v>214</v>
      </c>
      <c r="K1165" s="2">
        <v>95.8</v>
      </c>
      <c r="L1165" s="2">
        <v>363.14</v>
      </c>
      <c r="M1165" s="64" t="s">
        <v>77</v>
      </c>
      <c r="N1165" s="1"/>
      <c r="O1165" s="12">
        <f t="shared" si="198"/>
        <v>-2.7439180898224391E-3</v>
      </c>
      <c r="P1165" s="12">
        <f t="shared" si="199"/>
        <v>-1.9193763260472618E-2</v>
      </c>
      <c r="Q1165" s="12">
        <f t="shared" si="200"/>
        <v>1.9113814074717572E-2</v>
      </c>
      <c r="R1165" s="12">
        <f t="shared" si="201"/>
        <v>3.609954981737884E-3</v>
      </c>
      <c r="S1165" s="12">
        <f t="shared" si="202"/>
        <v>2.2285131176141393E-2</v>
      </c>
      <c r="T1165" s="12">
        <f t="shared" si="203"/>
        <v>-7.6062639821028455E-3</v>
      </c>
      <c r="U1165" s="12">
        <f t="shared" si="204"/>
        <v>7.0407337469653442E-3</v>
      </c>
      <c r="V1165" s="12">
        <f t="shared" si="205"/>
        <v>-1.4022435897435015E-3</v>
      </c>
      <c r="W1165" s="12">
        <f t="shared" si="206"/>
        <v>-8.0192833634635807E-3</v>
      </c>
      <c r="X1165" s="12">
        <f t="shared" si="207"/>
        <v>-1.5618577887381746E-2</v>
      </c>
      <c r="Y1165" s="12">
        <f t="shared" si="208"/>
        <v>1.2745070697492755E-2</v>
      </c>
    </row>
    <row r="1166" spans="1:25" x14ac:dyDescent="0.35">
      <c r="A1166" s="6">
        <v>45820</v>
      </c>
      <c r="B1166" s="8">
        <v>6045.26</v>
      </c>
      <c r="C1166" s="2">
        <v>199.2</v>
      </c>
      <c r="D1166" s="2">
        <v>281.02999999999997</v>
      </c>
      <c r="E1166" s="2">
        <v>478.87</v>
      </c>
      <c r="F1166" s="2">
        <v>318.5</v>
      </c>
      <c r="G1166" s="2">
        <v>156.66</v>
      </c>
      <c r="H1166" s="2">
        <v>371.4</v>
      </c>
      <c r="I1166" s="2">
        <v>297.99</v>
      </c>
      <c r="J1166" s="2">
        <v>203.75</v>
      </c>
      <c r="K1166" s="2">
        <v>94.83</v>
      </c>
      <c r="L1166" s="2">
        <v>360.96</v>
      </c>
      <c r="M1166" s="64" t="s">
        <v>77</v>
      </c>
      <c r="N1166" s="1"/>
      <c r="O1166" s="12">
        <f t="shared" si="198"/>
        <v>3.8224979409655635E-3</v>
      </c>
      <c r="P1166" s="12">
        <f t="shared" si="199"/>
        <v>2.1128886205854513E-3</v>
      </c>
      <c r="Q1166" s="12">
        <f t="shared" si="200"/>
        <v>-1.7405512929810074E-3</v>
      </c>
      <c r="R1166" s="12">
        <f t="shared" si="201"/>
        <v>1.3224154712030867E-2</v>
      </c>
      <c r="S1166" s="12">
        <f t="shared" si="202"/>
        <v>2.5566718186501802E-2</v>
      </c>
      <c r="T1166" s="12">
        <f t="shared" si="203"/>
        <v>9.0171325518484391E-3</v>
      </c>
      <c r="U1166" s="12">
        <f t="shared" si="204"/>
        <v>-5.116391203021653E-3</v>
      </c>
      <c r="V1166" s="12">
        <f t="shared" si="205"/>
        <v>-3.7111334002006835E-3</v>
      </c>
      <c r="W1166" s="12">
        <f t="shared" si="206"/>
        <v>-4.7897196261682207E-2</v>
      </c>
      <c r="X1166" s="12">
        <f t="shared" si="207"/>
        <v>-1.0125260960334059E-2</v>
      </c>
      <c r="Y1166" s="12">
        <f t="shared" si="208"/>
        <v>-6.0031943603018334E-3</v>
      </c>
    </row>
    <row r="1167" spans="1:25" x14ac:dyDescent="0.35">
      <c r="A1167" s="6">
        <v>45821</v>
      </c>
      <c r="B1167" s="8">
        <v>5976.97</v>
      </c>
      <c r="C1167" s="2">
        <v>196.45</v>
      </c>
      <c r="D1167" s="2">
        <v>277.22000000000003</v>
      </c>
      <c r="E1167" s="2">
        <v>474.96</v>
      </c>
      <c r="F1167" s="2">
        <v>313.52999999999997</v>
      </c>
      <c r="G1167" s="2">
        <v>157.1</v>
      </c>
      <c r="H1167" s="2">
        <v>352.85</v>
      </c>
      <c r="I1167" s="2">
        <v>287.79000000000002</v>
      </c>
      <c r="J1167" s="2">
        <v>200.32</v>
      </c>
      <c r="K1167" s="2">
        <v>94.44</v>
      </c>
      <c r="L1167" s="2">
        <v>357.05</v>
      </c>
      <c r="M1167" s="64" t="s">
        <v>77</v>
      </c>
      <c r="N1167" s="1"/>
      <c r="O1167" s="12">
        <f t="shared" si="198"/>
        <v>-1.1296453750541779E-2</v>
      </c>
      <c r="P1167" s="12">
        <f t="shared" si="199"/>
        <v>-1.3805220883534086E-2</v>
      </c>
      <c r="Q1167" s="12">
        <f t="shared" si="200"/>
        <v>-1.3557271465679643E-2</v>
      </c>
      <c r="R1167" s="12">
        <f t="shared" si="201"/>
        <v>-8.1650552341971938E-3</v>
      </c>
      <c r="S1167" s="12">
        <f t="shared" si="202"/>
        <v>-1.5604395604395638E-2</v>
      </c>
      <c r="T1167" s="12">
        <f t="shared" si="203"/>
        <v>2.808630154474745E-3</v>
      </c>
      <c r="U1167" s="12">
        <f t="shared" si="204"/>
        <v>-4.9946149703823273E-2</v>
      </c>
      <c r="V1167" s="12">
        <f t="shared" si="205"/>
        <v>-3.4229336554917889E-2</v>
      </c>
      <c r="W1167" s="12">
        <f t="shared" si="206"/>
        <v>-1.6834355828220904E-2</v>
      </c>
      <c r="X1167" s="12">
        <f t="shared" si="207"/>
        <v>-4.1126225877886613E-3</v>
      </c>
      <c r="Y1167" s="12">
        <f t="shared" si="208"/>
        <v>-1.0832225177304866E-2</v>
      </c>
    </row>
    <row r="1168" spans="1:25" x14ac:dyDescent="0.35">
      <c r="A1168" s="6">
        <v>45824</v>
      </c>
      <c r="B1168" s="8">
        <v>6033.11</v>
      </c>
      <c r="C1168" s="2">
        <v>198.42</v>
      </c>
      <c r="D1168" s="2">
        <v>281.83</v>
      </c>
      <c r="E1168" s="2">
        <v>479.14</v>
      </c>
      <c r="F1168" s="2">
        <v>307.66000000000003</v>
      </c>
      <c r="G1168" s="2">
        <v>155.22</v>
      </c>
      <c r="H1168" s="2">
        <v>355.48</v>
      </c>
      <c r="I1168" s="2">
        <v>294.22000000000003</v>
      </c>
      <c r="J1168" s="2">
        <v>201.7</v>
      </c>
      <c r="K1168" s="2">
        <v>94.29</v>
      </c>
      <c r="L1168" s="2">
        <v>362.44</v>
      </c>
      <c r="M1168" s="64">
        <v>10.3</v>
      </c>
      <c r="N1168" s="1"/>
      <c r="O1168" s="12">
        <f t="shared" si="198"/>
        <v>9.3927190532994143E-3</v>
      </c>
      <c r="P1168" s="12">
        <f t="shared" si="199"/>
        <v>1.0027996945787709E-2</v>
      </c>
      <c r="Q1168" s="12">
        <f t="shared" si="200"/>
        <v>1.6629391818771877E-2</v>
      </c>
      <c r="R1168" s="12">
        <f t="shared" si="201"/>
        <v>8.8007411150412551E-3</v>
      </c>
      <c r="S1168" s="12">
        <f t="shared" si="202"/>
        <v>-1.8722291327783469E-2</v>
      </c>
      <c r="T1168" s="12">
        <f t="shared" si="203"/>
        <v>-1.196690006365364E-2</v>
      </c>
      <c r="U1168" s="12">
        <f t="shared" si="204"/>
        <v>7.4535921779792513E-3</v>
      </c>
      <c r="V1168" s="12">
        <f t="shared" si="205"/>
        <v>2.2342680426699957E-2</v>
      </c>
      <c r="W1168" s="12">
        <f t="shared" si="206"/>
        <v>6.8889776357827781E-3</v>
      </c>
      <c r="X1168" s="12">
        <f t="shared" si="207"/>
        <v>-1.5883100381193227E-3</v>
      </c>
      <c r="Y1168" s="12">
        <f t="shared" si="208"/>
        <v>1.5095924940484506E-2</v>
      </c>
    </row>
    <row r="1169" spans="1:25" x14ac:dyDescent="0.35">
      <c r="A1169" s="6">
        <v>45825</v>
      </c>
      <c r="B1169" s="8">
        <v>5982.72</v>
      </c>
      <c r="C1169" s="2">
        <v>195.64</v>
      </c>
      <c r="D1169" s="2">
        <v>283.05</v>
      </c>
      <c r="E1169" s="2">
        <v>478.04</v>
      </c>
      <c r="F1169" s="2">
        <v>308.87</v>
      </c>
      <c r="G1169" s="2">
        <v>152.38</v>
      </c>
      <c r="H1169" s="2">
        <v>357.84</v>
      </c>
      <c r="I1169" s="2">
        <v>292.81</v>
      </c>
      <c r="J1169" s="2">
        <v>200.26</v>
      </c>
      <c r="K1169" s="2">
        <v>94.25</v>
      </c>
      <c r="L1169" s="2">
        <v>357.68</v>
      </c>
      <c r="M1169" s="64" t="s">
        <v>77</v>
      </c>
      <c r="N1169" s="1"/>
      <c r="O1169" s="12">
        <f t="shared" si="198"/>
        <v>-8.3522428730786746E-3</v>
      </c>
      <c r="P1169" s="12">
        <f t="shared" si="199"/>
        <v>-1.4010684406813856E-2</v>
      </c>
      <c r="Q1169" s="12">
        <f t="shared" si="200"/>
        <v>4.3288507256147302E-3</v>
      </c>
      <c r="R1169" s="12">
        <f t="shared" si="201"/>
        <v>-2.2957799390573852E-3</v>
      </c>
      <c r="S1169" s="12">
        <f t="shared" si="202"/>
        <v>3.9329129558602904E-3</v>
      </c>
      <c r="T1169" s="12">
        <f t="shared" si="203"/>
        <v>-1.8296611261435447E-2</v>
      </c>
      <c r="U1169" s="12">
        <f t="shared" si="204"/>
        <v>6.6389107685382864E-3</v>
      </c>
      <c r="V1169" s="12">
        <f t="shared" si="205"/>
        <v>-4.7923322683707248E-3</v>
      </c>
      <c r="W1169" s="12">
        <f t="shared" si="206"/>
        <v>-7.1393158155677039E-3</v>
      </c>
      <c r="X1169" s="12">
        <f t="shared" si="207"/>
        <v>-4.2422314137247064E-4</v>
      </c>
      <c r="Y1169" s="12">
        <f t="shared" si="208"/>
        <v>-1.3133208255159401E-2</v>
      </c>
    </row>
    <row r="1170" spans="1:25" x14ac:dyDescent="0.35">
      <c r="A1170" s="6">
        <v>45826</v>
      </c>
      <c r="B1170" s="8">
        <v>5980.87</v>
      </c>
      <c r="C1170" s="2">
        <v>196.58</v>
      </c>
      <c r="D1170" s="2">
        <v>283.20999999999998</v>
      </c>
      <c r="E1170" s="2">
        <v>480.24</v>
      </c>
      <c r="F1170" s="2">
        <v>307.2</v>
      </c>
      <c r="G1170" s="2">
        <v>150.72999999999999</v>
      </c>
      <c r="H1170" s="2">
        <v>340.38</v>
      </c>
      <c r="I1170" s="2">
        <v>296.42</v>
      </c>
      <c r="J1170" s="2">
        <v>197.68</v>
      </c>
      <c r="K1170" s="2">
        <v>95.09</v>
      </c>
      <c r="L1170" s="2">
        <v>359.8</v>
      </c>
      <c r="M1170" s="64" t="s">
        <v>77</v>
      </c>
      <c r="N1170" s="1"/>
      <c r="O1170" s="12">
        <f t="shared" si="198"/>
        <v>-3.0922389816012696E-4</v>
      </c>
      <c r="P1170" s="12">
        <f t="shared" si="199"/>
        <v>4.8047434062565841E-3</v>
      </c>
      <c r="Q1170" s="12">
        <f t="shared" si="200"/>
        <v>5.6527115350624157E-4</v>
      </c>
      <c r="R1170" s="12">
        <f t="shared" si="201"/>
        <v>4.602125345159358E-3</v>
      </c>
      <c r="S1170" s="12">
        <f t="shared" si="202"/>
        <v>-5.406805452132013E-3</v>
      </c>
      <c r="T1170" s="12">
        <f t="shared" si="203"/>
        <v>-1.0828192676204274E-2</v>
      </c>
      <c r="U1170" s="12">
        <f t="shared" si="204"/>
        <v>-4.8792756539235316E-2</v>
      </c>
      <c r="V1170" s="12">
        <f t="shared" si="205"/>
        <v>1.2328813906628877E-2</v>
      </c>
      <c r="W1170" s="12">
        <f t="shared" si="206"/>
        <v>-1.2883251772695448E-2</v>
      </c>
      <c r="X1170" s="12">
        <f t="shared" si="207"/>
        <v>8.9124668435014431E-3</v>
      </c>
      <c r="Y1170" s="12">
        <f t="shared" si="208"/>
        <v>5.927085663162579E-3</v>
      </c>
    </row>
    <row r="1171" spans="1:25" x14ac:dyDescent="0.35">
      <c r="A1171" s="6">
        <v>45828</v>
      </c>
      <c r="B1171" s="8">
        <v>5967.84</v>
      </c>
      <c r="C1171" s="2">
        <v>201</v>
      </c>
      <c r="D1171" s="2">
        <v>280.97000000000003</v>
      </c>
      <c r="E1171" s="2">
        <v>477.4</v>
      </c>
      <c r="F1171" s="2">
        <v>302.01</v>
      </c>
      <c r="G1171" s="2">
        <v>149.79</v>
      </c>
      <c r="H1171" s="2">
        <v>338.57</v>
      </c>
      <c r="I1171" s="2">
        <v>298.58999999999997</v>
      </c>
      <c r="J1171" s="2">
        <v>198.75</v>
      </c>
      <c r="K1171" s="2">
        <v>96.12</v>
      </c>
      <c r="L1171" s="2">
        <v>360.52</v>
      </c>
      <c r="M1171" s="64" t="s">
        <v>77</v>
      </c>
      <c r="N1171" s="1"/>
      <c r="O1171" s="12">
        <f t="shared" si="198"/>
        <v>-2.1786128105107938E-3</v>
      </c>
      <c r="P1171" s="12">
        <f t="shared" si="199"/>
        <v>2.248448468816755E-2</v>
      </c>
      <c r="Q1171" s="12">
        <f t="shared" si="200"/>
        <v>-7.9093252356906563E-3</v>
      </c>
      <c r="R1171" s="12">
        <f t="shared" si="201"/>
        <v>-5.91370981176087E-3</v>
      </c>
      <c r="S1171" s="12">
        <f t="shared" si="202"/>
        <v>-1.6894531249999956E-2</v>
      </c>
      <c r="T1171" s="12">
        <f t="shared" si="203"/>
        <v>-6.2363165925827246E-3</v>
      </c>
      <c r="U1171" s="12">
        <f t="shared" si="204"/>
        <v>-5.3175862271579444E-3</v>
      </c>
      <c r="V1171" s="12">
        <f t="shared" si="205"/>
        <v>7.3206936104175391E-3</v>
      </c>
      <c r="W1171" s="12">
        <f t="shared" si="206"/>
        <v>5.412788344799635E-3</v>
      </c>
      <c r="X1171" s="12">
        <f t="shared" si="207"/>
        <v>1.0831843516668327E-2</v>
      </c>
      <c r="Y1171" s="12">
        <f t="shared" si="208"/>
        <v>2.0011117287381808E-3</v>
      </c>
    </row>
    <row r="1172" spans="1:25" x14ac:dyDescent="0.35">
      <c r="A1172" s="6">
        <v>45831</v>
      </c>
      <c r="B1172" s="8">
        <v>6025.17</v>
      </c>
      <c r="C1172" s="2">
        <v>201.5</v>
      </c>
      <c r="D1172" s="2">
        <v>289.18</v>
      </c>
      <c r="E1172" s="2">
        <v>486</v>
      </c>
      <c r="F1172" s="2">
        <v>300.68</v>
      </c>
      <c r="G1172" s="2">
        <v>151.32</v>
      </c>
      <c r="H1172" s="2">
        <v>343.75</v>
      </c>
      <c r="I1172" s="2">
        <v>299.63</v>
      </c>
      <c r="J1172" s="2">
        <v>201.31</v>
      </c>
      <c r="K1172" s="2">
        <v>97.87</v>
      </c>
      <c r="L1172" s="2">
        <v>366.23</v>
      </c>
      <c r="M1172" s="64" t="s">
        <v>77</v>
      </c>
      <c r="N1172" s="1"/>
      <c r="O1172" s="12">
        <f t="shared" si="198"/>
        <v>9.6064907906379116E-3</v>
      </c>
      <c r="P1172" s="12">
        <f t="shared" si="199"/>
        <v>2.4875621890547706E-3</v>
      </c>
      <c r="Q1172" s="12">
        <f t="shared" si="200"/>
        <v>2.9220201444994043E-2</v>
      </c>
      <c r="R1172" s="12">
        <f t="shared" si="201"/>
        <v>1.8014243820695386E-2</v>
      </c>
      <c r="S1172" s="12">
        <f t="shared" si="202"/>
        <v>-4.4038276878248794E-3</v>
      </c>
      <c r="T1172" s="12">
        <f t="shared" si="203"/>
        <v>1.02143000200281E-2</v>
      </c>
      <c r="U1172" s="12">
        <f t="shared" si="204"/>
        <v>1.5299642614525766E-2</v>
      </c>
      <c r="V1172" s="12">
        <f t="shared" si="205"/>
        <v>3.4830369402860661E-3</v>
      </c>
      <c r="W1172" s="12">
        <f t="shared" si="206"/>
        <v>1.2880503144654165E-2</v>
      </c>
      <c r="X1172" s="12">
        <f t="shared" si="207"/>
        <v>1.8206408655846884E-2</v>
      </c>
      <c r="Y1172" s="12">
        <f t="shared" si="208"/>
        <v>1.58382336624876E-2</v>
      </c>
    </row>
    <row r="1173" spans="1:25" x14ac:dyDescent="0.35">
      <c r="A1173" s="6">
        <v>45832</v>
      </c>
      <c r="B1173" s="8">
        <v>6092.18</v>
      </c>
      <c r="C1173" s="2">
        <v>200.3</v>
      </c>
      <c r="D1173" s="2">
        <v>293.79000000000002</v>
      </c>
      <c r="E1173" s="2">
        <v>490.11</v>
      </c>
      <c r="F1173" s="2">
        <v>305.62</v>
      </c>
      <c r="G1173" s="2">
        <v>152.19</v>
      </c>
      <c r="H1173" s="2">
        <v>351.63</v>
      </c>
      <c r="I1173" s="2">
        <v>308.38</v>
      </c>
      <c r="J1173" s="2">
        <v>200.94</v>
      </c>
      <c r="K1173" s="2">
        <v>98</v>
      </c>
      <c r="L1173" s="2">
        <v>373.02</v>
      </c>
      <c r="M1173" s="64">
        <v>10.210000000000001</v>
      </c>
      <c r="N1173" s="1"/>
      <c r="O1173" s="12">
        <f t="shared" si="198"/>
        <v>1.1121677894565751E-2</v>
      </c>
      <c r="P1173" s="12">
        <f t="shared" si="199"/>
        <v>-5.9553349875930417E-3</v>
      </c>
      <c r="Q1173" s="12">
        <f t="shared" si="200"/>
        <v>1.5941628051732604E-2</v>
      </c>
      <c r="R1173" s="12">
        <f t="shared" si="201"/>
        <v>8.4567901234569032E-3</v>
      </c>
      <c r="S1173" s="12">
        <f t="shared" si="202"/>
        <v>1.6429426632965205E-2</v>
      </c>
      <c r="T1173" s="12">
        <f t="shared" si="203"/>
        <v>5.749405233941296E-3</v>
      </c>
      <c r="U1173" s="12">
        <f t="shared" si="204"/>
        <v>2.2923636363636257E-2</v>
      </c>
      <c r="V1173" s="12">
        <f t="shared" si="205"/>
        <v>2.9202683309415001E-2</v>
      </c>
      <c r="W1173" s="12">
        <f t="shared" si="206"/>
        <v>-1.8379613531369632E-3</v>
      </c>
      <c r="X1173" s="12">
        <f t="shared" si="207"/>
        <v>1.328292633084649E-3</v>
      </c>
      <c r="Y1173" s="12">
        <f t="shared" si="208"/>
        <v>1.8540261584250262E-2</v>
      </c>
    </row>
    <row r="1174" spans="1:25" x14ac:dyDescent="0.35">
      <c r="A1174" s="6">
        <v>45833</v>
      </c>
      <c r="B1174" s="8">
        <v>6092.16</v>
      </c>
      <c r="C1174" s="2">
        <v>201.56</v>
      </c>
      <c r="D1174" s="2">
        <v>291.06</v>
      </c>
      <c r="E1174" s="2">
        <v>492.27</v>
      </c>
      <c r="F1174" s="2">
        <v>302.02</v>
      </c>
      <c r="G1174" s="2">
        <v>152.28</v>
      </c>
      <c r="H1174" s="2">
        <v>345.26</v>
      </c>
      <c r="I1174" s="2">
        <v>308.58999999999997</v>
      </c>
      <c r="J1174" s="2">
        <v>198.9</v>
      </c>
      <c r="K1174" s="2">
        <v>97.26</v>
      </c>
      <c r="L1174" s="2">
        <v>371.58</v>
      </c>
      <c r="M1174" s="64" t="s">
        <v>77</v>
      </c>
      <c r="N1174" s="1"/>
      <c r="O1174" s="12">
        <f t="shared" si="198"/>
        <v>-3.282897091061443E-6</v>
      </c>
      <c r="P1174" s="12">
        <f t="shared" si="199"/>
        <v>6.2905641537693846E-3</v>
      </c>
      <c r="Q1174" s="12">
        <f t="shared" si="200"/>
        <v>-9.2923516797712713E-3</v>
      </c>
      <c r="R1174" s="12">
        <f t="shared" si="201"/>
        <v>4.4071738997366605E-3</v>
      </c>
      <c r="S1174" s="12">
        <f t="shared" si="202"/>
        <v>-1.1779333813232151E-2</v>
      </c>
      <c r="T1174" s="12">
        <f t="shared" si="203"/>
        <v>5.9136605558851585E-4</v>
      </c>
      <c r="U1174" s="12">
        <f t="shared" si="204"/>
        <v>-1.8115632909592505E-2</v>
      </c>
      <c r="V1174" s="12">
        <f t="shared" si="205"/>
        <v>6.809780141383559E-4</v>
      </c>
      <c r="W1174" s="12">
        <f t="shared" si="206"/>
        <v>-1.015228426395931E-2</v>
      </c>
      <c r="X1174" s="12">
        <f t="shared" si="207"/>
        <v>-7.5510204081632448E-3</v>
      </c>
      <c r="Y1174" s="12">
        <f t="shared" si="208"/>
        <v>-3.8603828212964153E-3</v>
      </c>
    </row>
    <row r="1175" spans="1:25" x14ac:dyDescent="0.35">
      <c r="A1175" s="6">
        <v>45834</v>
      </c>
      <c r="B1175" s="8">
        <v>6141.02</v>
      </c>
      <c r="C1175" s="2">
        <v>201</v>
      </c>
      <c r="D1175" s="2">
        <v>291.93</v>
      </c>
      <c r="E1175" s="2">
        <v>497.45</v>
      </c>
      <c r="F1175" s="2">
        <v>302.62</v>
      </c>
      <c r="G1175" s="2">
        <v>152.01</v>
      </c>
      <c r="H1175" s="2">
        <v>346.03</v>
      </c>
      <c r="I1175" s="2">
        <v>311.42</v>
      </c>
      <c r="J1175" s="2">
        <v>202.58</v>
      </c>
      <c r="K1175" s="2">
        <v>96.02</v>
      </c>
      <c r="L1175" s="2">
        <v>381.88</v>
      </c>
      <c r="M1175" s="64" t="s">
        <v>77</v>
      </c>
      <c r="N1175" s="1"/>
      <c r="O1175" s="12">
        <f t="shared" si="198"/>
        <v>8.0201439226810223E-3</v>
      </c>
      <c r="P1175" s="12">
        <f t="shared" si="199"/>
        <v>-2.7783290335383626E-3</v>
      </c>
      <c r="Q1175" s="12">
        <f t="shared" si="200"/>
        <v>2.9890744176459538E-3</v>
      </c>
      <c r="R1175" s="12">
        <f t="shared" si="201"/>
        <v>1.0522680642736759E-2</v>
      </c>
      <c r="S1175" s="12">
        <f t="shared" si="202"/>
        <v>1.9866234024237261E-3</v>
      </c>
      <c r="T1175" s="12">
        <f t="shared" si="203"/>
        <v>-1.7730496453901567E-3</v>
      </c>
      <c r="U1175" s="12">
        <f t="shared" si="204"/>
        <v>2.2302033250303221E-3</v>
      </c>
      <c r="V1175" s="12">
        <f t="shared" si="205"/>
        <v>9.1707443533493027E-3</v>
      </c>
      <c r="W1175" s="12">
        <f t="shared" si="206"/>
        <v>1.8501759678230201E-2</v>
      </c>
      <c r="X1175" s="12">
        <f t="shared" si="207"/>
        <v>-1.2749331688258314E-2</v>
      </c>
      <c r="Y1175" s="12">
        <f t="shared" si="208"/>
        <v>2.7719468216804044E-2</v>
      </c>
    </row>
    <row r="1176" spans="1:25" x14ac:dyDescent="0.35">
      <c r="A1176" s="6">
        <v>45835</v>
      </c>
      <c r="B1176" s="8">
        <v>6173.07</v>
      </c>
      <c r="C1176" s="2">
        <v>201.08</v>
      </c>
      <c r="D1176" s="2">
        <v>289.7</v>
      </c>
      <c r="E1176" s="2">
        <v>495.94</v>
      </c>
      <c r="F1176" s="2">
        <v>309.11</v>
      </c>
      <c r="G1176" s="2">
        <v>152.41</v>
      </c>
      <c r="H1176" s="2">
        <v>348.61</v>
      </c>
      <c r="I1176" s="2">
        <v>317.19</v>
      </c>
      <c r="J1176" s="2">
        <v>214.55</v>
      </c>
      <c r="K1176" s="2">
        <v>97.27</v>
      </c>
      <c r="L1176" s="2">
        <v>384.71</v>
      </c>
      <c r="M1176" s="64" t="s">
        <v>77</v>
      </c>
      <c r="N1176" s="1"/>
      <c r="O1176" s="12">
        <f t="shared" si="198"/>
        <v>5.2190027063907518E-3</v>
      </c>
      <c r="P1176" s="12">
        <f t="shared" si="199"/>
        <v>3.9800995024874553E-4</v>
      </c>
      <c r="Q1176" s="12">
        <f t="shared" si="200"/>
        <v>-7.638817524749153E-3</v>
      </c>
      <c r="R1176" s="12">
        <f t="shared" si="201"/>
        <v>-3.0354809528595483E-3</v>
      </c>
      <c r="S1176" s="12">
        <f t="shared" si="202"/>
        <v>2.1446037935364481E-2</v>
      </c>
      <c r="T1176" s="12">
        <f t="shared" si="203"/>
        <v>2.6314058285639153E-3</v>
      </c>
      <c r="U1176" s="12">
        <f t="shared" si="204"/>
        <v>7.4560009247754966E-3</v>
      </c>
      <c r="V1176" s="12">
        <f t="shared" si="205"/>
        <v>1.8528032881638845E-2</v>
      </c>
      <c r="W1176" s="12">
        <f t="shared" si="206"/>
        <v>5.9087767795438895E-2</v>
      </c>
      <c r="X1176" s="12">
        <f t="shared" si="207"/>
        <v>1.3018121224744883E-2</v>
      </c>
      <c r="Y1176" s="12">
        <f t="shared" si="208"/>
        <v>7.4107049334868336E-3</v>
      </c>
    </row>
    <row r="1177" spans="1:25" x14ac:dyDescent="0.35">
      <c r="A1177" s="6">
        <v>45838</v>
      </c>
      <c r="B1177" s="8">
        <v>6204.95</v>
      </c>
      <c r="C1177" s="2">
        <v>205.17</v>
      </c>
      <c r="D1177" s="2">
        <v>294.77999999999997</v>
      </c>
      <c r="E1177" s="2">
        <v>497.41</v>
      </c>
      <c r="F1177" s="2">
        <v>311.97000000000003</v>
      </c>
      <c r="G1177" s="2">
        <v>152.75</v>
      </c>
      <c r="H1177" s="2">
        <v>355.05</v>
      </c>
      <c r="I1177" s="2">
        <v>318.98</v>
      </c>
      <c r="J1177" s="2">
        <v>209.53</v>
      </c>
      <c r="K1177" s="2">
        <v>97.78</v>
      </c>
      <c r="L1177" s="2">
        <v>388.21</v>
      </c>
      <c r="M1177" s="64" t="s">
        <v>77</v>
      </c>
      <c r="N1177" s="1"/>
      <c r="O1177" s="12">
        <f t="shared" si="198"/>
        <v>5.1643671625301035E-3</v>
      </c>
      <c r="P1177" s="12">
        <f t="shared" si="199"/>
        <v>2.0340163119156429E-2</v>
      </c>
      <c r="Q1177" s="12">
        <f t="shared" si="200"/>
        <v>1.7535381429064412E-2</v>
      </c>
      <c r="R1177" s="12">
        <f t="shared" si="201"/>
        <v>2.9640682340605906E-3</v>
      </c>
      <c r="S1177" s="12">
        <f t="shared" si="202"/>
        <v>9.2523697065769461E-3</v>
      </c>
      <c r="T1177" s="12">
        <f t="shared" si="203"/>
        <v>2.2308247490321342E-3</v>
      </c>
      <c r="U1177" s="12">
        <f t="shared" si="204"/>
        <v>1.84733656521614E-2</v>
      </c>
      <c r="V1177" s="12">
        <f t="shared" si="205"/>
        <v>5.6433052744413459E-3</v>
      </c>
      <c r="W1177" s="12">
        <f t="shared" si="206"/>
        <v>-2.3397809368445599E-2</v>
      </c>
      <c r="X1177" s="12">
        <f t="shared" si="207"/>
        <v>5.2431376580652778E-3</v>
      </c>
      <c r="Y1177" s="12">
        <f t="shared" si="208"/>
        <v>9.0977619505601126E-3</v>
      </c>
    </row>
    <row r="1178" spans="1:25" x14ac:dyDescent="0.35">
      <c r="A1178" s="6">
        <v>45839</v>
      </c>
      <c r="B1178" s="8">
        <v>6198.01</v>
      </c>
      <c r="C1178" s="2">
        <v>207.82</v>
      </c>
      <c r="D1178" s="2">
        <v>291.2</v>
      </c>
      <c r="E1178" s="2">
        <v>492.05</v>
      </c>
      <c r="F1178" s="2">
        <v>326.14</v>
      </c>
      <c r="G1178" s="2">
        <v>155.91999999999999</v>
      </c>
      <c r="H1178" s="2">
        <v>355.47</v>
      </c>
      <c r="I1178" s="2">
        <v>322.52999999999997</v>
      </c>
      <c r="J1178" s="2">
        <v>209.79</v>
      </c>
      <c r="K1178" s="2">
        <v>98.24</v>
      </c>
      <c r="L1178" s="2">
        <v>390.92</v>
      </c>
      <c r="M1178" s="64">
        <v>10.199999999999999</v>
      </c>
      <c r="N1178" s="1"/>
      <c r="O1178" s="12">
        <f t="shared" si="198"/>
        <v>-1.1184618731818752E-3</v>
      </c>
      <c r="P1178" s="12">
        <f t="shared" si="199"/>
        <v>1.2916118340888127E-2</v>
      </c>
      <c r="Q1178" s="12">
        <f t="shared" si="200"/>
        <v>-1.2144650247642219E-2</v>
      </c>
      <c r="R1178" s="12">
        <f t="shared" si="201"/>
        <v>-1.0775818741078802E-2</v>
      </c>
      <c r="S1178" s="12">
        <f t="shared" si="202"/>
        <v>4.5421034073789057E-2</v>
      </c>
      <c r="T1178" s="12">
        <f t="shared" si="203"/>
        <v>2.07528641571193E-2</v>
      </c>
      <c r="U1178" s="12">
        <f t="shared" si="204"/>
        <v>1.1829319814111727E-3</v>
      </c>
      <c r="V1178" s="12">
        <f t="shared" si="205"/>
        <v>1.1129224402783633E-2</v>
      </c>
      <c r="W1178" s="12">
        <f t="shared" si="206"/>
        <v>1.2408724287691353E-3</v>
      </c>
      <c r="X1178" s="12">
        <f t="shared" si="207"/>
        <v>4.7044385354877427E-3</v>
      </c>
      <c r="Y1178" s="12">
        <f t="shared" si="208"/>
        <v>6.9807578372531598E-3</v>
      </c>
    </row>
    <row r="1179" spans="1:25" x14ac:dyDescent="0.35">
      <c r="A1179" s="6">
        <v>45840</v>
      </c>
      <c r="B1179" s="8">
        <v>6227.42</v>
      </c>
      <c r="C1179" s="2">
        <v>212.44</v>
      </c>
      <c r="D1179" s="2">
        <v>287.64999999999998</v>
      </c>
      <c r="E1179" s="2">
        <v>491.09</v>
      </c>
      <c r="F1179" s="2">
        <v>307.56</v>
      </c>
      <c r="G1179" s="2">
        <v>155.56</v>
      </c>
      <c r="H1179" s="2">
        <v>354.22</v>
      </c>
      <c r="I1179" s="2">
        <v>325.61</v>
      </c>
      <c r="J1179" s="2">
        <v>212.03</v>
      </c>
      <c r="K1179" s="2">
        <v>97.61</v>
      </c>
      <c r="L1179" s="2">
        <v>398.43</v>
      </c>
      <c r="M1179" s="64" t="s">
        <v>77</v>
      </c>
      <c r="N1179" s="1"/>
      <c r="O1179" s="12">
        <f t="shared" si="198"/>
        <v>4.7450714019499074E-3</v>
      </c>
      <c r="P1179" s="12">
        <f t="shared" si="199"/>
        <v>2.2230776633625382E-2</v>
      </c>
      <c r="Q1179" s="12">
        <f t="shared" si="200"/>
        <v>-1.2190934065934078E-2</v>
      </c>
      <c r="R1179" s="12">
        <f t="shared" si="201"/>
        <v>-1.9510212376792069E-3</v>
      </c>
      <c r="S1179" s="12">
        <f t="shared" si="202"/>
        <v>-5.6969399644324459E-2</v>
      </c>
      <c r="T1179" s="12">
        <f t="shared" si="203"/>
        <v>-2.3088763468444018E-3</v>
      </c>
      <c r="U1179" s="12">
        <f t="shared" si="204"/>
        <v>-3.5164711508707258E-3</v>
      </c>
      <c r="V1179" s="12">
        <f t="shared" si="205"/>
        <v>9.5494992713858196E-3</v>
      </c>
      <c r="W1179" s="12">
        <f t="shared" si="206"/>
        <v>1.0677344010677325E-2</v>
      </c>
      <c r="X1179" s="12">
        <f t="shared" si="207"/>
        <v>-6.4128664495113341E-3</v>
      </c>
      <c r="Y1179" s="12">
        <f t="shared" si="208"/>
        <v>1.9211091783485124E-2</v>
      </c>
    </row>
    <row r="1180" spans="1:25" x14ac:dyDescent="0.35">
      <c r="A1180" s="6">
        <v>45841</v>
      </c>
      <c r="B1180" s="8">
        <v>6279.35</v>
      </c>
      <c r="C1180" s="2">
        <v>213.55</v>
      </c>
      <c r="D1180" s="2">
        <v>291.97000000000003</v>
      </c>
      <c r="E1180" s="2">
        <v>498.84</v>
      </c>
      <c r="F1180" s="2">
        <v>308.55</v>
      </c>
      <c r="G1180" s="2">
        <v>156.01</v>
      </c>
      <c r="H1180" s="2">
        <v>358.86</v>
      </c>
      <c r="I1180" s="2">
        <v>328.13</v>
      </c>
      <c r="J1180" s="2">
        <v>215.92</v>
      </c>
      <c r="K1180" s="2">
        <v>98.36</v>
      </c>
      <c r="L1180" s="2">
        <v>397.86</v>
      </c>
      <c r="M1180" s="64" t="s">
        <v>77</v>
      </c>
      <c r="N1180" s="1"/>
      <c r="O1180" s="12">
        <f t="shared" si="198"/>
        <v>8.33892687501403E-3</v>
      </c>
      <c r="P1180" s="12">
        <f t="shared" si="199"/>
        <v>5.2250047072115446E-3</v>
      </c>
      <c r="Q1180" s="12">
        <f t="shared" si="200"/>
        <v>1.5018251347123313E-2</v>
      </c>
      <c r="R1180" s="12">
        <f t="shared" si="201"/>
        <v>1.5781221364719267E-2</v>
      </c>
      <c r="S1180" s="12">
        <f t="shared" si="202"/>
        <v>3.2188841201716833E-3</v>
      </c>
      <c r="T1180" s="12">
        <f t="shared" si="203"/>
        <v>2.8927744921571907E-3</v>
      </c>
      <c r="U1180" s="12">
        <f t="shared" si="204"/>
        <v>1.3099203884591404E-2</v>
      </c>
      <c r="V1180" s="12">
        <f t="shared" si="205"/>
        <v>7.7393200454531907E-3</v>
      </c>
      <c r="W1180" s="12">
        <f t="shared" si="206"/>
        <v>1.8346460406546194E-2</v>
      </c>
      <c r="X1180" s="12">
        <f t="shared" si="207"/>
        <v>7.683638971416773E-3</v>
      </c>
      <c r="Y1180" s="12">
        <f t="shared" si="208"/>
        <v>-1.4306151645206988E-3</v>
      </c>
    </row>
    <row r="1181" spans="1:25" x14ac:dyDescent="0.35">
      <c r="A1181" s="6">
        <v>45845</v>
      </c>
      <c r="B1181" s="8">
        <v>6229.98</v>
      </c>
      <c r="C1181" s="2">
        <v>209.95</v>
      </c>
      <c r="D1181" s="2">
        <v>292.47000000000003</v>
      </c>
      <c r="E1181" s="2">
        <v>497.72</v>
      </c>
      <c r="F1181" s="2">
        <v>303.70999999999998</v>
      </c>
      <c r="G1181" s="2">
        <v>155.27000000000001</v>
      </c>
      <c r="H1181" s="2">
        <v>356.64</v>
      </c>
      <c r="I1181" s="2">
        <v>322.73</v>
      </c>
      <c r="J1181" s="2">
        <v>218.63</v>
      </c>
      <c r="K1181" s="2">
        <v>99.35</v>
      </c>
      <c r="L1181" s="2">
        <v>391.51</v>
      </c>
      <c r="M1181" s="64" t="s">
        <v>77</v>
      </c>
      <c r="N1181" s="1"/>
      <c r="O1181" s="12">
        <f t="shared" si="198"/>
        <v>-7.8622787390415505E-3</v>
      </c>
      <c r="P1181" s="12">
        <f t="shared" si="199"/>
        <v>-1.6857878716928232E-2</v>
      </c>
      <c r="Q1181" s="12">
        <f t="shared" si="200"/>
        <v>1.7125047093879964E-3</v>
      </c>
      <c r="R1181" s="12">
        <f t="shared" si="201"/>
        <v>-2.2452088846122153E-3</v>
      </c>
      <c r="S1181" s="12">
        <f t="shared" si="202"/>
        <v>-1.5686274509803977E-2</v>
      </c>
      <c r="T1181" s="12">
        <f t="shared" si="203"/>
        <v>-4.7432856868148132E-3</v>
      </c>
      <c r="U1181" s="12">
        <f t="shared" si="204"/>
        <v>-6.1862564788497387E-3</v>
      </c>
      <c r="V1181" s="12">
        <f t="shared" si="205"/>
        <v>-1.6456892085453867E-2</v>
      </c>
      <c r="W1181" s="12">
        <f t="shared" si="206"/>
        <v>1.2550944794368357E-2</v>
      </c>
      <c r="X1181" s="12">
        <f t="shared" si="207"/>
        <v>1.0065067100447189E-2</v>
      </c>
      <c r="Y1181" s="12">
        <f t="shared" si="208"/>
        <v>-1.596038807620781E-2</v>
      </c>
    </row>
    <row r="1182" spans="1:25" x14ac:dyDescent="0.35">
      <c r="A1182" s="6">
        <v>45846</v>
      </c>
      <c r="B1182" s="8">
        <v>6225.52</v>
      </c>
      <c r="C1182" s="2">
        <v>210.01</v>
      </c>
      <c r="D1182" s="2">
        <v>290.42</v>
      </c>
      <c r="E1182" s="2">
        <v>496.62</v>
      </c>
      <c r="F1182" s="2">
        <v>307.7</v>
      </c>
      <c r="G1182" s="2">
        <v>155.79</v>
      </c>
      <c r="H1182" s="2">
        <v>354.55</v>
      </c>
      <c r="I1182" s="2">
        <v>316.98</v>
      </c>
      <c r="J1182" s="2">
        <v>218.52</v>
      </c>
      <c r="K1182" s="2">
        <v>97.09</v>
      </c>
      <c r="L1182" s="2">
        <v>394.29</v>
      </c>
      <c r="M1182" s="64" t="s">
        <v>77</v>
      </c>
      <c r="N1182" s="1"/>
      <c r="O1182" s="12">
        <f t="shared" si="198"/>
        <v>-7.1589314893449885E-4</v>
      </c>
      <c r="P1182" s="12">
        <f t="shared" si="199"/>
        <v>2.8578232912601642E-4</v>
      </c>
      <c r="Q1182" s="12">
        <f t="shared" si="200"/>
        <v>-7.0092659076145258E-3</v>
      </c>
      <c r="R1182" s="12">
        <f t="shared" si="201"/>
        <v>-2.2100779554770078E-3</v>
      </c>
      <c r="S1182" s="12">
        <f t="shared" si="202"/>
        <v>1.313753251456995E-2</v>
      </c>
      <c r="T1182" s="12">
        <f t="shared" si="203"/>
        <v>3.3490049591033966E-3</v>
      </c>
      <c r="U1182" s="12">
        <f t="shared" si="204"/>
        <v>-5.8602512337370127E-3</v>
      </c>
      <c r="V1182" s="12">
        <f t="shared" si="205"/>
        <v>-1.7816750844359075E-2</v>
      </c>
      <c r="W1182" s="12">
        <f t="shared" si="206"/>
        <v>-5.0313314732641778E-4</v>
      </c>
      <c r="X1182" s="12">
        <f t="shared" si="207"/>
        <v>-2.2747861097131228E-2</v>
      </c>
      <c r="Y1182" s="12">
        <f t="shared" si="208"/>
        <v>7.1007126254758468E-3</v>
      </c>
    </row>
    <row r="1183" spans="1:25" x14ac:dyDescent="0.35">
      <c r="A1183" s="6">
        <v>45847</v>
      </c>
      <c r="B1183" s="8">
        <v>6263.26</v>
      </c>
      <c r="C1183" s="2">
        <v>211.14</v>
      </c>
      <c r="D1183" s="2">
        <v>290.14</v>
      </c>
      <c r="E1183" s="2">
        <v>503.51</v>
      </c>
      <c r="F1183" s="2">
        <v>302.91000000000003</v>
      </c>
      <c r="G1183" s="2">
        <v>156.28</v>
      </c>
      <c r="H1183" s="2">
        <v>357.76</v>
      </c>
      <c r="I1183" s="2">
        <v>317.35000000000002</v>
      </c>
      <c r="J1183" s="2">
        <v>226.6</v>
      </c>
      <c r="K1183" s="2">
        <v>96.81</v>
      </c>
      <c r="L1183" s="2">
        <v>402.18</v>
      </c>
      <c r="M1183" s="64">
        <v>10.199999999999999</v>
      </c>
      <c r="N1183" s="1"/>
      <c r="O1183" s="12">
        <f t="shared" si="198"/>
        <v>6.0621442064276998E-3</v>
      </c>
      <c r="P1183" s="12">
        <f t="shared" si="199"/>
        <v>5.3806961573257261E-3</v>
      </c>
      <c r="Q1183" s="12">
        <f t="shared" si="200"/>
        <v>-9.6412092831077434E-4</v>
      </c>
      <c r="R1183" s="12">
        <f t="shared" si="201"/>
        <v>1.3873786798759502E-2</v>
      </c>
      <c r="S1183" s="12">
        <f t="shared" si="202"/>
        <v>-1.556711082222928E-2</v>
      </c>
      <c r="T1183" s="12">
        <f t="shared" si="203"/>
        <v>3.1452596443930503E-3</v>
      </c>
      <c r="U1183" s="12">
        <f t="shared" si="204"/>
        <v>9.0537300803834597E-3</v>
      </c>
      <c r="V1183" s="12">
        <f t="shared" si="205"/>
        <v>1.1672660735693174E-3</v>
      </c>
      <c r="W1183" s="12">
        <f t="shared" si="206"/>
        <v>3.6976020501555906E-2</v>
      </c>
      <c r="X1183" s="12">
        <f t="shared" si="207"/>
        <v>-2.8839221341023791E-3</v>
      </c>
      <c r="Y1183" s="12">
        <f t="shared" si="208"/>
        <v>2.0010652058129796E-2</v>
      </c>
    </row>
    <row r="1184" spans="1:25" x14ac:dyDescent="0.35">
      <c r="A1184" s="6">
        <v>45848</v>
      </c>
      <c r="B1184" s="8">
        <v>6280.46</v>
      </c>
      <c r="C1184" s="2">
        <v>212.41</v>
      </c>
      <c r="D1184" s="2">
        <v>287.43</v>
      </c>
      <c r="E1184" s="2">
        <v>501.48</v>
      </c>
      <c r="F1184" s="2">
        <v>299.51</v>
      </c>
      <c r="G1184" s="2">
        <v>157.69</v>
      </c>
      <c r="H1184" s="2">
        <v>355.88</v>
      </c>
      <c r="I1184" s="2">
        <v>325.24</v>
      </c>
      <c r="J1184" s="2">
        <v>226.09</v>
      </c>
      <c r="K1184" s="2">
        <v>94.86</v>
      </c>
      <c r="L1184" s="2">
        <v>408.33</v>
      </c>
      <c r="M1184" s="64" t="s">
        <v>77</v>
      </c>
      <c r="N1184" s="1"/>
      <c r="O1184" s="12">
        <f t="shared" si="198"/>
        <v>2.7461737178402501E-3</v>
      </c>
      <c r="P1184" s="12">
        <f t="shared" si="199"/>
        <v>6.0149663730226788E-3</v>
      </c>
      <c r="Q1184" s="12">
        <f t="shared" si="200"/>
        <v>-9.3403184669469397E-3</v>
      </c>
      <c r="R1184" s="12">
        <f t="shared" si="201"/>
        <v>-4.0316974836646091E-3</v>
      </c>
      <c r="S1184" s="12">
        <f t="shared" si="202"/>
        <v>-1.1224456109075409E-2</v>
      </c>
      <c r="T1184" s="12">
        <f t="shared" si="203"/>
        <v>9.0222677245967997E-3</v>
      </c>
      <c r="U1184" s="12">
        <f t="shared" si="204"/>
        <v>-5.2549194991055037E-3</v>
      </c>
      <c r="V1184" s="12">
        <f t="shared" si="205"/>
        <v>2.4862139593508692E-2</v>
      </c>
      <c r="W1184" s="12">
        <f t="shared" si="206"/>
        <v>-2.2506619593998245E-3</v>
      </c>
      <c r="X1184" s="12">
        <f t="shared" si="207"/>
        <v>-2.0142547257514742E-2</v>
      </c>
      <c r="Y1184" s="12">
        <f t="shared" si="208"/>
        <v>1.529166045054442E-2</v>
      </c>
    </row>
    <row r="1185" spans="1:25" x14ac:dyDescent="0.35">
      <c r="A1185" s="6">
        <v>45849</v>
      </c>
      <c r="B1185" s="8">
        <v>6259.75</v>
      </c>
      <c r="C1185" s="2">
        <v>211.16</v>
      </c>
      <c r="D1185" s="2">
        <v>283.58999999999997</v>
      </c>
      <c r="E1185" s="2">
        <v>503.32</v>
      </c>
      <c r="F1185" s="2">
        <v>304.10000000000002</v>
      </c>
      <c r="G1185" s="2">
        <v>156.9</v>
      </c>
      <c r="H1185" s="2">
        <v>347.93</v>
      </c>
      <c r="I1185" s="2">
        <v>319.47000000000003</v>
      </c>
      <c r="J1185" s="2">
        <v>226.84</v>
      </c>
      <c r="K1185" s="2">
        <v>94.4</v>
      </c>
      <c r="L1185" s="2">
        <v>405.92</v>
      </c>
      <c r="M1185" s="64" t="s">
        <v>77</v>
      </c>
      <c r="N1185" s="1"/>
      <c r="O1185" s="12">
        <f t="shared" si="198"/>
        <v>-3.2975291618766445E-3</v>
      </c>
      <c r="P1185" s="12">
        <f t="shared" si="199"/>
        <v>-5.8848453462643224E-3</v>
      </c>
      <c r="Q1185" s="12">
        <f t="shared" si="200"/>
        <v>-1.3359774553804549E-2</v>
      </c>
      <c r="R1185" s="12">
        <f t="shared" si="201"/>
        <v>3.669139347531214E-3</v>
      </c>
      <c r="S1185" s="12">
        <f t="shared" si="202"/>
        <v>1.5325030883776902E-2</v>
      </c>
      <c r="T1185" s="12">
        <f t="shared" si="203"/>
        <v>-5.0098294121376785E-3</v>
      </c>
      <c r="U1185" s="12">
        <f t="shared" si="204"/>
        <v>-2.2338990671012637E-2</v>
      </c>
      <c r="V1185" s="12">
        <f t="shared" si="205"/>
        <v>-1.7740745295781513E-2</v>
      </c>
      <c r="W1185" s="12">
        <f t="shared" si="206"/>
        <v>3.317263036843654E-3</v>
      </c>
      <c r="X1185" s="12">
        <f t="shared" si="207"/>
        <v>-4.8492515285682991E-3</v>
      </c>
      <c r="Y1185" s="12">
        <f t="shared" si="208"/>
        <v>-5.9020889966447942E-3</v>
      </c>
    </row>
    <row r="1186" spans="1:25" x14ac:dyDescent="0.35">
      <c r="A1186" s="6">
        <v>45852</v>
      </c>
      <c r="B1186" s="8">
        <v>6268.56</v>
      </c>
      <c r="C1186" s="2">
        <v>208.62</v>
      </c>
      <c r="D1186" s="2">
        <v>283.79000000000002</v>
      </c>
      <c r="E1186" s="2">
        <v>503.02</v>
      </c>
      <c r="F1186" s="2">
        <v>300.58</v>
      </c>
      <c r="G1186" s="2">
        <v>156.82</v>
      </c>
      <c r="H1186" s="2">
        <v>350.5</v>
      </c>
      <c r="I1186" s="2">
        <v>320.92</v>
      </c>
      <c r="J1186" s="2">
        <v>230.51</v>
      </c>
      <c r="K1186" s="2">
        <v>95.78</v>
      </c>
      <c r="L1186" s="2">
        <v>405.77</v>
      </c>
      <c r="M1186" s="64" t="s">
        <v>77</v>
      </c>
      <c r="N1186" s="1"/>
      <c r="O1186" s="12">
        <f t="shared" si="198"/>
        <v>1.4074044490595128E-3</v>
      </c>
      <c r="P1186" s="12">
        <f t="shared" si="199"/>
        <v>-1.2028793332070409E-2</v>
      </c>
      <c r="Q1186" s="12">
        <f t="shared" si="200"/>
        <v>7.0524348531342262E-4</v>
      </c>
      <c r="R1186" s="12">
        <f t="shared" si="201"/>
        <v>-5.9604227926568498E-4</v>
      </c>
      <c r="S1186" s="12">
        <f t="shared" si="202"/>
        <v>-1.1575139756659136E-2</v>
      </c>
      <c r="T1186" s="12">
        <f t="shared" si="203"/>
        <v>-5.09878903760419E-4</v>
      </c>
      <c r="U1186" s="12">
        <f t="shared" si="204"/>
        <v>7.3865432701980538E-3</v>
      </c>
      <c r="V1186" s="12">
        <f t="shared" si="205"/>
        <v>4.5387673333958656E-3</v>
      </c>
      <c r="W1186" s="12">
        <f t="shared" si="206"/>
        <v>1.6178804443660599E-2</v>
      </c>
      <c r="X1186" s="12">
        <f t="shared" si="207"/>
        <v>1.4618644067796671E-2</v>
      </c>
      <c r="Y1186" s="12">
        <f t="shared" si="208"/>
        <v>-3.6953094205760539E-4</v>
      </c>
    </row>
    <row r="1187" spans="1:25" x14ac:dyDescent="0.35">
      <c r="A1187" s="6">
        <v>45853</v>
      </c>
      <c r="B1187" s="8">
        <v>6243.76</v>
      </c>
      <c r="C1187" s="2">
        <v>209.11</v>
      </c>
      <c r="D1187" s="2">
        <v>282.7</v>
      </c>
      <c r="E1187" s="2">
        <v>505.82</v>
      </c>
      <c r="F1187" s="2">
        <v>291.70999999999998</v>
      </c>
      <c r="G1187" s="2">
        <v>155.16999999999999</v>
      </c>
      <c r="H1187" s="2">
        <v>347.02</v>
      </c>
      <c r="I1187" s="2">
        <v>310.64999999999998</v>
      </c>
      <c r="J1187" s="2">
        <v>230</v>
      </c>
      <c r="K1187" s="2">
        <v>95.39</v>
      </c>
      <c r="L1187" s="2">
        <v>404.64</v>
      </c>
      <c r="M1187" s="64" t="s">
        <v>77</v>
      </c>
      <c r="N1187" s="1"/>
      <c r="O1187" s="12">
        <f t="shared" si="198"/>
        <v>-3.9562515154996092E-3</v>
      </c>
      <c r="P1187" s="12">
        <f t="shared" si="199"/>
        <v>2.3487680951010947E-3</v>
      </c>
      <c r="Q1187" s="12">
        <f t="shared" si="200"/>
        <v>-3.840868247648066E-3</v>
      </c>
      <c r="R1187" s="12">
        <f t="shared" si="201"/>
        <v>5.5663790704147953E-3</v>
      </c>
      <c r="S1187" s="12">
        <f t="shared" si="202"/>
        <v>-2.9509614744826718E-2</v>
      </c>
      <c r="T1187" s="12">
        <f t="shared" si="203"/>
        <v>-1.0521617140670902E-2</v>
      </c>
      <c r="U1187" s="12">
        <f t="shared" si="204"/>
        <v>-9.9286733238231895E-3</v>
      </c>
      <c r="V1187" s="12">
        <f t="shared" si="205"/>
        <v>-3.2001744983173541E-2</v>
      </c>
      <c r="W1187" s="12">
        <f t="shared" si="206"/>
        <v>-2.2124853585527848E-3</v>
      </c>
      <c r="X1187" s="12">
        <f t="shared" si="207"/>
        <v>-4.0718312800167578E-3</v>
      </c>
      <c r="Y1187" s="12">
        <f t="shared" si="208"/>
        <v>-2.7848288439263902E-3</v>
      </c>
    </row>
    <row r="1188" spans="1:25" x14ac:dyDescent="0.35">
      <c r="A1188" s="6">
        <v>45854</v>
      </c>
      <c r="B1188" s="8">
        <v>6263.7</v>
      </c>
      <c r="C1188" s="2">
        <v>210.16</v>
      </c>
      <c r="D1188" s="2">
        <v>281.92</v>
      </c>
      <c r="E1188" s="2">
        <v>505.62</v>
      </c>
      <c r="F1188" s="2">
        <v>292.49</v>
      </c>
      <c r="G1188" s="2">
        <v>164.78</v>
      </c>
      <c r="H1188" s="2">
        <v>349.9</v>
      </c>
      <c r="I1188" s="2">
        <v>311.89999999999998</v>
      </c>
      <c r="J1188" s="2">
        <v>229.9</v>
      </c>
      <c r="K1188" s="2">
        <v>95.15</v>
      </c>
      <c r="L1188" s="2">
        <v>412.88</v>
      </c>
      <c r="M1188" s="64">
        <v>10.1</v>
      </c>
      <c r="N1188" s="1"/>
      <c r="O1188" s="12">
        <f t="shared" si="198"/>
        <v>3.193588478737075E-3</v>
      </c>
      <c r="P1188" s="12">
        <f t="shared" si="199"/>
        <v>5.0212806656781961E-3</v>
      </c>
      <c r="Q1188" s="12">
        <f t="shared" si="200"/>
        <v>-2.7591085956844008E-3</v>
      </c>
      <c r="R1188" s="12">
        <f t="shared" si="201"/>
        <v>-3.9539757225892647E-4</v>
      </c>
      <c r="S1188" s="12">
        <f t="shared" si="202"/>
        <v>2.6738884508588079E-3</v>
      </c>
      <c r="T1188" s="12">
        <f t="shared" si="203"/>
        <v>6.1932074498936673E-2</v>
      </c>
      <c r="U1188" s="12">
        <f t="shared" si="204"/>
        <v>8.299233473574974E-3</v>
      </c>
      <c r="V1188" s="12">
        <f t="shared" si="205"/>
        <v>4.0238210204410763E-3</v>
      </c>
      <c r="W1188" s="12">
        <f t="shared" si="206"/>
        <v>-4.3478260869567187E-4</v>
      </c>
      <c r="X1188" s="12">
        <f t="shared" si="207"/>
        <v>-2.5159870007337437E-3</v>
      </c>
      <c r="Y1188" s="12">
        <f t="shared" si="208"/>
        <v>2.0363780150256972E-2</v>
      </c>
    </row>
    <row r="1189" spans="1:25" x14ac:dyDescent="0.35">
      <c r="A1189" s="6">
        <v>45855</v>
      </c>
      <c r="B1189" s="8">
        <v>6297.36</v>
      </c>
      <c r="C1189" s="2">
        <v>210.02</v>
      </c>
      <c r="D1189" s="2">
        <v>282</v>
      </c>
      <c r="E1189" s="2">
        <v>511.7</v>
      </c>
      <c r="F1189" s="2">
        <v>288.07</v>
      </c>
      <c r="G1189" s="2">
        <v>162.97999999999999</v>
      </c>
      <c r="H1189" s="2">
        <v>349.81</v>
      </c>
      <c r="I1189" s="2">
        <v>315.35000000000002</v>
      </c>
      <c r="J1189" s="2">
        <v>231</v>
      </c>
      <c r="K1189" s="2">
        <v>95.09</v>
      </c>
      <c r="L1189" s="2">
        <v>418.07</v>
      </c>
      <c r="M1189" s="64" t="s">
        <v>77</v>
      </c>
      <c r="N1189" s="1"/>
      <c r="O1189" s="12">
        <f t="shared" si="198"/>
        <v>5.3738205852771337E-3</v>
      </c>
      <c r="P1189" s="12">
        <f t="shared" si="199"/>
        <v>-6.6615911686329632E-4</v>
      </c>
      <c r="Q1189" s="12">
        <f t="shared" si="200"/>
        <v>2.8376844494881759E-4</v>
      </c>
      <c r="R1189" s="12">
        <f t="shared" si="201"/>
        <v>1.2024840789525593E-2</v>
      </c>
      <c r="S1189" s="12">
        <f t="shared" si="202"/>
        <v>-1.5111627747957268E-2</v>
      </c>
      <c r="T1189" s="12">
        <f t="shared" si="203"/>
        <v>-1.0923655783468988E-2</v>
      </c>
      <c r="U1189" s="12">
        <f t="shared" si="204"/>
        <v>-2.5721634752784439E-4</v>
      </c>
      <c r="V1189" s="12">
        <f t="shared" si="205"/>
        <v>1.1061237576146299E-2</v>
      </c>
      <c r="W1189" s="12">
        <f t="shared" si="206"/>
        <v>4.7846889952152249E-3</v>
      </c>
      <c r="X1189" s="12">
        <f t="shared" si="207"/>
        <v>-6.3058328954279652E-4</v>
      </c>
      <c r="Y1189" s="12">
        <f t="shared" si="208"/>
        <v>1.2570238325905869E-2</v>
      </c>
    </row>
    <row r="1190" spans="1:25" x14ac:dyDescent="0.35">
      <c r="A1190" s="6">
        <v>45856</v>
      </c>
      <c r="B1190" s="8">
        <v>6296.79</v>
      </c>
      <c r="C1190" s="2">
        <v>211.18</v>
      </c>
      <c r="D1190" s="2">
        <v>285.87</v>
      </c>
      <c r="E1190" s="2">
        <v>510.05</v>
      </c>
      <c r="F1190" s="2">
        <v>282.64999999999998</v>
      </c>
      <c r="G1190" s="2">
        <v>163.69999999999999</v>
      </c>
      <c r="H1190" s="2">
        <v>349.05</v>
      </c>
      <c r="I1190" s="2">
        <v>307.95</v>
      </c>
      <c r="J1190" s="2">
        <v>229.34</v>
      </c>
      <c r="K1190" s="2">
        <v>95.05</v>
      </c>
      <c r="L1190" s="2">
        <v>413.71</v>
      </c>
      <c r="M1190" s="64" t="s">
        <v>77</v>
      </c>
      <c r="N1190" s="1"/>
      <c r="O1190" s="12">
        <f t="shared" si="198"/>
        <v>-9.0514120202667137E-5</v>
      </c>
      <c r="P1190" s="12">
        <f t="shared" si="199"/>
        <v>5.5232834968097499E-3</v>
      </c>
      <c r="Q1190" s="12">
        <f t="shared" si="200"/>
        <v>1.3723404255319149E-2</v>
      </c>
      <c r="R1190" s="12">
        <f t="shared" si="201"/>
        <v>-3.2245456322063104E-3</v>
      </c>
      <c r="S1190" s="12">
        <f t="shared" si="202"/>
        <v>-1.8814871385427256E-2</v>
      </c>
      <c r="T1190" s="12">
        <f t="shared" si="203"/>
        <v>4.417719965639888E-3</v>
      </c>
      <c r="U1190" s="12">
        <f t="shared" si="204"/>
        <v>-2.1726079871929871E-3</v>
      </c>
      <c r="V1190" s="12">
        <f t="shared" si="205"/>
        <v>-2.3465990169652895E-2</v>
      </c>
      <c r="W1190" s="12">
        <f t="shared" si="206"/>
        <v>-7.1861471861471848E-3</v>
      </c>
      <c r="X1190" s="12">
        <f t="shared" si="207"/>
        <v>-4.2065411715219714E-4</v>
      </c>
      <c r="Y1190" s="12">
        <f t="shared" si="208"/>
        <v>-1.0428875547157213E-2</v>
      </c>
    </row>
    <row r="1191" spans="1:25" x14ac:dyDescent="0.35">
      <c r="A1191" s="6">
        <v>45859</v>
      </c>
      <c r="B1191" s="8">
        <v>6305.6</v>
      </c>
      <c r="C1191" s="2">
        <v>212.48</v>
      </c>
      <c r="D1191" s="2">
        <v>284.70999999999998</v>
      </c>
      <c r="E1191" s="2">
        <v>510.06</v>
      </c>
      <c r="F1191" s="2">
        <v>282.14</v>
      </c>
      <c r="G1191" s="2">
        <v>164.36</v>
      </c>
      <c r="H1191" s="2">
        <v>350.94</v>
      </c>
      <c r="I1191" s="2">
        <v>302.97000000000003</v>
      </c>
      <c r="J1191" s="2">
        <v>229.32</v>
      </c>
      <c r="K1191" s="2">
        <v>95.67</v>
      </c>
      <c r="L1191" s="2">
        <v>410.07</v>
      </c>
      <c r="M1191" s="64" t="s">
        <v>77</v>
      </c>
      <c r="N1191" s="1"/>
      <c r="O1191" s="12">
        <f t="shared" si="198"/>
        <v>1.3991255862113583E-3</v>
      </c>
      <c r="P1191" s="12">
        <f t="shared" si="199"/>
        <v>6.155885974050479E-3</v>
      </c>
      <c r="Q1191" s="12">
        <f t="shared" si="200"/>
        <v>-4.0577885052647256E-3</v>
      </c>
      <c r="R1191" s="12">
        <f t="shared" si="201"/>
        <v>1.9605920988041703E-5</v>
      </c>
      <c r="S1191" s="12">
        <f t="shared" si="202"/>
        <v>-1.8043516716786945E-3</v>
      </c>
      <c r="T1191" s="12">
        <f t="shared" si="203"/>
        <v>4.0317654245571877E-3</v>
      </c>
      <c r="U1191" s="12">
        <f t="shared" si="204"/>
        <v>5.4146970348087908E-3</v>
      </c>
      <c r="V1191" s="12">
        <f t="shared" si="205"/>
        <v>-1.617145640526052E-2</v>
      </c>
      <c r="W1191" s="12">
        <f t="shared" si="206"/>
        <v>-8.7206767245162631E-5</v>
      </c>
      <c r="X1191" s="12">
        <f t="shared" si="207"/>
        <v>6.522882693319243E-3</v>
      </c>
      <c r="Y1191" s="12">
        <f t="shared" si="208"/>
        <v>-8.7984336854317613E-3</v>
      </c>
    </row>
    <row r="1192" spans="1:25" x14ac:dyDescent="0.35">
      <c r="A1192" s="6">
        <v>45860</v>
      </c>
      <c r="B1192" s="8">
        <v>6309.62</v>
      </c>
      <c r="C1192" s="2">
        <v>214.4</v>
      </c>
      <c r="D1192" s="2">
        <v>281.95999999999998</v>
      </c>
      <c r="E1192" s="2">
        <v>505.27</v>
      </c>
      <c r="F1192" s="2">
        <v>285.13</v>
      </c>
      <c r="G1192" s="2">
        <v>167.93</v>
      </c>
      <c r="H1192" s="2">
        <v>351.86</v>
      </c>
      <c r="I1192" s="2">
        <v>304.14</v>
      </c>
      <c r="J1192" s="2">
        <v>228.48</v>
      </c>
      <c r="K1192" s="2">
        <v>95.85</v>
      </c>
      <c r="L1192" s="2">
        <v>417.19</v>
      </c>
      <c r="M1192" s="64" t="s">
        <v>77</v>
      </c>
      <c r="N1192" s="1"/>
      <c r="O1192" s="12">
        <f t="shared" si="198"/>
        <v>6.3752854605425568E-4</v>
      </c>
      <c r="P1192" s="12">
        <f t="shared" si="199"/>
        <v>9.0361445783133654E-3</v>
      </c>
      <c r="Q1192" s="12">
        <f t="shared" si="200"/>
        <v>-9.6589512135154543E-3</v>
      </c>
      <c r="R1192" s="12">
        <f t="shared" si="201"/>
        <v>-9.3910520330942049E-3</v>
      </c>
      <c r="S1192" s="12">
        <f t="shared" si="202"/>
        <v>1.0597575671652315E-2</v>
      </c>
      <c r="T1192" s="12">
        <f t="shared" si="203"/>
        <v>2.1720613287904644E-2</v>
      </c>
      <c r="U1192" s="12">
        <f t="shared" si="204"/>
        <v>2.6215307459964698E-3</v>
      </c>
      <c r="V1192" s="12">
        <f t="shared" si="205"/>
        <v>3.8617684919297623E-3</v>
      </c>
      <c r="W1192" s="12">
        <f t="shared" si="206"/>
        <v>-3.66300366300365E-3</v>
      </c>
      <c r="X1192" s="12">
        <f t="shared" si="207"/>
        <v>1.8814675446847673E-3</v>
      </c>
      <c r="Y1192" s="12">
        <f t="shared" si="208"/>
        <v>1.7362889262808823E-2</v>
      </c>
    </row>
    <row r="1193" spans="1:25" x14ac:dyDescent="0.35">
      <c r="A1193" s="6">
        <v>45861</v>
      </c>
      <c r="B1193" s="8">
        <v>6358.91</v>
      </c>
      <c r="C1193" s="2">
        <v>214.15</v>
      </c>
      <c r="D1193" s="2">
        <v>282.01</v>
      </c>
      <c r="E1193" s="2">
        <v>505.87</v>
      </c>
      <c r="F1193" s="2">
        <v>292.51</v>
      </c>
      <c r="G1193" s="2">
        <v>169.1</v>
      </c>
      <c r="H1193" s="2">
        <v>355.29</v>
      </c>
      <c r="I1193" s="2">
        <v>308.66000000000003</v>
      </c>
      <c r="J1193" s="2">
        <v>233.88</v>
      </c>
      <c r="K1193" s="2">
        <v>95.68</v>
      </c>
      <c r="L1193" s="2">
        <v>427.59</v>
      </c>
      <c r="M1193" s="64">
        <v>10.1</v>
      </c>
      <c r="N1193" s="1"/>
      <c r="O1193" s="12">
        <f t="shared" si="198"/>
        <v>7.8118809056646477E-3</v>
      </c>
      <c r="P1193" s="12">
        <f t="shared" si="199"/>
        <v>-1.1660447761193682E-3</v>
      </c>
      <c r="Q1193" s="12">
        <f t="shared" si="200"/>
        <v>1.7733011774723195E-4</v>
      </c>
      <c r="R1193" s="12">
        <f t="shared" si="201"/>
        <v>1.18748391948853E-3</v>
      </c>
      <c r="S1193" s="12">
        <f t="shared" si="202"/>
        <v>2.5882930593062792E-2</v>
      </c>
      <c r="T1193" s="12">
        <f t="shared" si="203"/>
        <v>6.9671887095812401E-3</v>
      </c>
      <c r="U1193" s="12">
        <f t="shared" si="204"/>
        <v>9.7481953049507464E-3</v>
      </c>
      <c r="V1193" s="12">
        <f t="shared" si="205"/>
        <v>1.4861576905372598E-2</v>
      </c>
      <c r="W1193" s="12">
        <f t="shared" si="206"/>
        <v>2.3634453781512521E-2</v>
      </c>
      <c r="X1193" s="12">
        <f t="shared" si="207"/>
        <v>-1.7736045905059061E-3</v>
      </c>
      <c r="Y1193" s="12">
        <f t="shared" si="208"/>
        <v>2.4928689565905104E-2</v>
      </c>
    </row>
    <row r="1194" spans="1:25" x14ac:dyDescent="0.35">
      <c r="A1194" s="6">
        <v>45862</v>
      </c>
      <c r="B1194" s="8">
        <v>6363.35</v>
      </c>
      <c r="C1194" s="2">
        <v>213.76</v>
      </c>
      <c r="D1194" s="2">
        <v>260.51</v>
      </c>
      <c r="E1194" s="2">
        <v>510.88</v>
      </c>
      <c r="F1194" s="2">
        <v>278.58</v>
      </c>
      <c r="G1194" s="2">
        <v>169.56</v>
      </c>
      <c r="H1194" s="2">
        <v>353.97</v>
      </c>
      <c r="I1194" s="2">
        <v>308.25</v>
      </c>
      <c r="J1194" s="2">
        <v>231.27</v>
      </c>
      <c r="K1194" s="2">
        <v>96.6</v>
      </c>
      <c r="L1194" s="2">
        <v>429.52</v>
      </c>
      <c r="M1194" s="64" t="s">
        <v>77</v>
      </c>
      <c r="N1194" s="1"/>
      <c r="O1194" s="12">
        <f t="shared" si="198"/>
        <v>6.9823287324410899E-4</v>
      </c>
      <c r="P1194" s="12">
        <f t="shared" si="199"/>
        <v>-1.8211533971516092E-3</v>
      </c>
      <c r="Q1194" s="12">
        <f t="shared" si="200"/>
        <v>-7.6238431261302808E-2</v>
      </c>
      <c r="R1194" s="12">
        <f t="shared" si="201"/>
        <v>9.9037302073654576E-3</v>
      </c>
      <c r="S1194" s="12">
        <f t="shared" si="202"/>
        <v>-4.762230351099106E-2</v>
      </c>
      <c r="T1194" s="12">
        <f t="shared" si="203"/>
        <v>2.7202838557067732E-3</v>
      </c>
      <c r="U1194" s="12">
        <f t="shared" si="204"/>
        <v>-3.7152748459005069E-3</v>
      </c>
      <c r="V1194" s="12">
        <f t="shared" si="205"/>
        <v>-1.328322425970363E-3</v>
      </c>
      <c r="W1194" s="12">
        <f t="shared" si="206"/>
        <v>-1.1159569009748571E-2</v>
      </c>
      <c r="X1194" s="12">
        <f t="shared" si="207"/>
        <v>9.6153846153845812E-3</v>
      </c>
      <c r="Y1194" s="12">
        <f t="shared" si="208"/>
        <v>4.5136696368015539E-3</v>
      </c>
    </row>
    <row r="1195" spans="1:25" x14ac:dyDescent="0.35">
      <c r="A1195" s="6">
        <v>45863</v>
      </c>
      <c r="B1195" s="8">
        <v>6388.64</v>
      </c>
      <c r="C1195" s="2">
        <v>213.88</v>
      </c>
      <c r="D1195" s="2">
        <v>259.72000000000003</v>
      </c>
      <c r="E1195" s="2">
        <v>513.71</v>
      </c>
      <c r="F1195" s="2">
        <v>281.06</v>
      </c>
      <c r="G1195" s="2">
        <v>168.3</v>
      </c>
      <c r="H1195" s="2">
        <v>357.04</v>
      </c>
      <c r="I1195" s="2">
        <v>311.61</v>
      </c>
      <c r="J1195" s="2">
        <v>233.06</v>
      </c>
      <c r="K1195" s="2">
        <v>97.47</v>
      </c>
      <c r="L1195" s="2">
        <v>433.75</v>
      </c>
      <c r="M1195" s="64" t="s">
        <v>77</v>
      </c>
      <c r="N1195" s="1"/>
      <c r="O1195" s="12">
        <f t="shared" si="198"/>
        <v>3.9743217016194876E-3</v>
      </c>
      <c r="P1195" s="12">
        <f t="shared" si="199"/>
        <v>5.6137724550908707E-4</v>
      </c>
      <c r="Q1195" s="12">
        <f t="shared" si="200"/>
        <v>-3.0325131472879185E-3</v>
      </c>
      <c r="R1195" s="12">
        <f t="shared" si="201"/>
        <v>5.5394613216410704E-3</v>
      </c>
      <c r="S1195" s="12">
        <f t="shared" si="202"/>
        <v>8.9022901859430181E-3</v>
      </c>
      <c r="T1195" s="12">
        <f t="shared" si="203"/>
        <v>-7.4309978768577478E-3</v>
      </c>
      <c r="U1195" s="12">
        <f t="shared" si="204"/>
        <v>8.6730513885358018E-3</v>
      </c>
      <c r="V1195" s="12">
        <f t="shared" si="205"/>
        <v>1.0900243309002411E-2</v>
      </c>
      <c r="W1195" s="12">
        <f t="shared" si="206"/>
        <v>7.7398711462792757E-3</v>
      </c>
      <c r="X1195" s="12">
        <f t="shared" si="207"/>
        <v>9.0062111801243461E-3</v>
      </c>
      <c r="Y1195" s="12">
        <f t="shared" si="208"/>
        <v>9.8482026448127868E-3</v>
      </c>
    </row>
    <row r="1196" spans="1:25" x14ac:dyDescent="0.35">
      <c r="A1196" s="6">
        <v>45866</v>
      </c>
      <c r="B1196" s="8">
        <v>6389.77</v>
      </c>
      <c r="C1196" s="2">
        <v>214.05</v>
      </c>
      <c r="D1196" s="2">
        <v>263.20999999999998</v>
      </c>
      <c r="E1196" s="2">
        <v>512.5</v>
      </c>
      <c r="F1196" s="2">
        <v>282.12</v>
      </c>
      <c r="G1196" s="2">
        <v>166.22</v>
      </c>
      <c r="H1196" s="2">
        <v>355.47</v>
      </c>
      <c r="I1196" s="2">
        <v>310.74</v>
      </c>
      <c r="J1196" s="2">
        <v>236.41</v>
      </c>
      <c r="K1196" s="2">
        <v>97.61</v>
      </c>
      <c r="L1196" s="2">
        <v>432.94</v>
      </c>
      <c r="M1196" s="64" t="s">
        <v>77</v>
      </c>
      <c r="N1196" s="1"/>
      <c r="O1196" s="12">
        <f t="shared" si="198"/>
        <v>1.7687645570885202E-4</v>
      </c>
      <c r="P1196" s="12">
        <f t="shared" si="199"/>
        <v>7.9483822704329299E-4</v>
      </c>
      <c r="Q1196" s="12">
        <f t="shared" si="200"/>
        <v>1.3437548128753862E-2</v>
      </c>
      <c r="R1196" s="12">
        <f t="shared" si="201"/>
        <v>-2.3554145334917509E-3</v>
      </c>
      <c r="S1196" s="12">
        <f t="shared" si="202"/>
        <v>3.771436703906561E-3</v>
      </c>
      <c r="T1196" s="12">
        <f t="shared" si="203"/>
        <v>-1.2358882947118288E-2</v>
      </c>
      <c r="U1196" s="12">
        <f t="shared" si="204"/>
        <v>-4.3972664127268635E-3</v>
      </c>
      <c r="V1196" s="12">
        <f t="shared" si="205"/>
        <v>-2.7919514778088628E-3</v>
      </c>
      <c r="W1196" s="12">
        <f t="shared" si="206"/>
        <v>1.4373980949111687E-2</v>
      </c>
      <c r="X1196" s="12">
        <f t="shared" si="207"/>
        <v>1.4363393864778029E-3</v>
      </c>
      <c r="Y1196" s="12">
        <f t="shared" si="208"/>
        <v>-1.8674351585014071E-3</v>
      </c>
    </row>
    <row r="1197" spans="1:25" x14ac:dyDescent="0.35">
      <c r="A1197" s="6">
        <v>45867</v>
      </c>
      <c r="B1197" s="8">
        <v>6370.86</v>
      </c>
      <c r="C1197" s="2">
        <v>211.27</v>
      </c>
      <c r="D1197" s="2">
        <v>262.41000000000003</v>
      </c>
      <c r="E1197" s="2">
        <v>512.57000000000005</v>
      </c>
      <c r="F1197" s="2">
        <v>261.07</v>
      </c>
      <c r="G1197" s="2">
        <v>168.11</v>
      </c>
      <c r="H1197" s="2">
        <v>351.29</v>
      </c>
      <c r="I1197" s="2">
        <v>308.54000000000002</v>
      </c>
      <c r="J1197" s="2">
        <v>226.08</v>
      </c>
      <c r="K1197" s="2">
        <v>98.33</v>
      </c>
      <c r="L1197" s="2">
        <v>430.05</v>
      </c>
      <c r="M1197" s="64">
        <v>10.050000000000001</v>
      </c>
      <c r="N1197" s="1"/>
      <c r="O1197" s="12">
        <f t="shared" si="198"/>
        <v>-2.9594179446209568E-3</v>
      </c>
      <c r="P1197" s="12">
        <f t="shared" si="199"/>
        <v>-1.2987619715019827E-2</v>
      </c>
      <c r="Q1197" s="12">
        <f t="shared" si="200"/>
        <v>-3.0393981991564401E-3</v>
      </c>
      <c r="R1197" s="12">
        <f t="shared" si="201"/>
        <v>1.3658536585370307E-4</v>
      </c>
      <c r="S1197" s="12">
        <f t="shared" si="202"/>
        <v>-7.4613639585991764E-2</v>
      </c>
      <c r="T1197" s="12">
        <f t="shared" si="203"/>
        <v>1.137047286728432E-2</v>
      </c>
      <c r="U1197" s="12">
        <f t="shared" si="204"/>
        <v>-1.1759079528511518E-2</v>
      </c>
      <c r="V1197" s="12">
        <f t="shared" si="205"/>
        <v>-7.0798738495204683E-3</v>
      </c>
      <c r="W1197" s="12">
        <f t="shared" si="206"/>
        <v>-4.3695275157565217E-2</v>
      </c>
      <c r="X1197" s="12">
        <f t="shared" si="207"/>
        <v>7.3762934125600754E-3</v>
      </c>
      <c r="Y1197" s="12">
        <f t="shared" si="208"/>
        <v>-6.6752898785050752E-3</v>
      </c>
    </row>
    <row r="1198" spans="1:25" x14ac:dyDescent="0.35">
      <c r="A1198" s="6">
        <v>45868</v>
      </c>
      <c r="B1198" s="8">
        <v>6362.9</v>
      </c>
      <c r="C1198" s="2">
        <v>209.05</v>
      </c>
      <c r="D1198" s="2">
        <v>260.26</v>
      </c>
      <c r="E1198" s="2">
        <v>513.24</v>
      </c>
      <c r="F1198" s="2">
        <v>266.04000000000002</v>
      </c>
      <c r="G1198" s="2">
        <v>167.26</v>
      </c>
      <c r="H1198" s="2">
        <v>350.91</v>
      </c>
      <c r="I1198" s="2">
        <v>303.41000000000003</v>
      </c>
      <c r="J1198" s="2">
        <v>225.84</v>
      </c>
      <c r="K1198" s="2">
        <v>97.59</v>
      </c>
      <c r="L1198" s="2">
        <v>434.12</v>
      </c>
      <c r="M1198" s="64" t="s">
        <v>77</v>
      </c>
      <c r="N1198" s="1"/>
      <c r="O1198" s="12">
        <f t="shared" si="198"/>
        <v>-1.249438851269713E-3</v>
      </c>
      <c r="P1198" s="12">
        <f t="shared" si="199"/>
        <v>-1.0507880910682998E-2</v>
      </c>
      <c r="Q1198" s="12">
        <f t="shared" si="200"/>
        <v>-8.1932853168706909E-3</v>
      </c>
      <c r="R1198" s="12">
        <f t="shared" si="201"/>
        <v>1.3071385371752342E-3</v>
      </c>
      <c r="S1198" s="12">
        <f t="shared" si="202"/>
        <v>1.9037039874363337E-2</v>
      </c>
      <c r="T1198" s="12">
        <f t="shared" si="203"/>
        <v>-5.0562131937422761E-3</v>
      </c>
      <c r="U1198" s="12">
        <f t="shared" si="204"/>
        <v>-1.0817273477753409E-3</v>
      </c>
      <c r="V1198" s="12">
        <f t="shared" si="205"/>
        <v>-1.662669345951906E-2</v>
      </c>
      <c r="W1198" s="12">
        <f t="shared" si="206"/>
        <v>-1.0615711252653925E-3</v>
      </c>
      <c r="X1198" s="12">
        <f t="shared" si="207"/>
        <v>-7.5256788365706262E-3</v>
      </c>
      <c r="Y1198" s="12">
        <f t="shared" si="208"/>
        <v>9.4640158121148676E-3</v>
      </c>
    </row>
    <row r="1199" spans="1:25" x14ac:dyDescent="0.35">
      <c r="A1199" s="6">
        <v>45869</v>
      </c>
      <c r="B1199" s="8">
        <v>6339.39</v>
      </c>
      <c r="C1199" s="2">
        <v>207.57</v>
      </c>
      <c r="D1199" s="2">
        <v>253.15</v>
      </c>
      <c r="E1199" s="2">
        <v>533.5</v>
      </c>
      <c r="F1199" s="2">
        <v>249.56</v>
      </c>
      <c r="G1199" s="2">
        <v>164.74</v>
      </c>
      <c r="H1199" s="2">
        <v>345.47</v>
      </c>
      <c r="I1199" s="2">
        <v>299.31</v>
      </c>
      <c r="J1199" s="2">
        <v>221.84</v>
      </c>
      <c r="K1199" s="2">
        <v>97.98</v>
      </c>
      <c r="L1199" s="2">
        <v>438.02</v>
      </c>
      <c r="M1199" s="64" t="s">
        <v>77</v>
      </c>
      <c r="N1199" s="1"/>
      <c r="O1199" s="12">
        <f t="shared" si="198"/>
        <v>-3.6948561190650597E-3</v>
      </c>
      <c r="P1199" s="12">
        <f t="shared" si="199"/>
        <v>-7.0796460176991705E-3</v>
      </c>
      <c r="Q1199" s="12">
        <f t="shared" si="200"/>
        <v>-2.7318835011142628E-2</v>
      </c>
      <c r="R1199" s="12">
        <f t="shared" si="201"/>
        <v>3.9474709687475684E-2</v>
      </c>
      <c r="S1199" s="12">
        <f t="shared" si="202"/>
        <v>-6.1945572094421975E-2</v>
      </c>
      <c r="T1199" s="12">
        <f t="shared" si="203"/>
        <v>-1.5066363745067424E-2</v>
      </c>
      <c r="U1199" s="12">
        <f t="shared" si="204"/>
        <v>-1.5502550511527158E-2</v>
      </c>
      <c r="V1199" s="12">
        <f t="shared" si="205"/>
        <v>-1.3513068125638683E-2</v>
      </c>
      <c r="W1199" s="12">
        <f t="shared" si="206"/>
        <v>-1.7711654268508625E-2</v>
      </c>
      <c r="X1199" s="12">
        <f t="shared" si="207"/>
        <v>3.9963110974485794E-3</v>
      </c>
      <c r="Y1199" s="12">
        <f t="shared" si="208"/>
        <v>8.9836911453053947E-3</v>
      </c>
    </row>
    <row r="1200" spans="1:25" x14ac:dyDescent="0.35">
      <c r="A1200" s="6">
        <v>45870</v>
      </c>
      <c r="B1200" s="8">
        <v>6238.01</v>
      </c>
      <c r="C1200" s="2">
        <v>202.38</v>
      </c>
      <c r="D1200" s="2">
        <v>250.05</v>
      </c>
      <c r="E1200" s="2">
        <v>524.11</v>
      </c>
      <c r="F1200" s="2">
        <v>237.77</v>
      </c>
      <c r="G1200" s="2">
        <v>167.33</v>
      </c>
      <c r="H1200" s="2">
        <v>339.35</v>
      </c>
      <c r="I1200" s="2">
        <v>294.27</v>
      </c>
      <c r="J1200" s="2">
        <v>221.9</v>
      </c>
      <c r="K1200" s="2">
        <v>98.49</v>
      </c>
      <c r="L1200" s="2">
        <v>428.69</v>
      </c>
      <c r="M1200" s="64" t="s">
        <v>77</v>
      </c>
      <c r="N1200" s="1"/>
      <c r="O1200" s="12">
        <f t="shared" si="198"/>
        <v>-1.5992074947274171E-2</v>
      </c>
      <c r="P1200" s="12">
        <f t="shared" si="199"/>
        <v>-2.5003613238907318E-2</v>
      </c>
      <c r="Q1200" s="12">
        <f t="shared" si="200"/>
        <v>-1.2245704127987311E-2</v>
      </c>
      <c r="R1200" s="12">
        <f t="shared" si="201"/>
        <v>-1.7600749765698143E-2</v>
      </c>
      <c r="S1200" s="12">
        <f t="shared" si="202"/>
        <v>-4.7243147940374985E-2</v>
      </c>
      <c r="T1200" s="12">
        <f t="shared" si="203"/>
        <v>1.5721743353162676E-2</v>
      </c>
      <c r="U1200" s="12">
        <f t="shared" si="204"/>
        <v>-1.7714996960662255E-2</v>
      </c>
      <c r="V1200" s="12">
        <f t="shared" si="205"/>
        <v>-1.683872907687689E-2</v>
      </c>
      <c r="W1200" s="12">
        <f t="shared" si="206"/>
        <v>2.7046520014417652E-4</v>
      </c>
      <c r="X1200" s="12">
        <f t="shared" si="207"/>
        <v>5.2051439069196181E-3</v>
      </c>
      <c r="Y1200" s="12">
        <f t="shared" si="208"/>
        <v>-2.1300397242135061E-2</v>
      </c>
    </row>
    <row r="1201" spans="1:25" x14ac:dyDescent="0.35">
      <c r="A1201" s="6">
        <v>45873</v>
      </c>
      <c r="B1201" s="8">
        <v>6329.94</v>
      </c>
      <c r="C1201" s="2">
        <v>203.35</v>
      </c>
      <c r="D1201" s="2">
        <v>251.98</v>
      </c>
      <c r="E1201" s="2">
        <v>535.64</v>
      </c>
      <c r="F1201" s="2">
        <v>240.98</v>
      </c>
      <c r="G1201" s="2">
        <v>171.04</v>
      </c>
      <c r="H1201" s="2">
        <v>342.15</v>
      </c>
      <c r="I1201" s="2">
        <v>298.58999999999997</v>
      </c>
      <c r="J1201" s="2">
        <v>222.34</v>
      </c>
      <c r="K1201" s="2">
        <v>99.59</v>
      </c>
      <c r="L1201" s="2">
        <v>433.7</v>
      </c>
      <c r="M1201" s="64" t="s">
        <v>77</v>
      </c>
      <c r="N1201" s="1"/>
      <c r="O1201" s="12">
        <f t="shared" si="198"/>
        <v>1.473707159815385E-2</v>
      </c>
      <c r="P1201" s="12">
        <f t="shared" si="199"/>
        <v>4.792963731593991E-3</v>
      </c>
      <c r="Q1201" s="12">
        <f t="shared" si="200"/>
        <v>7.7184563087382418E-3</v>
      </c>
      <c r="R1201" s="12">
        <f t="shared" si="201"/>
        <v>2.1999198641506457E-2</v>
      </c>
      <c r="S1201" s="12">
        <f t="shared" si="202"/>
        <v>1.3500441603229829E-2</v>
      </c>
      <c r="T1201" s="12">
        <f t="shared" si="203"/>
        <v>2.2171756409490095E-2</v>
      </c>
      <c r="U1201" s="12">
        <f t="shared" si="204"/>
        <v>8.2510682186531792E-3</v>
      </c>
      <c r="V1201" s="12">
        <f t="shared" si="205"/>
        <v>1.4680395555102477E-2</v>
      </c>
      <c r="W1201" s="12">
        <f t="shared" si="206"/>
        <v>1.9828751689949797E-3</v>
      </c>
      <c r="X1201" s="12">
        <f t="shared" si="207"/>
        <v>1.1168646563102902E-2</v>
      </c>
      <c r="Y1201" s="12">
        <f t="shared" si="208"/>
        <v>1.1686766661223702E-2</v>
      </c>
    </row>
    <row r="1202" spans="1:25" x14ac:dyDescent="0.35">
      <c r="A1202" s="6">
        <v>45874</v>
      </c>
      <c r="B1202" s="8">
        <v>6299.19</v>
      </c>
      <c r="C1202" s="2">
        <v>202.92</v>
      </c>
      <c r="D1202" s="2">
        <v>250.67</v>
      </c>
      <c r="E1202" s="2">
        <v>527.75</v>
      </c>
      <c r="F1202" s="2">
        <v>251</v>
      </c>
      <c r="G1202" s="2">
        <v>170.74</v>
      </c>
      <c r="H1202" s="2">
        <v>337.43</v>
      </c>
      <c r="I1202" s="2">
        <v>296.64</v>
      </c>
      <c r="J1202" s="2">
        <v>224.86</v>
      </c>
      <c r="K1202" s="2">
        <v>99.31</v>
      </c>
      <c r="L1202" s="2">
        <v>434.23</v>
      </c>
      <c r="M1202" s="64">
        <v>9.9499999999999993</v>
      </c>
      <c r="N1202" s="1"/>
      <c r="O1202" s="12">
        <f t="shared" si="198"/>
        <v>-4.8578659513360822E-3</v>
      </c>
      <c r="P1202" s="12">
        <f t="shared" si="199"/>
        <v>-2.1145807720679421E-3</v>
      </c>
      <c r="Q1202" s="12">
        <f t="shared" si="200"/>
        <v>-5.1988253035955001E-3</v>
      </c>
      <c r="R1202" s="12">
        <f t="shared" si="201"/>
        <v>-1.473004256590249E-2</v>
      </c>
      <c r="S1202" s="12">
        <f t="shared" si="202"/>
        <v>4.1580214125653603E-2</v>
      </c>
      <c r="T1202" s="12">
        <f t="shared" si="203"/>
        <v>-1.7539756782037896E-3</v>
      </c>
      <c r="U1202" s="12">
        <f t="shared" si="204"/>
        <v>-1.3795119099809905E-2</v>
      </c>
      <c r="V1202" s="12">
        <f t="shared" si="205"/>
        <v>-6.5306942630362075E-3</v>
      </c>
      <c r="W1202" s="12">
        <f t="shared" si="206"/>
        <v>1.1333992983718622E-2</v>
      </c>
      <c r="X1202" s="12">
        <f t="shared" si="207"/>
        <v>-2.8115272617732501E-3</v>
      </c>
      <c r="Y1202" s="12">
        <f t="shared" si="208"/>
        <v>1.2220428867881772E-3</v>
      </c>
    </row>
    <row r="1203" spans="1:25" x14ac:dyDescent="0.35">
      <c r="A1203" s="6">
        <v>45875</v>
      </c>
      <c r="B1203" s="8">
        <v>6345.06</v>
      </c>
      <c r="C1203" s="2">
        <v>213.25</v>
      </c>
      <c r="D1203" s="2">
        <v>252.28</v>
      </c>
      <c r="E1203" s="2">
        <v>524.94000000000005</v>
      </c>
      <c r="F1203" s="2">
        <v>245.78</v>
      </c>
      <c r="G1203" s="2">
        <v>170.59</v>
      </c>
      <c r="H1203" s="2">
        <v>339.74</v>
      </c>
      <c r="I1203" s="2">
        <v>295.54000000000002</v>
      </c>
      <c r="J1203" s="2">
        <v>225.04</v>
      </c>
      <c r="K1203" s="2">
        <v>103.36</v>
      </c>
      <c r="L1203" s="2">
        <v>427.72</v>
      </c>
      <c r="M1203" s="64" t="s">
        <v>77</v>
      </c>
      <c r="N1203" s="1"/>
      <c r="O1203" s="12">
        <f t="shared" si="198"/>
        <v>7.2818886237755454E-3</v>
      </c>
      <c r="P1203" s="12">
        <f t="shared" si="199"/>
        <v>5.0906761285235635E-2</v>
      </c>
      <c r="Q1203" s="12">
        <f t="shared" si="200"/>
        <v>6.4227869310249375E-3</v>
      </c>
      <c r="R1203" s="12">
        <f t="shared" si="201"/>
        <v>-5.3244907626716076E-3</v>
      </c>
      <c r="S1203" s="12">
        <f t="shared" si="202"/>
        <v>-2.0796812749004023E-2</v>
      </c>
      <c r="T1203" s="12">
        <f t="shared" si="203"/>
        <v>-8.7852875717464585E-4</v>
      </c>
      <c r="U1203" s="12">
        <f t="shared" si="204"/>
        <v>6.8458643274160735E-3</v>
      </c>
      <c r="V1203" s="12">
        <f t="shared" si="205"/>
        <v>-3.7081984897517906E-3</v>
      </c>
      <c r="W1203" s="12">
        <f t="shared" si="206"/>
        <v>8.0049808769899755E-4</v>
      </c>
      <c r="X1203" s="12">
        <f t="shared" si="207"/>
        <v>4.0781391602054073E-2</v>
      </c>
      <c r="Y1203" s="12">
        <f t="shared" si="208"/>
        <v>-1.4992054901780127E-2</v>
      </c>
    </row>
    <row r="1204" spans="1:25" x14ac:dyDescent="0.35">
      <c r="A1204" s="6">
        <v>45876</v>
      </c>
      <c r="B1204" s="8">
        <v>6340</v>
      </c>
      <c r="C1204" s="2">
        <v>220.03</v>
      </c>
      <c r="D1204" s="2">
        <v>250.16</v>
      </c>
      <c r="E1204" s="2">
        <v>520.84</v>
      </c>
      <c r="F1204" s="2">
        <v>244.67</v>
      </c>
      <c r="G1204" s="2">
        <v>171.53</v>
      </c>
      <c r="H1204" s="2">
        <v>332.09</v>
      </c>
      <c r="I1204" s="2">
        <v>294.73</v>
      </c>
      <c r="J1204" s="2">
        <v>227.33</v>
      </c>
      <c r="K1204" s="2">
        <v>103.12</v>
      </c>
      <c r="L1204" s="2">
        <v>417.12</v>
      </c>
      <c r="M1204" s="64" t="s">
        <v>77</v>
      </c>
      <c r="N1204" s="1"/>
      <c r="O1204" s="12">
        <f t="shared" si="198"/>
        <v>-7.9747078829839335E-4</v>
      </c>
      <c r="P1204" s="12">
        <f t="shared" si="199"/>
        <v>3.1793669402110147E-2</v>
      </c>
      <c r="Q1204" s="12">
        <f t="shared" si="200"/>
        <v>-8.4033613445377853E-3</v>
      </c>
      <c r="R1204" s="12">
        <f t="shared" si="201"/>
        <v>-7.8104164285442979E-3</v>
      </c>
      <c r="S1204" s="12">
        <f t="shared" si="202"/>
        <v>-4.5162340304337745E-3</v>
      </c>
      <c r="T1204" s="12">
        <f t="shared" si="203"/>
        <v>5.5102878246087172E-3</v>
      </c>
      <c r="U1204" s="12">
        <f t="shared" si="204"/>
        <v>-2.2517219049861814E-2</v>
      </c>
      <c r="V1204" s="12">
        <f t="shared" si="205"/>
        <v>-2.7407457535358892E-3</v>
      </c>
      <c r="W1204" s="12">
        <f t="shared" si="206"/>
        <v>1.0175968716672701E-2</v>
      </c>
      <c r="X1204" s="12">
        <f t="shared" si="207"/>
        <v>-2.3219814241485226E-3</v>
      </c>
      <c r="Y1204" s="12">
        <f t="shared" si="208"/>
        <v>-2.478256803516321E-2</v>
      </c>
    </row>
    <row r="1205" spans="1:25" x14ac:dyDescent="0.35">
      <c r="A1205" s="6">
        <v>45877</v>
      </c>
      <c r="B1205" s="8">
        <v>6389.45</v>
      </c>
      <c r="C1205" s="2">
        <v>229.35</v>
      </c>
      <c r="D1205" s="2">
        <v>242.27</v>
      </c>
      <c r="E1205" s="2">
        <v>522.04</v>
      </c>
      <c r="F1205" s="2">
        <v>250.89</v>
      </c>
      <c r="G1205" s="2">
        <v>173.33</v>
      </c>
      <c r="H1205" s="2">
        <v>336.78</v>
      </c>
      <c r="I1205" s="2">
        <v>297.43</v>
      </c>
      <c r="J1205" s="2">
        <v>229.12</v>
      </c>
      <c r="K1205" s="2">
        <v>103.73</v>
      </c>
      <c r="L1205" s="2">
        <v>416.52</v>
      </c>
      <c r="M1205" s="64" t="s">
        <v>77</v>
      </c>
      <c r="N1205" s="1"/>
      <c r="O1205" s="12">
        <f t="shared" si="198"/>
        <v>7.7996845425867267E-3</v>
      </c>
      <c r="P1205" s="12">
        <f t="shared" si="199"/>
        <v>4.235786029177846E-2</v>
      </c>
      <c r="Q1205" s="12">
        <f t="shared" si="200"/>
        <v>-3.153981451870802E-2</v>
      </c>
      <c r="R1205" s="12">
        <f t="shared" si="201"/>
        <v>2.303970509177411E-3</v>
      </c>
      <c r="S1205" s="12">
        <f t="shared" si="202"/>
        <v>2.5421996975518057E-2</v>
      </c>
      <c r="T1205" s="12">
        <f t="shared" si="203"/>
        <v>1.0493791173555644E-2</v>
      </c>
      <c r="U1205" s="12">
        <f t="shared" si="204"/>
        <v>1.4122677587401045E-2</v>
      </c>
      <c r="V1205" s="12">
        <f t="shared" si="205"/>
        <v>9.1609269500898538E-3</v>
      </c>
      <c r="W1205" s="12">
        <f t="shared" si="206"/>
        <v>7.8740157480314821E-3</v>
      </c>
      <c r="X1205" s="12">
        <f t="shared" si="207"/>
        <v>5.9154383242823183E-3</v>
      </c>
      <c r="Y1205" s="12">
        <f t="shared" si="208"/>
        <v>-1.4384349827388787E-3</v>
      </c>
    </row>
    <row r="1206" spans="1:25" x14ac:dyDescent="0.35">
      <c r="A1206" s="6">
        <v>45880</v>
      </c>
      <c r="B1206" s="8">
        <v>6373.45</v>
      </c>
      <c r="C1206" s="2">
        <v>227.18</v>
      </c>
      <c r="D1206" s="2">
        <v>236.3</v>
      </c>
      <c r="E1206" s="2">
        <v>521.77</v>
      </c>
      <c r="F1206" s="2">
        <v>252.37</v>
      </c>
      <c r="G1206" s="2">
        <v>173.82</v>
      </c>
      <c r="H1206" s="2">
        <v>335.9</v>
      </c>
      <c r="I1206" s="2">
        <v>296.23</v>
      </c>
      <c r="J1206" s="2">
        <v>225.96</v>
      </c>
      <c r="K1206" s="2">
        <v>103.93</v>
      </c>
      <c r="L1206" s="2">
        <v>408.54</v>
      </c>
      <c r="M1206" s="64" t="s">
        <v>77</v>
      </c>
      <c r="N1206" s="1"/>
      <c r="O1206" s="12">
        <f t="shared" si="198"/>
        <v>-2.5041278983324311E-3</v>
      </c>
      <c r="P1206" s="12">
        <f t="shared" si="199"/>
        <v>-9.4615216917374179E-3</v>
      </c>
      <c r="Q1206" s="12">
        <f t="shared" si="200"/>
        <v>-2.4641928426961668E-2</v>
      </c>
      <c r="R1206" s="12">
        <f t="shared" si="201"/>
        <v>-5.1720174699254606E-4</v>
      </c>
      <c r="S1206" s="12">
        <f t="shared" si="202"/>
        <v>5.8989995615608137E-3</v>
      </c>
      <c r="T1206" s="12">
        <f t="shared" si="203"/>
        <v>2.8269774418738791E-3</v>
      </c>
      <c r="U1206" s="12">
        <f t="shared" si="204"/>
        <v>-2.6129817685135448E-3</v>
      </c>
      <c r="V1206" s="12">
        <f t="shared" si="205"/>
        <v>-4.0345627542615059E-3</v>
      </c>
      <c r="W1206" s="12">
        <f t="shared" si="206"/>
        <v>-1.3791899441340738E-2</v>
      </c>
      <c r="X1206" s="12">
        <f t="shared" si="207"/>
        <v>1.9280825219318842E-3</v>
      </c>
      <c r="Y1206" s="12">
        <f t="shared" si="208"/>
        <v>-1.9158743877844886E-2</v>
      </c>
    </row>
    <row r="1207" spans="1:25" x14ac:dyDescent="0.35">
      <c r="A1207" s="6">
        <v>45881</v>
      </c>
      <c r="B1207" s="8">
        <v>6445.76</v>
      </c>
      <c r="C1207" s="2">
        <v>229.65</v>
      </c>
      <c r="D1207" s="2">
        <v>234.77</v>
      </c>
      <c r="E1207" s="2">
        <v>529.24</v>
      </c>
      <c r="F1207" s="2">
        <v>261.57</v>
      </c>
      <c r="G1207" s="2">
        <v>172.78</v>
      </c>
      <c r="H1207" s="2">
        <v>336.74</v>
      </c>
      <c r="I1207" s="2">
        <v>303.20999999999998</v>
      </c>
      <c r="J1207" s="2">
        <v>232.61</v>
      </c>
      <c r="K1207" s="2">
        <v>103.62</v>
      </c>
      <c r="L1207" s="2">
        <v>412.71</v>
      </c>
      <c r="M1207" s="64">
        <v>9.9</v>
      </c>
      <c r="N1207" s="1"/>
      <c r="O1207" s="12">
        <f t="shared" si="198"/>
        <v>1.1345503612643082E-2</v>
      </c>
      <c r="P1207" s="12">
        <f t="shared" si="199"/>
        <v>1.0872435953869219E-2</v>
      </c>
      <c r="Q1207" s="12">
        <f t="shared" si="200"/>
        <v>-6.4748201438848962E-3</v>
      </c>
      <c r="R1207" s="12">
        <f t="shared" si="201"/>
        <v>1.4316652931368301E-2</v>
      </c>
      <c r="S1207" s="12">
        <f t="shared" si="202"/>
        <v>3.645441217260359E-2</v>
      </c>
      <c r="T1207" s="12">
        <f t="shared" si="203"/>
        <v>-5.9832010125416835E-3</v>
      </c>
      <c r="U1207" s="12">
        <f t="shared" si="204"/>
        <v>2.5007442691278303E-3</v>
      </c>
      <c r="V1207" s="12">
        <f t="shared" si="205"/>
        <v>2.3562772170272916E-2</v>
      </c>
      <c r="W1207" s="12">
        <f t="shared" si="206"/>
        <v>2.94299876084263E-2</v>
      </c>
      <c r="X1207" s="12">
        <f t="shared" si="207"/>
        <v>-2.9827768690464662E-3</v>
      </c>
      <c r="Y1207" s="12">
        <f t="shared" si="208"/>
        <v>1.0207078866206309E-2</v>
      </c>
    </row>
    <row r="1208" spans="1:25" x14ac:dyDescent="0.35">
      <c r="A1208" s="6">
        <v>45882</v>
      </c>
      <c r="B1208" s="8">
        <v>6466.58</v>
      </c>
      <c r="C1208" s="2">
        <v>233.33</v>
      </c>
      <c r="D1208" s="2">
        <v>240.07</v>
      </c>
      <c r="E1208" s="2">
        <v>520.58000000000004</v>
      </c>
      <c r="F1208" s="2">
        <v>271.81</v>
      </c>
      <c r="G1208" s="2">
        <v>174.42</v>
      </c>
      <c r="H1208" s="2">
        <v>342.55</v>
      </c>
      <c r="I1208" s="2">
        <v>306.87</v>
      </c>
      <c r="J1208" s="2">
        <v>233.37</v>
      </c>
      <c r="K1208" s="2">
        <v>100.99</v>
      </c>
      <c r="L1208" s="2">
        <v>413.7</v>
      </c>
      <c r="M1208" s="64" t="s">
        <v>77</v>
      </c>
      <c r="N1208" s="1"/>
      <c r="O1208" s="12">
        <f t="shared" si="198"/>
        <v>3.2300302834731287E-3</v>
      </c>
      <c r="P1208" s="12">
        <f t="shared" si="199"/>
        <v>1.6024384933594593E-2</v>
      </c>
      <c r="Q1208" s="12">
        <f t="shared" si="200"/>
        <v>2.257528645056861E-2</v>
      </c>
      <c r="R1208" s="12">
        <f t="shared" si="201"/>
        <v>-1.6363086690348361E-2</v>
      </c>
      <c r="S1208" s="12">
        <f t="shared" si="202"/>
        <v>3.9148220361662212E-2</v>
      </c>
      <c r="T1208" s="12">
        <f t="shared" si="203"/>
        <v>9.4918393332561468E-3</v>
      </c>
      <c r="U1208" s="12">
        <f t="shared" si="204"/>
        <v>1.725366751796642E-2</v>
      </c>
      <c r="V1208" s="12">
        <f t="shared" si="205"/>
        <v>1.2070841990699632E-2</v>
      </c>
      <c r="W1208" s="12">
        <f t="shared" si="206"/>
        <v>3.2672713984780444E-3</v>
      </c>
      <c r="X1208" s="12">
        <f t="shared" si="207"/>
        <v>-2.5381200540436355E-2</v>
      </c>
      <c r="Y1208" s="12">
        <f t="shared" si="208"/>
        <v>2.3987788035182422E-3</v>
      </c>
    </row>
    <row r="1209" spans="1:25" x14ac:dyDescent="0.35">
      <c r="A1209" s="6">
        <v>45883</v>
      </c>
      <c r="B1209" s="8">
        <v>6468.54</v>
      </c>
      <c r="C1209" s="2">
        <v>232.78</v>
      </c>
      <c r="D1209" s="2">
        <v>237.11</v>
      </c>
      <c r="E1209" s="2">
        <v>522.48</v>
      </c>
      <c r="F1209" s="2">
        <v>271.49</v>
      </c>
      <c r="G1209" s="2">
        <v>174.72</v>
      </c>
      <c r="H1209" s="2">
        <v>345.49</v>
      </c>
      <c r="I1209" s="2">
        <v>307.73</v>
      </c>
      <c r="J1209" s="2">
        <v>233.19</v>
      </c>
      <c r="K1209" s="2">
        <v>100.85</v>
      </c>
      <c r="L1209" s="2">
        <v>417.5</v>
      </c>
      <c r="M1209" s="64" t="s">
        <v>77</v>
      </c>
      <c r="N1209" s="1"/>
      <c r="O1209" s="12">
        <f t="shared" si="198"/>
        <v>3.0309684562790373E-4</v>
      </c>
      <c r="P1209" s="12">
        <f t="shared" si="199"/>
        <v>-2.3571765310933523E-3</v>
      </c>
      <c r="Q1209" s="12">
        <f t="shared" si="200"/>
        <v>-1.2329737159994969E-2</v>
      </c>
      <c r="R1209" s="12">
        <f t="shared" si="201"/>
        <v>3.6497752506818859E-3</v>
      </c>
      <c r="S1209" s="12">
        <f t="shared" si="202"/>
        <v>-1.1772929619955352E-3</v>
      </c>
      <c r="T1209" s="12">
        <f t="shared" si="203"/>
        <v>1.7199862401100496E-3</v>
      </c>
      <c r="U1209" s="12">
        <f t="shared" si="204"/>
        <v>8.5826886585900208E-3</v>
      </c>
      <c r="V1209" s="12">
        <f t="shared" si="205"/>
        <v>2.8024896535991939E-3</v>
      </c>
      <c r="W1209" s="12">
        <f t="shared" si="206"/>
        <v>-7.713073659854075E-4</v>
      </c>
      <c r="X1209" s="12">
        <f t="shared" si="207"/>
        <v>-1.386275868897946E-3</v>
      </c>
      <c r="Y1209" s="12">
        <f t="shared" si="208"/>
        <v>9.1854000483442277E-3</v>
      </c>
    </row>
    <row r="1210" spans="1:25" x14ac:dyDescent="0.35">
      <c r="A1210" s="6">
        <v>45884</v>
      </c>
      <c r="B1210" s="8">
        <v>6449.8</v>
      </c>
      <c r="C1210" s="2">
        <v>231.59</v>
      </c>
      <c r="D1210" s="2">
        <v>239.72</v>
      </c>
      <c r="E1210" s="2">
        <v>520.16999999999996</v>
      </c>
      <c r="F1210" s="2">
        <v>304.01</v>
      </c>
      <c r="G1210" s="2">
        <v>176.64</v>
      </c>
      <c r="H1210" s="2">
        <v>344.47</v>
      </c>
      <c r="I1210" s="2">
        <v>305.47000000000003</v>
      </c>
      <c r="J1210" s="2">
        <v>235.26</v>
      </c>
      <c r="K1210" s="2">
        <v>100</v>
      </c>
      <c r="L1210" s="2">
        <v>407.79</v>
      </c>
      <c r="M1210" s="64" t="s">
        <v>77</v>
      </c>
      <c r="N1210" s="1"/>
      <c r="O1210" s="12">
        <f t="shared" si="198"/>
        <v>-2.8970988816641174E-3</v>
      </c>
      <c r="P1210" s="12">
        <f t="shared" si="199"/>
        <v>-5.112123034624938E-3</v>
      </c>
      <c r="Q1210" s="12">
        <f t="shared" si="200"/>
        <v>1.1007549238749803E-2</v>
      </c>
      <c r="R1210" s="12">
        <f t="shared" si="201"/>
        <v>-4.4212218649518631E-3</v>
      </c>
      <c r="S1210" s="12">
        <f t="shared" si="202"/>
        <v>0.11978341743710619</v>
      </c>
      <c r="T1210" s="12">
        <f t="shared" si="203"/>
        <v>1.098901098901095E-2</v>
      </c>
      <c r="U1210" s="12">
        <f t="shared" si="204"/>
        <v>-2.952328576803942E-3</v>
      </c>
      <c r="V1210" s="12">
        <f t="shared" si="205"/>
        <v>-7.344100347707383E-3</v>
      </c>
      <c r="W1210" s="12">
        <f t="shared" si="206"/>
        <v>8.8768815129294243E-3</v>
      </c>
      <c r="X1210" s="12">
        <f t="shared" si="207"/>
        <v>-8.4283589489340116E-3</v>
      </c>
      <c r="Y1210" s="12">
        <f t="shared" si="208"/>
        <v>-2.3257485029940073E-2</v>
      </c>
    </row>
    <row r="1211" spans="1:25" x14ac:dyDescent="0.35">
      <c r="A1211" s="6">
        <v>45887</v>
      </c>
      <c r="B1211" s="8">
        <v>6449.15</v>
      </c>
      <c r="C1211" s="2">
        <v>230.89</v>
      </c>
      <c r="D1211" s="2">
        <v>239.45</v>
      </c>
      <c r="E1211" s="2">
        <v>517.1</v>
      </c>
      <c r="F1211" s="2">
        <v>308.49</v>
      </c>
      <c r="G1211" s="2">
        <v>176.25</v>
      </c>
      <c r="H1211" s="2">
        <v>342.74</v>
      </c>
      <c r="I1211" s="2">
        <v>307.05</v>
      </c>
      <c r="J1211" s="2">
        <v>232.41</v>
      </c>
      <c r="K1211" s="2">
        <v>100.7</v>
      </c>
      <c r="L1211" s="2">
        <v>412.64</v>
      </c>
      <c r="M1211" s="64" t="s">
        <v>77</v>
      </c>
      <c r="N1211" s="1"/>
      <c r="O1211" s="12">
        <f t="shared" si="198"/>
        <v>-1.0077831870769494E-4</v>
      </c>
      <c r="P1211" s="12">
        <f t="shared" si="199"/>
        <v>-3.0225830130835574E-3</v>
      </c>
      <c r="Q1211" s="12">
        <f t="shared" si="200"/>
        <v>-1.1263140330385335E-3</v>
      </c>
      <c r="R1211" s="12">
        <f t="shared" si="201"/>
        <v>-5.9019166810848622E-3</v>
      </c>
      <c r="S1211" s="12">
        <f t="shared" si="202"/>
        <v>1.4736357356665897E-2</v>
      </c>
      <c r="T1211" s="12">
        <f t="shared" si="203"/>
        <v>-2.2078804347824832E-3</v>
      </c>
      <c r="U1211" s="12">
        <f t="shared" si="204"/>
        <v>-5.0222080297268601E-3</v>
      </c>
      <c r="V1211" s="12">
        <f t="shared" si="205"/>
        <v>5.172357350967216E-3</v>
      </c>
      <c r="W1211" s="12">
        <f t="shared" si="206"/>
        <v>-1.211425656720222E-2</v>
      </c>
      <c r="X1211" s="12">
        <f t="shared" si="207"/>
        <v>7.0000000000001172E-3</v>
      </c>
      <c r="Y1211" s="12">
        <f t="shared" si="208"/>
        <v>1.1893376492802643E-2</v>
      </c>
    </row>
    <row r="1212" spans="1:25" x14ac:dyDescent="0.35">
      <c r="A1212" s="6">
        <v>45888</v>
      </c>
      <c r="B1212" s="8">
        <v>6411.37</v>
      </c>
      <c r="C1212" s="2">
        <v>230.56</v>
      </c>
      <c r="D1212" s="2">
        <v>241.28</v>
      </c>
      <c r="E1212" s="2">
        <v>509.77</v>
      </c>
      <c r="F1212" s="2">
        <v>304.24</v>
      </c>
      <c r="G1212" s="2">
        <v>177.8</v>
      </c>
      <c r="H1212" s="2">
        <v>342.45</v>
      </c>
      <c r="I1212" s="2">
        <v>306.10000000000002</v>
      </c>
      <c r="J1212" s="2">
        <v>225</v>
      </c>
      <c r="K1212" s="2">
        <v>101.29</v>
      </c>
      <c r="L1212" s="2">
        <v>416.09</v>
      </c>
      <c r="M1212" s="64" t="s">
        <v>77</v>
      </c>
      <c r="N1212" s="1"/>
      <c r="O1212" s="12">
        <f t="shared" si="198"/>
        <v>-5.8581363435491474E-3</v>
      </c>
      <c r="P1212" s="12">
        <f t="shared" si="199"/>
        <v>-1.4292520247736196E-3</v>
      </c>
      <c r="Q1212" s="12">
        <f t="shared" si="200"/>
        <v>7.6425140948006565E-3</v>
      </c>
      <c r="R1212" s="12">
        <f t="shared" si="201"/>
        <v>-1.4175207890156694E-2</v>
      </c>
      <c r="S1212" s="12">
        <f t="shared" si="202"/>
        <v>-1.3776783688288163E-2</v>
      </c>
      <c r="T1212" s="12">
        <f t="shared" si="203"/>
        <v>8.7943262411347423E-3</v>
      </c>
      <c r="U1212" s="12">
        <f t="shared" si="204"/>
        <v>-8.4612242516202141E-4</v>
      </c>
      <c r="V1212" s="12">
        <f t="shared" si="205"/>
        <v>-3.0939586386581341E-3</v>
      </c>
      <c r="W1212" s="12">
        <f t="shared" si="206"/>
        <v>-3.1883309668258697E-2</v>
      </c>
      <c r="X1212" s="12">
        <f t="shared" si="207"/>
        <v>5.8589870903673624E-3</v>
      </c>
      <c r="Y1212" s="12">
        <f t="shared" si="208"/>
        <v>8.3607987592089206E-3</v>
      </c>
    </row>
    <row r="1213" spans="1:25" x14ac:dyDescent="0.35">
      <c r="A1213" s="6">
        <v>45889</v>
      </c>
      <c r="B1213" s="8">
        <v>6395.78</v>
      </c>
      <c r="C1213" s="2">
        <v>226.01</v>
      </c>
      <c r="D1213" s="2">
        <v>242.55</v>
      </c>
      <c r="E1213" s="2">
        <v>505.72</v>
      </c>
      <c r="F1213" s="2">
        <v>299.83999999999997</v>
      </c>
      <c r="G1213" s="2">
        <v>178.84</v>
      </c>
      <c r="H1213" s="2">
        <v>343.93</v>
      </c>
      <c r="I1213" s="2">
        <v>308.39999999999998</v>
      </c>
      <c r="J1213" s="2">
        <v>225.62</v>
      </c>
      <c r="K1213" s="2">
        <v>102.57</v>
      </c>
      <c r="L1213" s="2">
        <v>420.59</v>
      </c>
      <c r="M1213" s="64" t="s">
        <v>77</v>
      </c>
      <c r="N1213" s="1"/>
      <c r="O1213" s="12">
        <f t="shared" si="198"/>
        <v>-2.4316175793941408E-3</v>
      </c>
      <c r="P1213" s="12">
        <f t="shared" si="199"/>
        <v>-1.9734559333795976E-2</v>
      </c>
      <c r="Q1213" s="12">
        <f t="shared" si="200"/>
        <v>5.26359416445632E-3</v>
      </c>
      <c r="R1213" s="12">
        <f t="shared" si="201"/>
        <v>-7.9447594012985734E-3</v>
      </c>
      <c r="S1213" s="12">
        <f t="shared" si="202"/>
        <v>-1.4462266631606768E-2</v>
      </c>
      <c r="T1213" s="12">
        <f t="shared" si="203"/>
        <v>5.8492688413946947E-3</v>
      </c>
      <c r="U1213" s="12">
        <f t="shared" si="204"/>
        <v>4.3217988027450804E-3</v>
      </c>
      <c r="V1213" s="12">
        <f t="shared" si="205"/>
        <v>7.5138843515190068E-3</v>
      </c>
      <c r="W1213" s="12">
        <f t="shared" si="206"/>
        <v>2.7555555555556221E-3</v>
      </c>
      <c r="X1213" s="12">
        <f t="shared" si="207"/>
        <v>1.2636982920327666E-2</v>
      </c>
      <c r="Y1213" s="12">
        <f t="shared" si="208"/>
        <v>1.0814967915595108E-2</v>
      </c>
    </row>
    <row r="1214" spans="1:25" x14ac:dyDescent="0.35">
      <c r="A1214" s="6">
        <v>45890</v>
      </c>
      <c r="B1214" s="8">
        <v>6370.17</v>
      </c>
      <c r="C1214" s="2">
        <v>224.9</v>
      </c>
      <c r="D1214" s="2">
        <v>239.4</v>
      </c>
      <c r="E1214" s="2">
        <v>504.24</v>
      </c>
      <c r="F1214" s="2">
        <v>303.35000000000002</v>
      </c>
      <c r="G1214" s="2">
        <v>178.93</v>
      </c>
      <c r="H1214" s="2">
        <v>343.69</v>
      </c>
      <c r="I1214" s="2">
        <v>308.17</v>
      </c>
      <c r="J1214" s="2">
        <v>224.46</v>
      </c>
      <c r="K1214" s="2">
        <v>97.96</v>
      </c>
      <c r="L1214" s="2">
        <v>417.89</v>
      </c>
      <c r="M1214" s="64" t="s">
        <v>77</v>
      </c>
      <c r="N1214" s="1"/>
      <c r="O1214" s="12">
        <f t="shared" si="198"/>
        <v>-4.0042027712021699E-3</v>
      </c>
      <c r="P1214" s="12">
        <f t="shared" si="199"/>
        <v>-4.9112871111897105E-3</v>
      </c>
      <c r="Q1214" s="12">
        <f t="shared" si="200"/>
        <v>-1.2987012987012991E-2</v>
      </c>
      <c r="R1214" s="12">
        <f t="shared" si="201"/>
        <v>-2.9265206042869973E-3</v>
      </c>
      <c r="S1214" s="12">
        <f t="shared" si="202"/>
        <v>1.17062433297761E-2</v>
      </c>
      <c r="T1214" s="12">
        <f t="shared" si="203"/>
        <v>5.0324312234395485E-4</v>
      </c>
      <c r="U1214" s="12">
        <f t="shared" si="204"/>
        <v>-6.9781641613120282E-4</v>
      </c>
      <c r="V1214" s="12">
        <f t="shared" si="205"/>
        <v>-7.4578469520092394E-4</v>
      </c>
      <c r="W1214" s="12">
        <f t="shared" si="206"/>
        <v>-5.1413881748071377E-3</v>
      </c>
      <c r="X1214" s="12">
        <f t="shared" si="207"/>
        <v>-4.494491566734915E-2</v>
      </c>
      <c r="Y1214" s="12">
        <f t="shared" si="208"/>
        <v>-6.4195534843909385E-3</v>
      </c>
    </row>
    <row r="1215" spans="1:25" x14ac:dyDescent="0.35">
      <c r="A1215" s="6">
        <v>45891</v>
      </c>
      <c r="B1215" s="8">
        <v>6466.91</v>
      </c>
      <c r="C1215" s="2">
        <v>227.76</v>
      </c>
      <c r="D1215" s="2">
        <v>242.09</v>
      </c>
      <c r="E1215" s="2">
        <v>507.23</v>
      </c>
      <c r="F1215" s="2">
        <v>307.42</v>
      </c>
      <c r="G1215" s="2">
        <v>179.29</v>
      </c>
      <c r="H1215" s="2">
        <v>350.04</v>
      </c>
      <c r="I1215" s="2">
        <v>319.16000000000003</v>
      </c>
      <c r="J1215" s="2">
        <v>230.12</v>
      </c>
      <c r="K1215" s="2">
        <v>96.83</v>
      </c>
      <c r="L1215" s="2">
        <v>435.67</v>
      </c>
      <c r="M1215" s="64" t="s">
        <v>77</v>
      </c>
      <c r="N1215" s="1"/>
      <c r="O1215" s="12">
        <f t="shared" si="198"/>
        <v>1.518640789806236E-2</v>
      </c>
      <c r="P1215" s="12">
        <f t="shared" si="199"/>
        <v>1.2716763005780285E-2</v>
      </c>
      <c r="Q1215" s="12">
        <f t="shared" si="200"/>
        <v>1.1236424394319044E-2</v>
      </c>
      <c r="R1215" s="12">
        <f t="shared" si="201"/>
        <v>5.9297160082500966E-3</v>
      </c>
      <c r="S1215" s="12">
        <f t="shared" si="202"/>
        <v>1.3416845228284124E-2</v>
      </c>
      <c r="T1215" s="12">
        <f t="shared" si="203"/>
        <v>2.0119599843513303E-3</v>
      </c>
      <c r="U1215" s="12">
        <f t="shared" si="204"/>
        <v>1.8475952166196352E-2</v>
      </c>
      <c r="V1215" s="12">
        <f t="shared" si="205"/>
        <v>3.5662134536132761E-2</v>
      </c>
      <c r="W1215" s="12">
        <f t="shared" si="206"/>
        <v>2.521607413347593E-2</v>
      </c>
      <c r="X1215" s="12">
        <f t="shared" si="207"/>
        <v>-1.1535320538995419E-2</v>
      </c>
      <c r="Y1215" s="12">
        <f t="shared" si="208"/>
        <v>4.2547081767929429E-2</v>
      </c>
    </row>
    <row r="1216" spans="1:25" x14ac:dyDescent="0.35">
      <c r="A1216" s="6">
        <v>45894</v>
      </c>
      <c r="B1216" s="8">
        <v>6439.32</v>
      </c>
      <c r="C1216" s="2">
        <v>227.16</v>
      </c>
      <c r="D1216" s="2">
        <v>239.43</v>
      </c>
      <c r="E1216" s="2">
        <v>504.26</v>
      </c>
      <c r="F1216" s="2">
        <v>304.86</v>
      </c>
      <c r="G1216" s="2">
        <v>178.41</v>
      </c>
      <c r="H1216" s="2">
        <v>348.82</v>
      </c>
      <c r="I1216" s="2">
        <v>315.8</v>
      </c>
      <c r="J1216" s="2">
        <v>226.87</v>
      </c>
      <c r="K1216" s="2">
        <v>96.07</v>
      </c>
      <c r="L1216" s="2">
        <v>432.3</v>
      </c>
      <c r="M1216" s="64">
        <v>9.8000000000000007</v>
      </c>
      <c r="N1216" s="1"/>
      <c r="O1216" s="12">
        <f t="shared" si="198"/>
        <v>-4.2663343080389105E-3</v>
      </c>
      <c r="P1216" s="12">
        <f t="shared" si="199"/>
        <v>-2.6343519494204104E-3</v>
      </c>
      <c r="Q1216" s="12">
        <f t="shared" si="200"/>
        <v>-1.0987649221363971E-2</v>
      </c>
      <c r="R1216" s="12">
        <f t="shared" si="201"/>
        <v>-5.8553319007157434E-3</v>
      </c>
      <c r="S1216" s="12">
        <f t="shared" si="202"/>
        <v>-8.3273697222041587E-3</v>
      </c>
      <c r="T1216" s="12">
        <f t="shared" si="203"/>
        <v>-4.9082492051982785E-3</v>
      </c>
      <c r="U1216" s="12">
        <f t="shared" si="204"/>
        <v>-3.4853159638899012E-3</v>
      </c>
      <c r="V1216" s="12">
        <f t="shared" si="205"/>
        <v>-1.0527635041985284E-2</v>
      </c>
      <c r="W1216" s="12">
        <f t="shared" si="206"/>
        <v>-1.412306622631665E-2</v>
      </c>
      <c r="X1216" s="12">
        <f t="shared" si="207"/>
        <v>-7.848807187855078E-3</v>
      </c>
      <c r="Y1216" s="12">
        <f t="shared" si="208"/>
        <v>-7.7352124314274961E-3</v>
      </c>
    </row>
    <row r="1217" spans="1:25" x14ac:dyDescent="0.35">
      <c r="A1217" s="6">
        <v>45895</v>
      </c>
      <c r="B1217" s="8">
        <v>6465.94</v>
      </c>
      <c r="C1217" s="2">
        <v>229.31</v>
      </c>
      <c r="D1217" s="2">
        <v>242.63</v>
      </c>
      <c r="E1217" s="2">
        <v>502.04</v>
      </c>
      <c r="F1217" s="2">
        <v>300.43</v>
      </c>
      <c r="G1217" s="2">
        <v>176.49</v>
      </c>
      <c r="H1217" s="2">
        <v>351.18</v>
      </c>
      <c r="I1217" s="2">
        <v>320.60000000000002</v>
      </c>
      <c r="J1217" s="2">
        <v>234.83</v>
      </c>
      <c r="K1217" s="2">
        <v>96.05</v>
      </c>
      <c r="L1217" s="2">
        <v>431.26</v>
      </c>
      <c r="M1217" s="64" t="s">
        <v>77</v>
      </c>
      <c r="N1217" s="1"/>
      <c r="O1217" s="12">
        <f t="shared" si="198"/>
        <v>4.1339768795463083E-3</v>
      </c>
      <c r="P1217" s="12">
        <f t="shared" si="199"/>
        <v>9.4646944884662076E-3</v>
      </c>
      <c r="Q1217" s="12">
        <f t="shared" si="200"/>
        <v>1.3365075387378411E-2</v>
      </c>
      <c r="R1217" s="12">
        <f t="shared" si="201"/>
        <v>-4.4024907785665812E-3</v>
      </c>
      <c r="S1217" s="12">
        <f t="shared" si="202"/>
        <v>-1.4531260250606803E-2</v>
      </c>
      <c r="T1217" s="12">
        <f t="shared" si="203"/>
        <v>-1.0761728602656784E-2</v>
      </c>
      <c r="U1217" s="12">
        <f t="shared" si="204"/>
        <v>6.7656671062439333E-3</v>
      </c>
      <c r="V1217" s="12">
        <f t="shared" si="205"/>
        <v>1.5199493350221749E-2</v>
      </c>
      <c r="W1217" s="12">
        <f t="shared" si="206"/>
        <v>3.5086172698020945E-2</v>
      </c>
      <c r="X1217" s="12">
        <f t="shared" si="207"/>
        <v>-2.081815342979132E-4</v>
      </c>
      <c r="Y1217" s="12">
        <f t="shared" si="208"/>
        <v>-2.4057367568818266E-3</v>
      </c>
    </row>
    <row r="1218" spans="1:25" x14ac:dyDescent="0.35">
      <c r="A1218" s="6">
        <v>45896</v>
      </c>
      <c r="B1218" s="8">
        <v>6481.4</v>
      </c>
      <c r="C1218" s="2">
        <v>230.49</v>
      </c>
      <c r="D1218" s="2">
        <v>244.84</v>
      </c>
      <c r="E1218" s="2">
        <v>506.74</v>
      </c>
      <c r="F1218" s="2">
        <v>303.88</v>
      </c>
      <c r="G1218" s="2">
        <v>176.79</v>
      </c>
      <c r="H1218" s="2">
        <v>350.35</v>
      </c>
      <c r="I1218" s="2">
        <v>322.45999999999998</v>
      </c>
      <c r="J1218" s="2">
        <v>235.62</v>
      </c>
      <c r="K1218" s="2">
        <v>96.08</v>
      </c>
      <c r="L1218" s="2">
        <v>432.67</v>
      </c>
      <c r="M1218" s="64" t="s">
        <v>77</v>
      </c>
      <c r="N1218" s="1"/>
      <c r="O1218" s="12">
        <f t="shared" si="198"/>
        <v>2.3909903277790079E-3</v>
      </c>
      <c r="P1218" s="12">
        <f t="shared" si="199"/>
        <v>5.1458723998081268E-3</v>
      </c>
      <c r="Q1218" s="12">
        <f t="shared" si="200"/>
        <v>9.1085191443762703E-3</v>
      </c>
      <c r="R1218" s="12">
        <f t="shared" si="201"/>
        <v>9.3618038403313619E-3</v>
      </c>
      <c r="S1218" s="12">
        <f t="shared" si="202"/>
        <v>1.1483540258962144E-2</v>
      </c>
      <c r="T1218" s="12">
        <f t="shared" si="203"/>
        <v>1.6998130205676532E-3</v>
      </c>
      <c r="U1218" s="12">
        <f t="shared" si="204"/>
        <v>-2.3634603337319149E-3</v>
      </c>
      <c r="V1218" s="12">
        <f t="shared" si="205"/>
        <v>5.8016219588270523E-3</v>
      </c>
      <c r="W1218" s="12">
        <f t="shared" si="206"/>
        <v>3.3641357577822717E-3</v>
      </c>
      <c r="X1218" s="12">
        <f t="shared" si="207"/>
        <v>3.1233732431035222E-4</v>
      </c>
      <c r="Y1218" s="12">
        <f t="shared" si="208"/>
        <v>3.269489403144421E-3</v>
      </c>
    </row>
    <row r="1219" spans="1:25" x14ac:dyDescent="0.35">
      <c r="A1219" s="6">
        <v>45897</v>
      </c>
      <c r="B1219" s="8">
        <v>6501.86</v>
      </c>
      <c r="C1219" s="2">
        <v>232.56</v>
      </c>
      <c r="D1219" s="2">
        <v>245.73</v>
      </c>
      <c r="E1219" s="2">
        <v>509.64</v>
      </c>
      <c r="F1219" s="2">
        <v>302.29000000000002</v>
      </c>
      <c r="G1219" s="2">
        <v>175.45</v>
      </c>
      <c r="H1219" s="2">
        <v>349.86</v>
      </c>
      <c r="I1219" s="2">
        <v>326.99</v>
      </c>
      <c r="J1219" s="2">
        <v>236.16</v>
      </c>
      <c r="K1219" s="2">
        <v>96.11</v>
      </c>
      <c r="L1219" s="2">
        <v>434.91</v>
      </c>
      <c r="M1219" s="64" t="s">
        <v>77</v>
      </c>
      <c r="N1219" s="1"/>
      <c r="O1219" s="12">
        <f t="shared" si="198"/>
        <v>3.1567253988336041E-3</v>
      </c>
      <c r="P1219" s="12">
        <f t="shared" si="199"/>
        <v>8.9808668488871035E-3</v>
      </c>
      <c r="Q1219" s="12">
        <f t="shared" si="200"/>
        <v>3.6350269563796278E-3</v>
      </c>
      <c r="R1219" s="12">
        <f t="shared" si="201"/>
        <v>5.7228559024351533E-3</v>
      </c>
      <c r="S1219" s="12">
        <f t="shared" si="202"/>
        <v>-5.2323285507436257E-3</v>
      </c>
      <c r="T1219" s="12">
        <f t="shared" si="203"/>
        <v>-7.579614231574161E-3</v>
      </c>
      <c r="U1219" s="12">
        <f t="shared" si="204"/>
        <v>-1.3986013986013734E-3</v>
      </c>
      <c r="V1219" s="12">
        <f t="shared" si="205"/>
        <v>1.4048254047013709E-2</v>
      </c>
      <c r="W1219" s="12">
        <f t="shared" si="206"/>
        <v>2.2918258212376585E-3</v>
      </c>
      <c r="X1219" s="12">
        <f t="shared" si="207"/>
        <v>3.1223980016648056E-4</v>
      </c>
      <c r="Y1219" s="12">
        <f t="shared" si="208"/>
        <v>5.177155800032418E-3</v>
      </c>
    </row>
    <row r="1220" spans="1:25" x14ac:dyDescent="0.35">
      <c r="A1220" s="6">
        <v>45898</v>
      </c>
      <c r="B1220" s="8">
        <v>6460.26</v>
      </c>
      <c r="C1220" s="2">
        <v>232.14</v>
      </c>
      <c r="D1220" s="2">
        <v>243.49</v>
      </c>
      <c r="E1220" s="2">
        <v>506.69</v>
      </c>
      <c r="F1220" s="2">
        <v>309.87</v>
      </c>
      <c r="G1220" s="2">
        <v>177.17</v>
      </c>
      <c r="H1220" s="2">
        <v>351.78</v>
      </c>
      <c r="I1220" s="2">
        <v>331.28</v>
      </c>
      <c r="J1220" s="2">
        <v>234.68</v>
      </c>
      <c r="K1220" s="2">
        <v>96.98</v>
      </c>
      <c r="L1220" s="2">
        <v>419.04</v>
      </c>
      <c r="M1220" s="64" t="s">
        <v>77</v>
      </c>
      <c r="N1220" s="1"/>
      <c r="O1220" s="12">
        <f t="shared" si="198"/>
        <v>-6.3981691392923645E-3</v>
      </c>
      <c r="P1220" s="12">
        <f t="shared" si="199"/>
        <v>-1.8059855521156409E-3</v>
      </c>
      <c r="Q1220" s="12">
        <f t="shared" si="200"/>
        <v>-9.1156960892034844E-3</v>
      </c>
      <c r="R1220" s="12">
        <f t="shared" si="201"/>
        <v>-5.7883996546581606E-3</v>
      </c>
      <c r="S1220" s="12">
        <f t="shared" si="202"/>
        <v>2.5075258857388594E-2</v>
      </c>
      <c r="T1220" s="12">
        <f t="shared" si="203"/>
        <v>9.8033627814191338E-3</v>
      </c>
      <c r="U1220" s="12">
        <f t="shared" si="204"/>
        <v>5.4879094494939551E-3</v>
      </c>
      <c r="V1220" s="12">
        <f t="shared" si="205"/>
        <v>1.3119667268111979E-2</v>
      </c>
      <c r="W1220" s="12">
        <f t="shared" si="206"/>
        <v>-6.2669376693766932E-3</v>
      </c>
      <c r="X1220" s="12">
        <f t="shared" si="207"/>
        <v>9.0521277702633185E-3</v>
      </c>
      <c r="Y1220" s="12">
        <f t="shared" si="208"/>
        <v>-3.6490308339656496E-2</v>
      </c>
    </row>
    <row r="1221" spans="1:25" x14ac:dyDescent="0.35">
      <c r="A1221" s="6">
        <v>45902</v>
      </c>
      <c r="B1221" s="8">
        <v>6415.54</v>
      </c>
      <c r="C1221" s="2">
        <v>229.72</v>
      </c>
      <c r="D1221" s="2">
        <v>241.5</v>
      </c>
      <c r="E1221" s="2">
        <v>505.12</v>
      </c>
      <c r="F1221" s="2">
        <v>308.8</v>
      </c>
      <c r="G1221" s="2">
        <v>178.06</v>
      </c>
      <c r="H1221" s="2">
        <v>350.07</v>
      </c>
      <c r="I1221" s="2">
        <v>331.18</v>
      </c>
      <c r="J1221" s="2">
        <v>237.38</v>
      </c>
      <c r="K1221" s="2">
        <v>97.85</v>
      </c>
      <c r="L1221" s="2">
        <v>416.05</v>
      </c>
      <c r="M1221" s="64">
        <v>9.74</v>
      </c>
      <c r="N1221" s="1"/>
      <c r="O1221" s="12">
        <f t="shared" ref="O1221:O1258" si="209">(B1221/B1220)-1</f>
        <v>-6.9223220118076467E-3</v>
      </c>
      <c r="P1221" s="12">
        <f t="shared" ref="P1221:P1258" si="210">(C1221/C1220)-1</f>
        <v>-1.0424743689153027E-2</v>
      </c>
      <c r="Q1221" s="12">
        <f t="shared" ref="Q1221:Q1258" si="211">(D1221/D1220)-1</f>
        <v>-8.1728202390242144E-3</v>
      </c>
      <c r="R1221" s="12">
        <f t="shared" ref="R1221:R1258" si="212">(E1221/E1220)-1</f>
        <v>-3.09854151453548E-3</v>
      </c>
      <c r="S1221" s="12">
        <f t="shared" ref="S1221:S1258" si="213">(F1221/F1220)-1</f>
        <v>-3.4530609610481378E-3</v>
      </c>
      <c r="T1221" s="12">
        <f t="shared" ref="T1221:T1258" si="214">(G1221/G1220)-1</f>
        <v>5.0234238302195866E-3</v>
      </c>
      <c r="U1221" s="12">
        <f t="shared" ref="U1221:U1258" si="215">(H1221/H1220)-1</f>
        <v>-4.8609926658707003E-3</v>
      </c>
      <c r="V1221" s="12">
        <f t="shared" ref="V1221:V1258" si="216">(I1221/I1220)-1</f>
        <v>-3.0185945423799598E-4</v>
      </c>
      <c r="W1221" s="12">
        <f t="shared" ref="W1221:W1258" si="217">(J1221/J1220)-1</f>
        <v>1.1505028123401928E-2</v>
      </c>
      <c r="X1221" s="12">
        <f t="shared" ref="X1221:X1258" si="218">(K1221/K1220)-1</f>
        <v>8.970921839554391E-3</v>
      </c>
      <c r="Y1221" s="12">
        <f t="shared" ref="Y1221:Y1258" si="219">(L1221/L1220)-1</f>
        <v>-7.1353570064910388E-3</v>
      </c>
    </row>
    <row r="1222" spans="1:25" x14ac:dyDescent="0.35">
      <c r="A1222" s="6">
        <v>45903</v>
      </c>
      <c r="B1222" s="8">
        <v>6448.26</v>
      </c>
      <c r="C1222" s="2">
        <v>238.47</v>
      </c>
      <c r="D1222" s="2">
        <v>244.1</v>
      </c>
      <c r="E1222" s="2">
        <v>505.35</v>
      </c>
      <c r="F1222" s="2">
        <v>307.88</v>
      </c>
      <c r="G1222" s="2">
        <v>178</v>
      </c>
      <c r="H1222" s="2">
        <v>350.87</v>
      </c>
      <c r="I1222" s="2">
        <v>323.70999999999998</v>
      </c>
      <c r="J1222" s="2">
        <v>232.38</v>
      </c>
      <c r="K1222" s="2">
        <v>99.44</v>
      </c>
      <c r="L1222" s="2">
        <v>415.12</v>
      </c>
      <c r="M1222" s="64" t="s">
        <v>77</v>
      </c>
      <c r="N1222" s="1"/>
      <c r="O1222" s="12">
        <f t="shared" si="209"/>
        <v>5.1001162801573852E-3</v>
      </c>
      <c r="P1222" s="12">
        <f t="shared" si="210"/>
        <v>3.8089848511231095E-2</v>
      </c>
      <c r="Q1222" s="12">
        <f t="shared" si="211"/>
        <v>1.0766045548654235E-2</v>
      </c>
      <c r="R1222" s="12">
        <f t="shared" si="212"/>
        <v>4.5533734558134142E-4</v>
      </c>
      <c r="S1222" s="12">
        <f t="shared" si="213"/>
        <v>-2.9792746113990187E-3</v>
      </c>
      <c r="T1222" s="12">
        <f t="shared" si="214"/>
        <v>-3.369650679546643E-4</v>
      </c>
      <c r="U1222" s="12">
        <f t="shared" si="215"/>
        <v>2.2852572342675348E-3</v>
      </c>
      <c r="V1222" s="12">
        <f t="shared" si="216"/>
        <v>-2.2555709885862751E-2</v>
      </c>
      <c r="W1222" s="12">
        <f t="shared" si="217"/>
        <v>-2.1063274075322269E-2</v>
      </c>
      <c r="X1222" s="12">
        <f t="shared" si="218"/>
        <v>1.6249361267245854E-2</v>
      </c>
      <c r="Y1222" s="12">
        <f t="shared" si="219"/>
        <v>-2.2353082562192039E-3</v>
      </c>
    </row>
    <row r="1223" spans="1:25" x14ac:dyDescent="0.35">
      <c r="A1223" s="6">
        <v>45904</v>
      </c>
      <c r="B1223" s="8">
        <v>6502.08</v>
      </c>
      <c r="C1223" s="2">
        <v>239.78</v>
      </c>
      <c r="D1223" s="2">
        <v>247.18</v>
      </c>
      <c r="E1223" s="2">
        <v>507.97</v>
      </c>
      <c r="F1223" s="2">
        <v>310.38</v>
      </c>
      <c r="G1223" s="2">
        <v>178.76</v>
      </c>
      <c r="H1223" s="2">
        <v>350.99</v>
      </c>
      <c r="I1223" s="2">
        <v>330.65</v>
      </c>
      <c r="J1223" s="2">
        <v>230.75</v>
      </c>
      <c r="K1223" s="2">
        <v>100.93</v>
      </c>
      <c r="L1223" s="2">
        <v>420.22</v>
      </c>
      <c r="M1223" s="64" t="s">
        <v>77</v>
      </c>
      <c r="N1223" s="1"/>
      <c r="O1223" s="12">
        <f t="shared" si="209"/>
        <v>8.3464376436432897E-3</v>
      </c>
      <c r="P1223" s="12">
        <f t="shared" si="210"/>
        <v>5.4933534616514734E-3</v>
      </c>
      <c r="Q1223" s="12">
        <f t="shared" si="211"/>
        <v>1.261777959852517E-2</v>
      </c>
      <c r="R1223" s="12">
        <f t="shared" si="212"/>
        <v>5.1845255763331988E-3</v>
      </c>
      <c r="S1223" s="12">
        <f t="shared" si="213"/>
        <v>8.1200467714694913E-3</v>
      </c>
      <c r="T1223" s="12">
        <f t="shared" si="214"/>
        <v>4.2696629213483384E-3</v>
      </c>
      <c r="U1223" s="12">
        <f t="shared" si="215"/>
        <v>3.4200701114373011E-4</v>
      </c>
      <c r="V1223" s="12">
        <f t="shared" si="216"/>
        <v>2.1438942263136695E-2</v>
      </c>
      <c r="W1223" s="12">
        <f t="shared" si="217"/>
        <v>-7.0143730097254053E-3</v>
      </c>
      <c r="X1223" s="12">
        <f t="shared" si="218"/>
        <v>1.4983909895414316E-2</v>
      </c>
      <c r="Y1223" s="12">
        <f t="shared" si="219"/>
        <v>1.2285604162651786E-2</v>
      </c>
    </row>
    <row r="1224" spans="1:25" x14ac:dyDescent="0.35">
      <c r="A1224" s="6">
        <v>45905</v>
      </c>
      <c r="B1224" s="8">
        <v>6481.5</v>
      </c>
      <c r="C1224" s="2">
        <v>239.69</v>
      </c>
      <c r="D1224" s="2">
        <v>248.53</v>
      </c>
      <c r="E1224" s="2">
        <v>495</v>
      </c>
      <c r="F1224" s="2">
        <v>315.39</v>
      </c>
      <c r="G1224" s="2">
        <v>178.43</v>
      </c>
      <c r="H1224" s="2">
        <v>343.22</v>
      </c>
      <c r="I1224" s="2">
        <v>326.22000000000003</v>
      </c>
      <c r="J1224" s="2">
        <v>229.61</v>
      </c>
      <c r="K1224" s="2">
        <v>100.51</v>
      </c>
      <c r="L1224" s="2">
        <v>423.08</v>
      </c>
      <c r="M1224" s="64" t="s">
        <v>77</v>
      </c>
      <c r="N1224" s="1"/>
      <c r="O1224" s="12">
        <f t="shared" si="209"/>
        <v>-3.1651410010334891E-3</v>
      </c>
      <c r="P1224" s="12">
        <f t="shared" si="210"/>
        <v>-3.7534406539330156E-4</v>
      </c>
      <c r="Q1224" s="12">
        <f t="shared" si="211"/>
        <v>5.4616069261266276E-3</v>
      </c>
      <c r="R1224" s="12">
        <f t="shared" si="212"/>
        <v>-2.5533003917554198E-2</v>
      </c>
      <c r="S1224" s="12">
        <f t="shared" si="213"/>
        <v>1.6141503962884274E-2</v>
      </c>
      <c r="T1224" s="12">
        <f t="shared" si="214"/>
        <v>-1.8460505705973906E-3</v>
      </c>
      <c r="U1224" s="12">
        <f t="shared" si="215"/>
        <v>-2.2137382831419639E-2</v>
      </c>
      <c r="V1224" s="12">
        <f t="shared" si="216"/>
        <v>-1.3397852714350345E-2</v>
      </c>
      <c r="W1224" s="12">
        <f t="shared" si="217"/>
        <v>-4.9404117009750337E-3</v>
      </c>
      <c r="X1224" s="12">
        <f t="shared" si="218"/>
        <v>-4.1612999108292525E-3</v>
      </c>
      <c r="Y1224" s="12">
        <f t="shared" si="219"/>
        <v>6.8059587834943258E-3</v>
      </c>
    </row>
    <row r="1225" spans="1:25" x14ac:dyDescent="0.35">
      <c r="A1225" s="6">
        <v>45908</v>
      </c>
      <c r="B1225" s="8">
        <v>6495.15</v>
      </c>
      <c r="C1225" s="2">
        <v>237.88</v>
      </c>
      <c r="D1225" s="2">
        <v>256.08999999999997</v>
      </c>
      <c r="E1225" s="2">
        <v>498.2</v>
      </c>
      <c r="F1225" s="2">
        <v>320.25</v>
      </c>
      <c r="G1225" s="2">
        <v>178.13</v>
      </c>
      <c r="H1225" s="2">
        <v>342.3</v>
      </c>
      <c r="I1225" s="2">
        <v>325.41000000000003</v>
      </c>
      <c r="J1225" s="2">
        <v>230.95</v>
      </c>
      <c r="K1225" s="2">
        <v>102.28</v>
      </c>
      <c r="L1225" s="2">
        <v>422.78</v>
      </c>
      <c r="M1225" s="64">
        <v>10.039999999999999</v>
      </c>
      <c r="N1225" s="1"/>
      <c r="O1225" s="12">
        <f t="shared" si="209"/>
        <v>2.1059939828742547E-3</v>
      </c>
      <c r="P1225" s="12">
        <f t="shared" si="210"/>
        <v>-7.5514205849221971E-3</v>
      </c>
      <c r="Q1225" s="12">
        <f t="shared" si="211"/>
        <v>3.041886291393392E-2</v>
      </c>
      <c r="R1225" s="12">
        <f t="shared" si="212"/>
        <v>6.4646464646465063E-3</v>
      </c>
      <c r="S1225" s="12">
        <f t="shared" si="213"/>
        <v>1.5409493008655906E-2</v>
      </c>
      <c r="T1225" s="12">
        <f t="shared" si="214"/>
        <v>-1.6813316146389035E-3</v>
      </c>
      <c r="U1225" s="12">
        <f t="shared" si="215"/>
        <v>-2.6804964745644755E-3</v>
      </c>
      <c r="V1225" s="12">
        <f t="shared" si="216"/>
        <v>-2.4829869413279804E-3</v>
      </c>
      <c r="W1225" s="12">
        <f t="shared" si="217"/>
        <v>5.8359827533642772E-3</v>
      </c>
      <c r="X1225" s="12">
        <f t="shared" si="218"/>
        <v>1.7610188040990904E-2</v>
      </c>
      <c r="Y1225" s="12">
        <f t="shared" si="219"/>
        <v>-7.0908575210359981E-4</v>
      </c>
    </row>
    <row r="1226" spans="1:25" x14ac:dyDescent="0.35">
      <c r="A1226" s="6">
        <v>45909</v>
      </c>
      <c r="B1226" s="8">
        <v>6512.61</v>
      </c>
      <c r="C1226" s="2">
        <v>234.35</v>
      </c>
      <c r="D1226" s="2">
        <v>259.11</v>
      </c>
      <c r="E1226" s="2">
        <v>498.41</v>
      </c>
      <c r="F1226" s="2">
        <v>347.92</v>
      </c>
      <c r="G1226" s="2">
        <v>176.96</v>
      </c>
      <c r="H1226" s="2">
        <v>343.99</v>
      </c>
      <c r="I1226" s="2">
        <v>324.33999999999997</v>
      </c>
      <c r="J1226" s="2">
        <v>229.52</v>
      </c>
      <c r="K1226" s="2">
        <v>102.29</v>
      </c>
      <c r="L1226" s="2">
        <v>418.09</v>
      </c>
      <c r="M1226" s="64" t="s">
        <v>77</v>
      </c>
      <c r="N1226" s="1"/>
      <c r="O1226" s="12">
        <f t="shared" si="209"/>
        <v>2.6881596267984698E-3</v>
      </c>
      <c r="P1226" s="12">
        <f t="shared" si="210"/>
        <v>-1.4839414831007258E-2</v>
      </c>
      <c r="Q1226" s="12">
        <f t="shared" si="211"/>
        <v>1.1792729118669465E-2</v>
      </c>
      <c r="R1226" s="12">
        <f t="shared" si="212"/>
        <v>4.2151746286633873E-4</v>
      </c>
      <c r="S1226" s="12">
        <f t="shared" si="213"/>
        <v>8.6401249024199878E-2</v>
      </c>
      <c r="T1226" s="12">
        <f t="shared" si="214"/>
        <v>-6.5682366810755344E-3</v>
      </c>
      <c r="U1226" s="12">
        <f t="shared" si="215"/>
        <v>4.9371895997663007E-3</v>
      </c>
      <c r="V1226" s="12">
        <f t="shared" si="216"/>
        <v>-3.2881595525645624E-3</v>
      </c>
      <c r="W1226" s="12">
        <f t="shared" si="217"/>
        <v>-6.1918164104783902E-3</v>
      </c>
      <c r="X1226" s="12">
        <f t="shared" si="218"/>
        <v>9.7770825185916621E-5</v>
      </c>
      <c r="Y1226" s="12">
        <f t="shared" si="219"/>
        <v>-1.1093239982969849E-2</v>
      </c>
    </row>
    <row r="1227" spans="1:25" x14ac:dyDescent="0.35">
      <c r="A1227" s="6">
        <v>45910</v>
      </c>
      <c r="B1227" s="8">
        <v>6532.04</v>
      </c>
      <c r="C1227" s="2">
        <v>226.79</v>
      </c>
      <c r="D1227" s="2">
        <v>256.88</v>
      </c>
      <c r="E1227" s="2">
        <v>500.37</v>
      </c>
      <c r="F1227" s="2">
        <v>346.78</v>
      </c>
      <c r="G1227" s="2">
        <v>175.79</v>
      </c>
      <c r="H1227" s="2">
        <v>338.12</v>
      </c>
      <c r="I1227" s="2">
        <v>323.35000000000002</v>
      </c>
      <c r="J1227" s="2">
        <v>227.52</v>
      </c>
      <c r="K1227" s="2">
        <v>100.41</v>
      </c>
      <c r="L1227" s="2">
        <v>422.91</v>
      </c>
      <c r="M1227" s="64" t="s">
        <v>77</v>
      </c>
      <c r="N1227" s="1"/>
      <c r="O1227" s="12">
        <f t="shared" si="209"/>
        <v>2.9834428900241683E-3</v>
      </c>
      <c r="P1227" s="12">
        <f t="shared" si="210"/>
        <v>-3.2259441007040812E-2</v>
      </c>
      <c r="Q1227" s="12">
        <f t="shared" si="211"/>
        <v>-8.6063833892942032E-3</v>
      </c>
      <c r="R1227" s="12">
        <f t="shared" si="212"/>
        <v>3.9325053670671295E-3</v>
      </c>
      <c r="S1227" s="12">
        <f t="shared" si="213"/>
        <v>-3.2766153138653609E-3</v>
      </c>
      <c r="T1227" s="12">
        <f t="shared" si="214"/>
        <v>-6.6116636528029682E-3</v>
      </c>
      <c r="U1227" s="12">
        <f t="shared" si="215"/>
        <v>-1.7064449547951943E-2</v>
      </c>
      <c r="V1227" s="12">
        <f t="shared" si="216"/>
        <v>-3.0523524696305371E-3</v>
      </c>
      <c r="W1227" s="12">
        <f t="shared" si="217"/>
        <v>-8.7138375740676288E-3</v>
      </c>
      <c r="X1227" s="12">
        <f t="shared" si="218"/>
        <v>-1.8379118193371902E-2</v>
      </c>
      <c r="Y1227" s="12">
        <f t="shared" si="219"/>
        <v>1.1528618240091992E-2</v>
      </c>
    </row>
    <row r="1228" spans="1:25" x14ac:dyDescent="0.35">
      <c r="A1228" s="6">
        <v>45911</v>
      </c>
      <c r="B1228" s="8">
        <v>6587.47</v>
      </c>
      <c r="C1228" s="2">
        <v>230.03</v>
      </c>
      <c r="D1228" s="2">
        <v>257.01</v>
      </c>
      <c r="E1228" s="2">
        <v>501.01</v>
      </c>
      <c r="F1228" s="2">
        <v>353.61</v>
      </c>
      <c r="G1228" s="2">
        <v>178.5</v>
      </c>
      <c r="H1228" s="2">
        <v>343.49</v>
      </c>
      <c r="I1228" s="2">
        <v>329.32</v>
      </c>
      <c r="J1228" s="2">
        <v>219.99</v>
      </c>
      <c r="K1228" s="2">
        <v>102.65</v>
      </c>
      <c r="L1228" s="2">
        <v>431.38</v>
      </c>
      <c r="M1228" s="64" t="s">
        <v>77</v>
      </c>
      <c r="N1228" s="1"/>
      <c r="O1228" s="12">
        <f t="shared" si="209"/>
        <v>8.4858635280862238E-3</v>
      </c>
      <c r="P1228" s="12">
        <f t="shared" si="210"/>
        <v>1.4286344195070466E-2</v>
      </c>
      <c r="Q1228" s="12">
        <f t="shared" si="211"/>
        <v>5.0607287449389027E-4</v>
      </c>
      <c r="R1228" s="12">
        <f t="shared" si="212"/>
        <v>1.2790535004096881E-3</v>
      </c>
      <c r="S1228" s="12">
        <f t="shared" si="213"/>
        <v>1.9695484168637201E-2</v>
      </c>
      <c r="T1228" s="12">
        <f t="shared" si="214"/>
        <v>1.5416121508618374E-2</v>
      </c>
      <c r="U1228" s="12">
        <f t="shared" si="215"/>
        <v>1.5881935407547676E-2</v>
      </c>
      <c r="V1228" s="12">
        <f t="shared" si="216"/>
        <v>1.8462965826503641E-2</v>
      </c>
      <c r="W1228" s="12">
        <f t="shared" si="217"/>
        <v>-3.3095991561181481E-2</v>
      </c>
      <c r="X1228" s="12">
        <f t="shared" si="218"/>
        <v>2.2308535006473562E-2</v>
      </c>
      <c r="Y1228" s="12">
        <f t="shared" si="219"/>
        <v>2.002790191766568E-2</v>
      </c>
    </row>
    <row r="1229" spans="1:25" x14ac:dyDescent="0.35">
      <c r="A1229" s="6">
        <v>45912</v>
      </c>
      <c r="B1229" s="8">
        <v>6584.29</v>
      </c>
      <c r="C1229" s="2">
        <v>234.07</v>
      </c>
      <c r="D1229" s="2">
        <v>253.44</v>
      </c>
      <c r="E1229" s="2">
        <v>509.9</v>
      </c>
      <c r="F1229" s="2">
        <v>352.51</v>
      </c>
      <c r="G1229" s="2">
        <v>178.06</v>
      </c>
      <c r="H1229" s="2">
        <v>339.43</v>
      </c>
      <c r="I1229" s="2">
        <v>325.31</v>
      </c>
      <c r="J1229" s="2">
        <v>215.94</v>
      </c>
      <c r="K1229" s="2">
        <v>103.49</v>
      </c>
      <c r="L1229" s="2">
        <v>431.52</v>
      </c>
      <c r="M1229" s="64">
        <v>9.8800000000000008</v>
      </c>
      <c r="N1229" s="1"/>
      <c r="O1229" s="12">
        <f t="shared" si="209"/>
        <v>-4.8273464622994311E-4</v>
      </c>
      <c r="P1229" s="12">
        <f t="shared" si="210"/>
        <v>1.7562926574794524E-2</v>
      </c>
      <c r="Q1229" s="12">
        <f t="shared" si="211"/>
        <v>-1.3890510096883357E-2</v>
      </c>
      <c r="R1229" s="12">
        <f t="shared" si="212"/>
        <v>1.7744156803257471E-2</v>
      </c>
      <c r="S1229" s="12">
        <f t="shared" si="213"/>
        <v>-3.1107717541924984E-3</v>
      </c>
      <c r="T1229" s="12">
        <f t="shared" si="214"/>
        <v>-2.4649859943977059E-3</v>
      </c>
      <c r="U1229" s="12">
        <f t="shared" si="215"/>
        <v>-1.1819849195027543E-2</v>
      </c>
      <c r="V1229" s="12">
        <f t="shared" si="216"/>
        <v>-1.2176606340337681E-2</v>
      </c>
      <c r="W1229" s="12">
        <f t="shared" si="217"/>
        <v>-1.8409927723987529E-2</v>
      </c>
      <c r="X1229" s="12">
        <f t="shared" si="218"/>
        <v>8.1831466147099796E-3</v>
      </c>
      <c r="Y1229" s="12">
        <f t="shared" si="219"/>
        <v>3.245398488571638E-4</v>
      </c>
    </row>
    <row r="1230" spans="1:25" x14ac:dyDescent="0.35">
      <c r="A1230" s="6">
        <v>45915</v>
      </c>
      <c r="B1230" s="8">
        <v>6615.28</v>
      </c>
      <c r="C1230" s="2">
        <v>236.7</v>
      </c>
      <c r="D1230" s="2">
        <v>256.24</v>
      </c>
      <c r="E1230" s="2">
        <v>515.36</v>
      </c>
      <c r="F1230" s="2">
        <v>347.89</v>
      </c>
      <c r="G1230" s="2">
        <v>177.4</v>
      </c>
      <c r="H1230" s="2">
        <v>339.05</v>
      </c>
      <c r="I1230" s="2">
        <v>327.26</v>
      </c>
      <c r="J1230" s="2">
        <v>215.75</v>
      </c>
      <c r="K1230" s="2">
        <v>103.69</v>
      </c>
      <c r="L1230" s="2">
        <v>435.94</v>
      </c>
      <c r="M1230" s="64" t="s">
        <v>77</v>
      </c>
      <c r="N1230" s="1"/>
      <c r="O1230" s="12">
        <f t="shared" si="209"/>
        <v>4.7066578173196039E-3</v>
      </c>
      <c r="P1230" s="12">
        <f t="shared" si="210"/>
        <v>1.1235955056179803E-2</v>
      </c>
      <c r="Q1230" s="12">
        <f t="shared" si="211"/>
        <v>1.104797979797989E-2</v>
      </c>
      <c r="R1230" s="12">
        <f t="shared" si="212"/>
        <v>1.0707981957246648E-2</v>
      </c>
      <c r="S1230" s="12">
        <f t="shared" si="213"/>
        <v>-1.3106011176987953E-2</v>
      </c>
      <c r="T1230" s="12">
        <f t="shared" si="214"/>
        <v>-3.7066157475008632E-3</v>
      </c>
      <c r="U1230" s="12">
        <f t="shared" si="215"/>
        <v>-1.1195239077276264E-3</v>
      </c>
      <c r="V1230" s="12">
        <f t="shared" si="216"/>
        <v>5.9942823768097675E-3</v>
      </c>
      <c r="W1230" s="12">
        <f t="shared" si="217"/>
        <v>-8.798740390849602E-4</v>
      </c>
      <c r="X1230" s="12">
        <f t="shared" si="218"/>
        <v>1.9325538699390687E-3</v>
      </c>
      <c r="Y1230" s="12">
        <f t="shared" si="219"/>
        <v>1.0242862439747924E-2</v>
      </c>
    </row>
    <row r="1231" spans="1:25" x14ac:dyDescent="0.35">
      <c r="A1231" s="6">
        <v>45916</v>
      </c>
      <c r="B1231" s="8">
        <v>6606.76</v>
      </c>
      <c r="C1231" s="2">
        <v>238.15</v>
      </c>
      <c r="D1231" s="2">
        <v>257.52</v>
      </c>
      <c r="E1231" s="2">
        <v>509.04</v>
      </c>
      <c r="F1231" s="2">
        <v>339.78</v>
      </c>
      <c r="G1231" s="2">
        <v>176.46</v>
      </c>
      <c r="H1231" s="2">
        <v>340.03</v>
      </c>
      <c r="I1231" s="2">
        <v>327.04000000000002</v>
      </c>
      <c r="J1231" s="2">
        <v>215.02</v>
      </c>
      <c r="K1231" s="2">
        <v>103.42</v>
      </c>
      <c r="L1231" s="2">
        <v>440.67</v>
      </c>
      <c r="M1231" s="64" t="s">
        <v>77</v>
      </c>
      <c r="N1231" s="1"/>
      <c r="O1231" s="12">
        <f t="shared" si="209"/>
        <v>-1.2879273439672101E-3</v>
      </c>
      <c r="P1231" s="12">
        <f t="shared" si="210"/>
        <v>6.1258977608789067E-3</v>
      </c>
      <c r="Q1231" s="12">
        <f t="shared" si="211"/>
        <v>4.9953168904151024E-3</v>
      </c>
      <c r="R1231" s="12">
        <f t="shared" si="212"/>
        <v>-1.2263272275690795E-2</v>
      </c>
      <c r="S1231" s="12">
        <f t="shared" si="213"/>
        <v>-2.3311966426169284E-2</v>
      </c>
      <c r="T1231" s="12">
        <f t="shared" si="214"/>
        <v>-5.29875986471251E-3</v>
      </c>
      <c r="U1231" s="12">
        <f t="shared" si="215"/>
        <v>2.8904291402447324E-3</v>
      </c>
      <c r="V1231" s="12">
        <f t="shared" si="216"/>
        <v>-6.7224836521406761E-4</v>
      </c>
      <c r="W1231" s="12">
        <f t="shared" si="217"/>
        <v>-3.3835457705677641E-3</v>
      </c>
      <c r="X1231" s="12">
        <f t="shared" si="218"/>
        <v>-2.6039155174075734E-3</v>
      </c>
      <c r="Y1231" s="12">
        <f t="shared" si="219"/>
        <v>1.0850116988576408E-2</v>
      </c>
    </row>
    <row r="1232" spans="1:25" x14ac:dyDescent="0.35">
      <c r="A1232" s="6">
        <v>45917</v>
      </c>
      <c r="B1232" s="8">
        <v>6600.35</v>
      </c>
      <c r="C1232" s="2">
        <v>238.99</v>
      </c>
      <c r="D1232" s="2">
        <v>259.08</v>
      </c>
      <c r="E1232" s="2">
        <v>510.02</v>
      </c>
      <c r="F1232" s="2">
        <v>341.61</v>
      </c>
      <c r="G1232" s="2">
        <v>177.2</v>
      </c>
      <c r="H1232" s="2">
        <v>346.2</v>
      </c>
      <c r="I1232" s="2">
        <v>336</v>
      </c>
      <c r="J1232" s="2">
        <v>214.63</v>
      </c>
      <c r="K1232" s="2">
        <v>104.27</v>
      </c>
      <c r="L1232" s="2">
        <v>450.66</v>
      </c>
      <c r="M1232" s="64" t="s">
        <v>77</v>
      </c>
      <c r="N1232" s="1"/>
      <c r="O1232" s="12">
        <f t="shared" si="209"/>
        <v>-9.7021838238409153E-4</v>
      </c>
      <c r="P1232" s="12">
        <f t="shared" si="210"/>
        <v>3.5271887465881946E-3</v>
      </c>
      <c r="Q1232" s="12">
        <f t="shared" si="211"/>
        <v>6.0577819198508465E-3</v>
      </c>
      <c r="R1232" s="12">
        <f t="shared" si="212"/>
        <v>1.9251925192518282E-3</v>
      </c>
      <c r="S1232" s="12">
        <f t="shared" si="213"/>
        <v>5.3858378951088248E-3</v>
      </c>
      <c r="T1232" s="12">
        <f t="shared" si="214"/>
        <v>4.1935849484300292E-3</v>
      </c>
      <c r="U1232" s="12">
        <f t="shared" si="215"/>
        <v>1.8145457753727667E-2</v>
      </c>
      <c r="V1232" s="12">
        <f t="shared" si="216"/>
        <v>2.739726027397249E-2</v>
      </c>
      <c r="W1232" s="12">
        <f t="shared" si="217"/>
        <v>-1.8137847642080152E-3</v>
      </c>
      <c r="X1232" s="12">
        <f t="shared" si="218"/>
        <v>8.218913169599551E-3</v>
      </c>
      <c r="Y1232" s="12">
        <f t="shared" si="219"/>
        <v>2.267002518891692E-2</v>
      </c>
    </row>
    <row r="1233" spans="1:25" x14ac:dyDescent="0.35">
      <c r="A1233" s="6">
        <v>45918</v>
      </c>
      <c r="B1233" s="8">
        <v>6631.96</v>
      </c>
      <c r="C1233" s="2">
        <v>237.88</v>
      </c>
      <c r="D1233" s="2">
        <v>265</v>
      </c>
      <c r="E1233" s="2">
        <v>508.45</v>
      </c>
      <c r="F1233" s="2">
        <v>334.82</v>
      </c>
      <c r="G1233" s="2">
        <v>174.16</v>
      </c>
      <c r="H1233" s="2">
        <v>338.18</v>
      </c>
      <c r="I1233" s="2">
        <v>341.67</v>
      </c>
      <c r="J1233" s="2">
        <v>215.66</v>
      </c>
      <c r="K1233" s="2">
        <v>103.6</v>
      </c>
      <c r="L1233" s="2">
        <v>466.96</v>
      </c>
      <c r="M1233" s="64" t="s">
        <v>77</v>
      </c>
      <c r="N1233" s="1"/>
      <c r="O1233" s="12">
        <f t="shared" si="209"/>
        <v>4.7891399698500869E-3</v>
      </c>
      <c r="P1233" s="12">
        <f t="shared" si="210"/>
        <v>-4.6445457968953274E-3</v>
      </c>
      <c r="Q1233" s="12">
        <f t="shared" si="211"/>
        <v>2.2850084915856161E-2</v>
      </c>
      <c r="R1233" s="12">
        <f t="shared" si="212"/>
        <v>-3.0783106544841621E-3</v>
      </c>
      <c r="S1233" s="12">
        <f t="shared" si="213"/>
        <v>-1.9876467316530588E-2</v>
      </c>
      <c r="T1233" s="12">
        <f t="shared" si="214"/>
        <v>-1.7155756207674955E-2</v>
      </c>
      <c r="U1233" s="12">
        <f t="shared" si="215"/>
        <v>-2.3165800115540147E-2</v>
      </c>
      <c r="V1233" s="12">
        <f t="shared" si="216"/>
        <v>1.6874999999999973E-2</v>
      </c>
      <c r="W1233" s="12">
        <f t="shared" si="217"/>
        <v>4.798956343474714E-3</v>
      </c>
      <c r="X1233" s="12">
        <f t="shared" si="218"/>
        <v>-6.4256257792270066E-3</v>
      </c>
      <c r="Y1233" s="12">
        <f t="shared" si="219"/>
        <v>3.616917410020859E-2</v>
      </c>
    </row>
    <row r="1234" spans="1:25" x14ac:dyDescent="0.35">
      <c r="A1234" s="6">
        <v>45919</v>
      </c>
      <c r="B1234" s="8">
        <v>6664.36</v>
      </c>
      <c r="C1234" s="2">
        <v>245.5</v>
      </c>
      <c r="D1234" s="2">
        <v>266.39999999999998</v>
      </c>
      <c r="E1234" s="2">
        <v>517.92999999999995</v>
      </c>
      <c r="F1234" s="2">
        <v>336.69</v>
      </c>
      <c r="G1234" s="2">
        <v>176.19</v>
      </c>
      <c r="H1234" s="2">
        <v>341.61</v>
      </c>
      <c r="I1234" s="2">
        <v>341.12</v>
      </c>
      <c r="J1234" s="2">
        <v>215.65</v>
      </c>
      <c r="K1234" s="2">
        <v>102.33</v>
      </c>
      <c r="L1234" s="2">
        <v>466.54</v>
      </c>
      <c r="M1234" s="64">
        <v>9.7799999999999994</v>
      </c>
      <c r="N1234" s="1"/>
      <c r="O1234" s="12">
        <f t="shared" si="209"/>
        <v>4.8854335671504323E-3</v>
      </c>
      <c r="P1234" s="12">
        <f t="shared" si="210"/>
        <v>3.2032957793845629E-2</v>
      </c>
      <c r="Q1234" s="12">
        <f t="shared" si="211"/>
        <v>5.2830188679244827E-3</v>
      </c>
      <c r="R1234" s="12">
        <f t="shared" si="212"/>
        <v>1.8644901170223216E-2</v>
      </c>
      <c r="S1234" s="12">
        <f t="shared" si="213"/>
        <v>5.5850904963861137E-3</v>
      </c>
      <c r="T1234" s="12">
        <f t="shared" si="214"/>
        <v>1.165594855305474E-2</v>
      </c>
      <c r="U1234" s="12">
        <f t="shared" si="215"/>
        <v>1.0142527647998056E-2</v>
      </c>
      <c r="V1234" s="12">
        <f t="shared" si="216"/>
        <v>-1.6097403927767262E-3</v>
      </c>
      <c r="W1234" s="12">
        <f t="shared" si="217"/>
        <v>-4.6369284985581238E-5</v>
      </c>
      <c r="X1234" s="12">
        <f t="shared" si="218"/>
        <v>-1.2258687258687173E-2</v>
      </c>
      <c r="Y1234" s="12">
        <f t="shared" si="219"/>
        <v>-8.9943464108266369E-4</v>
      </c>
    </row>
    <row r="1235" spans="1:25" x14ac:dyDescent="0.35">
      <c r="A1235" s="6">
        <v>45922</v>
      </c>
      <c r="B1235" s="8">
        <v>6693.75</v>
      </c>
      <c r="C1235" s="2">
        <v>256.08</v>
      </c>
      <c r="D1235" s="2">
        <v>271.37</v>
      </c>
      <c r="E1235" s="2">
        <v>514.45000000000005</v>
      </c>
      <c r="F1235" s="2">
        <v>341.3</v>
      </c>
      <c r="G1235" s="2">
        <v>174.21</v>
      </c>
      <c r="H1235" s="2">
        <v>344.36</v>
      </c>
      <c r="I1235" s="2">
        <v>340.98</v>
      </c>
      <c r="J1235" s="2">
        <v>212.09</v>
      </c>
      <c r="K1235" s="2">
        <v>102.82</v>
      </c>
      <c r="L1235" s="2">
        <v>472.1</v>
      </c>
      <c r="M1235" s="64" t="s">
        <v>77</v>
      </c>
      <c r="N1235" s="1"/>
      <c r="O1235" s="12">
        <f t="shared" si="209"/>
        <v>4.4100258689507843E-3</v>
      </c>
      <c r="P1235" s="12">
        <f t="shared" si="210"/>
        <v>4.3095723014256571E-2</v>
      </c>
      <c r="Q1235" s="12">
        <f t="shared" si="211"/>
        <v>1.8656156156156234E-2</v>
      </c>
      <c r="R1235" s="12">
        <f t="shared" si="212"/>
        <v>-6.7190546985111954E-3</v>
      </c>
      <c r="S1235" s="12">
        <f t="shared" si="213"/>
        <v>1.3692120348094639E-2</v>
      </c>
      <c r="T1235" s="12">
        <f t="shared" si="214"/>
        <v>-1.1237868210454582E-2</v>
      </c>
      <c r="U1235" s="12">
        <f t="shared" si="215"/>
        <v>8.0501156289336517E-3</v>
      </c>
      <c r="V1235" s="12">
        <f t="shared" si="216"/>
        <v>-4.1041275797371046E-4</v>
      </c>
      <c r="W1235" s="12">
        <f t="shared" si="217"/>
        <v>-1.6508230929747292E-2</v>
      </c>
      <c r="X1235" s="12">
        <f t="shared" si="218"/>
        <v>4.7884295905402663E-3</v>
      </c>
      <c r="Y1235" s="12">
        <f t="shared" si="219"/>
        <v>1.1917520469841847E-2</v>
      </c>
    </row>
    <row r="1236" spans="1:25" x14ac:dyDescent="0.35">
      <c r="A1236" s="6">
        <v>45923</v>
      </c>
      <c r="B1236" s="8">
        <v>6656.92</v>
      </c>
      <c r="C1236" s="2">
        <v>254.43</v>
      </c>
      <c r="D1236" s="2">
        <v>272.24</v>
      </c>
      <c r="E1236" s="2">
        <v>509.23</v>
      </c>
      <c r="F1236" s="2">
        <v>347.69</v>
      </c>
      <c r="G1236" s="2">
        <v>176.58</v>
      </c>
      <c r="H1236" s="2">
        <v>338.7</v>
      </c>
      <c r="I1236" s="2">
        <v>341.47</v>
      </c>
      <c r="J1236" s="2">
        <v>216.34</v>
      </c>
      <c r="K1236" s="2">
        <v>102.52</v>
      </c>
      <c r="L1236" s="2">
        <v>471.26</v>
      </c>
      <c r="M1236" s="64" t="s">
        <v>77</v>
      </c>
      <c r="N1236" s="1"/>
      <c r="O1236" s="12">
        <f t="shared" si="209"/>
        <v>-5.5021475256769037E-3</v>
      </c>
      <c r="P1236" s="12">
        <f t="shared" si="210"/>
        <v>-6.443298969072031E-3</v>
      </c>
      <c r="Q1236" s="12">
        <f t="shared" si="211"/>
        <v>3.2059549692302625E-3</v>
      </c>
      <c r="R1236" s="12">
        <f t="shared" si="212"/>
        <v>-1.0146758674312473E-2</v>
      </c>
      <c r="S1236" s="12">
        <f t="shared" si="213"/>
        <v>1.8722531497216588E-2</v>
      </c>
      <c r="T1236" s="12">
        <f t="shared" si="214"/>
        <v>1.3604270707766597E-2</v>
      </c>
      <c r="U1236" s="12">
        <f t="shared" si="215"/>
        <v>-1.6436287605993805E-2</v>
      </c>
      <c r="V1236" s="12">
        <f t="shared" si="216"/>
        <v>1.4370344301719573E-3</v>
      </c>
      <c r="W1236" s="12">
        <f t="shared" si="217"/>
        <v>2.0038662831816767E-2</v>
      </c>
      <c r="X1236" s="12">
        <f t="shared" si="218"/>
        <v>-2.917720287881731E-3</v>
      </c>
      <c r="Y1236" s="12">
        <f t="shared" si="219"/>
        <v>-1.7792840499895046E-3</v>
      </c>
    </row>
    <row r="1237" spans="1:25" x14ac:dyDescent="0.35">
      <c r="A1237" s="6">
        <v>45924</v>
      </c>
      <c r="B1237" s="8">
        <v>6637.97</v>
      </c>
      <c r="C1237" s="2">
        <v>252.31</v>
      </c>
      <c r="D1237" s="2">
        <v>267.52999999999997</v>
      </c>
      <c r="E1237" s="2">
        <v>510.15</v>
      </c>
      <c r="F1237" s="2">
        <v>351.81</v>
      </c>
      <c r="G1237" s="2">
        <v>176.69</v>
      </c>
      <c r="H1237" s="2">
        <v>338.68</v>
      </c>
      <c r="I1237" s="2">
        <v>340.48</v>
      </c>
      <c r="J1237" s="2">
        <v>215.1</v>
      </c>
      <c r="K1237" s="2">
        <v>102.73</v>
      </c>
      <c r="L1237" s="2">
        <v>469.79</v>
      </c>
      <c r="M1237" s="64" t="s">
        <v>77</v>
      </c>
      <c r="N1237" s="1"/>
      <c r="O1237" s="12">
        <f t="shared" si="209"/>
        <v>-2.8466618195801541E-3</v>
      </c>
      <c r="P1237" s="12">
        <f t="shared" si="210"/>
        <v>-8.3323507448020973E-3</v>
      </c>
      <c r="Q1237" s="12">
        <f t="shared" si="211"/>
        <v>-1.7300910960917015E-2</v>
      </c>
      <c r="R1237" s="12">
        <f t="shared" si="212"/>
        <v>1.8066492547570423E-3</v>
      </c>
      <c r="S1237" s="12">
        <f t="shared" si="213"/>
        <v>1.1849636170151667E-2</v>
      </c>
      <c r="T1237" s="12">
        <f t="shared" si="214"/>
        <v>6.2294710612742499E-4</v>
      </c>
      <c r="U1237" s="12">
        <f t="shared" si="215"/>
        <v>-5.9049306170622096E-5</v>
      </c>
      <c r="V1237" s="12">
        <f t="shared" si="216"/>
        <v>-2.899229800568115E-3</v>
      </c>
      <c r="W1237" s="12">
        <f t="shared" si="217"/>
        <v>-5.7317185911066604E-3</v>
      </c>
      <c r="X1237" s="12">
        <f t="shared" si="218"/>
        <v>2.0483808037456974E-3</v>
      </c>
      <c r="Y1237" s="12">
        <f t="shared" si="219"/>
        <v>-3.1192972032423327E-3</v>
      </c>
    </row>
    <row r="1238" spans="1:25" x14ac:dyDescent="0.35">
      <c r="A1238" s="6">
        <v>45925</v>
      </c>
      <c r="B1238" s="8">
        <v>6604.72</v>
      </c>
      <c r="C1238" s="2">
        <v>256.87</v>
      </c>
      <c r="D1238" s="2">
        <v>281.44</v>
      </c>
      <c r="E1238" s="2">
        <v>507.03</v>
      </c>
      <c r="F1238" s="2">
        <v>345.56</v>
      </c>
      <c r="G1238" s="2">
        <v>177.73</v>
      </c>
      <c r="H1238" s="2">
        <v>334.93</v>
      </c>
      <c r="I1238" s="2">
        <v>340.18</v>
      </c>
      <c r="J1238" s="2">
        <v>213.53</v>
      </c>
      <c r="K1238" s="2">
        <v>103.05</v>
      </c>
      <c r="L1238" s="2">
        <v>463.72</v>
      </c>
      <c r="M1238" s="64" t="s">
        <v>77</v>
      </c>
      <c r="N1238" s="1"/>
      <c r="O1238" s="12">
        <f t="shared" si="209"/>
        <v>-5.0090615052493792E-3</v>
      </c>
      <c r="P1238" s="12">
        <f t="shared" si="210"/>
        <v>1.807300542982837E-2</v>
      </c>
      <c r="Q1238" s="12">
        <f t="shared" si="211"/>
        <v>5.1994168878256808E-2</v>
      </c>
      <c r="R1238" s="12">
        <f t="shared" si="212"/>
        <v>-6.1158482799177349E-3</v>
      </c>
      <c r="S1238" s="12">
        <f t="shared" si="213"/>
        <v>-1.7765271026974783E-2</v>
      </c>
      <c r="T1238" s="12">
        <f t="shared" si="214"/>
        <v>5.88601505461539E-3</v>
      </c>
      <c r="U1238" s="12">
        <f t="shared" si="215"/>
        <v>-1.1072398724459642E-2</v>
      </c>
      <c r="V1238" s="12">
        <f t="shared" si="216"/>
        <v>-8.8110902255644774E-4</v>
      </c>
      <c r="W1238" s="12">
        <f t="shared" si="217"/>
        <v>-7.2989307298930717E-3</v>
      </c>
      <c r="X1238" s="12">
        <f t="shared" si="218"/>
        <v>3.1149615496932626E-3</v>
      </c>
      <c r="Y1238" s="12">
        <f t="shared" si="219"/>
        <v>-1.292066668085734E-2</v>
      </c>
    </row>
    <row r="1239" spans="1:25" x14ac:dyDescent="0.35">
      <c r="A1239" s="6">
        <v>45926</v>
      </c>
      <c r="B1239" s="8">
        <v>6643.7</v>
      </c>
      <c r="C1239" s="2">
        <v>255.46</v>
      </c>
      <c r="D1239" s="2">
        <v>284.31</v>
      </c>
      <c r="E1239" s="2">
        <v>511.46</v>
      </c>
      <c r="F1239" s="2">
        <v>344.08</v>
      </c>
      <c r="G1239" s="2">
        <v>179.71</v>
      </c>
      <c r="H1239" s="2">
        <v>337.37</v>
      </c>
      <c r="I1239" s="2">
        <v>341.68</v>
      </c>
      <c r="J1239" s="2">
        <v>221.26</v>
      </c>
      <c r="K1239" s="2">
        <v>103.16</v>
      </c>
      <c r="L1239" s="2">
        <v>465.76</v>
      </c>
      <c r="M1239" s="64">
        <v>9.75</v>
      </c>
      <c r="N1239" s="1"/>
      <c r="O1239" s="12">
        <f t="shared" si="209"/>
        <v>5.9018398963164298E-3</v>
      </c>
      <c r="P1239" s="12">
        <f t="shared" si="210"/>
        <v>-5.4891579398138601E-3</v>
      </c>
      <c r="Q1239" s="12">
        <f t="shared" si="211"/>
        <v>1.0197555429221072E-2</v>
      </c>
      <c r="R1239" s="12">
        <f t="shared" si="212"/>
        <v>8.7371555923712041E-3</v>
      </c>
      <c r="S1239" s="12">
        <f t="shared" si="213"/>
        <v>-4.2829031137863183E-3</v>
      </c>
      <c r="T1239" s="12">
        <f t="shared" si="214"/>
        <v>1.1140494007764623E-2</v>
      </c>
      <c r="U1239" s="12">
        <f t="shared" si="215"/>
        <v>7.2851043501627188E-3</v>
      </c>
      <c r="V1239" s="12">
        <f t="shared" si="216"/>
        <v>4.4094303016051217E-3</v>
      </c>
      <c r="W1239" s="12">
        <f t="shared" si="217"/>
        <v>3.62010022010959E-2</v>
      </c>
      <c r="X1239" s="12">
        <f t="shared" si="218"/>
        <v>1.067442988840428E-3</v>
      </c>
      <c r="Y1239" s="12">
        <f t="shared" si="219"/>
        <v>4.3992064176656687E-3</v>
      </c>
    </row>
    <row r="1240" spans="1:25" x14ac:dyDescent="0.35">
      <c r="A1240" s="6">
        <v>45929</v>
      </c>
      <c r="B1240" s="8">
        <v>6661.21</v>
      </c>
      <c r="C1240" s="2">
        <v>254.43</v>
      </c>
      <c r="D1240" s="2">
        <v>279.8</v>
      </c>
      <c r="E1240" s="2">
        <v>514.6</v>
      </c>
      <c r="F1240" s="2">
        <v>345.18</v>
      </c>
      <c r="G1240" s="2">
        <v>181.62</v>
      </c>
      <c r="H1240" s="2">
        <v>340.16</v>
      </c>
      <c r="I1240" s="2">
        <v>342.31</v>
      </c>
      <c r="J1240" s="2">
        <v>217.08</v>
      </c>
      <c r="K1240" s="2">
        <v>103.08</v>
      </c>
      <c r="L1240" s="2">
        <v>471.61</v>
      </c>
      <c r="M1240" s="64" t="s">
        <v>77</v>
      </c>
      <c r="N1240" s="1"/>
      <c r="O1240" s="12">
        <f t="shared" si="209"/>
        <v>2.6355795716241914E-3</v>
      </c>
      <c r="P1240" s="12">
        <f t="shared" si="210"/>
        <v>-4.0319423784546116E-3</v>
      </c>
      <c r="Q1240" s="12">
        <f t="shared" si="211"/>
        <v>-1.5862966480250429E-2</v>
      </c>
      <c r="R1240" s="12">
        <f t="shared" si="212"/>
        <v>6.1392875298167393E-3</v>
      </c>
      <c r="S1240" s="12">
        <f t="shared" si="213"/>
        <v>3.1969309462915874E-3</v>
      </c>
      <c r="T1240" s="12">
        <f t="shared" si="214"/>
        <v>1.0628234377608292E-2</v>
      </c>
      <c r="U1240" s="12">
        <f t="shared" si="215"/>
        <v>8.2698520911759221E-3</v>
      </c>
      <c r="V1240" s="12">
        <f t="shared" si="216"/>
        <v>1.8438304846639664E-3</v>
      </c>
      <c r="W1240" s="12">
        <f t="shared" si="217"/>
        <v>-1.8891801500497074E-2</v>
      </c>
      <c r="X1240" s="12">
        <f t="shared" si="218"/>
        <v>-7.7549437766577523E-4</v>
      </c>
      <c r="Y1240" s="12">
        <f t="shared" si="219"/>
        <v>1.2560116798351117E-2</v>
      </c>
    </row>
    <row r="1241" spans="1:25" x14ac:dyDescent="0.35">
      <c r="A1241" s="6">
        <v>45930</v>
      </c>
      <c r="B1241" s="8">
        <v>6688.46</v>
      </c>
      <c r="C1241" s="2">
        <v>254.63</v>
      </c>
      <c r="D1241" s="2">
        <v>282.16000000000003</v>
      </c>
      <c r="E1241" s="2">
        <v>517.95000000000005</v>
      </c>
      <c r="F1241" s="2">
        <v>345.3</v>
      </c>
      <c r="G1241" s="2">
        <v>185.42</v>
      </c>
      <c r="H1241" s="2">
        <v>341.38</v>
      </c>
      <c r="I1241" s="2">
        <v>332.16</v>
      </c>
      <c r="J1241" s="2">
        <v>215.83</v>
      </c>
      <c r="K1241" s="2">
        <v>103.06</v>
      </c>
      <c r="L1241" s="2">
        <v>477.15</v>
      </c>
      <c r="M1241" s="64" t="s">
        <v>77</v>
      </c>
      <c r="N1241" s="1"/>
      <c r="O1241" s="12">
        <f t="shared" si="209"/>
        <v>4.0908483593822265E-3</v>
      </c>
      <c r="P1241" s="12">
        <f t="shared" si="210"/>
        <v>7.8607082498138858E-4</v>
      </c>
      <c r="Q1241" s="12">
        <f t="shared" si="211"/>
        <v>8.4345961401002256E-3</v>
      </c>
      <c r="R1241" s="12">
        <f t="shared" si="212"/>
        <v>6.5099106101826898E-3</v>
      </c>
      <c r="S1241" s="12">
        <f t="shared" si="213"/>
        <v>3.4764470710935136E-4</v>
      </c>
      <c r="T1241" s="12">
        <f t="shared" si="214"/>
        <v>2.0922805858385463E-2</v>
      </c>
      <c r="U1241" s="12">
        <f t="shared" si="215"/>
        <v>3.5865475070553376E-3</v>
      </c>
      <c r="V1241" s="12">
        <f t="shared" si="216"/>
        <v>-2.9651485495603369E-2</v>
      </c>
      <c r="W1241" s="12">
        <f t="shared" si="217"/>
        <v>-5.7582458079969978E-3</v>
      </c>
      <c r="X1241" s="12">
        <f t="shared" si="218"/>
        <v>-1.9402405898327757E-4</v>
      </c>
      <c r="Y1241" s="12">
        <f t="shared" si="219"/>
        <v>1.1746994338542427E-2</v>
      </c>
    </row>
    <row r="1242" spans="1:25" x14ac:dyDescent="0.35">
      <c r="A1242" s="6">
        <v>45931</v>
      </c>
      <c r="B1242" s="8">
        <v>6711.2</v>
      </c>
      <c r="C1242" s="2">
        <v>255.45</v>
      </c>
      <c r="D1242" s="2">
        <v>286.49</v>
      </c>
      <c r="E1242" s="2">
        <v>519.71</v>
      </c>
      <c r="F1242" s="2">
        <v>348.3</v>
      </c>
      <c r="G1242" s="2">
        <v>186.05</v>
      </c>
      <c r="H1242" s="2">
        <v>347.83</v>
      </c>
      <c r="I1242" s="2">
        <v>328.56</v>
      </c>
      <c r="J1242" s="2">
        <v>215.2</v>
      </c>
      <c r="K1242" s="2">
        <v>101.96</v>
      </c>
      <c r="L1242" s="2">
        <v>480.82</v>
      </c>
      <c r="M1242" s="64" t="s">
        <v>77</v>
      </c>
      <c r="N1242" s="1"/>
      <c r="O1242" s="12">
        <f t="shared" si="209"/>
        <v>3.3998857734067744E-3</v>
      </c>
      <c r="P1242" s="12">
        <f t="shared" si="210"/>
        <v>3.2203589522050713E-3</v>
      </c>
      <c r="Q1242" s="12">
        <f t="shared" si="211"/>
        <v>1.5345903033739727E-2</v>
      </c>
      <c r="R1242" s="12">
        <f t="shared" si="212"/>
        <v>3.3980113910609955E-3</v>
      </c>
      <c r="S1242" s="12">
        <f t="shared" si="213"/>
        <v>8.6880973066898459E-3</v>
      </c>
      <c r="T1242" s="12">
        <f t="shared" si="214"/>
        <v>3.3976917268905282E-3</v>
      </c>
      <c r="U1242" s="12">
        <f t="shared" si="215"/>
        <v>1.8893901224442011E-2</v>
      </c>
      <c r="V1242" s="12">
        <f t="shared" si="216"/>
        <v>-1.0838150289017356E-2</v>
      </c>
      <c r="W1242" s="12">
        <f t="shared" si="217"/>
        <v>-2.9189639994441352E-3</v>
      </c>
      <c r="X1242" s="12">
        <f t="shared" si="218"/>
        <v>-1.0673394139336434E-2</v>
      </c>
      <c r="Y1242" s="12">
        <f t="shared" si="219"/>
        <v>7.6915016242271594E-3</v>
      </c>
    </row>
    <row r="1243" spans="1:25" x14ac:dyDescent="0.35">
      <c r="A1243" s="6">
        <v>45932</v>
      </c>
      <c r="B1243" s="8">
        <v>6715.35</v>
      </c>
      <c r="C1243" s="2">
        <v>257.13</v>
      </c>
      <c r="D1243" s="2">
        <v>286.72000000000003</v>
      </c>
      <c r="E1243" s="2">
        <v>515.74</v>
      </c>
      <c r="F1243" s="2">
        <v>353.72</v>
      </c>
      <c r="G1243" s="2">
        <v>185.98</v>
      </c>
      <c r="H1243" s="2">
        <v>345.95</v>
      </c>
      <c r="I1243" s="2">
        <v>330.48</v>
      </c>
      <c r="J1243" s="2">
        <v>217.43</v>
      </c>
      <c r="K1243" s="2">
        <v>101.7</v>
      </c>
      <c r="L1243" s="2">
        <v>490.57</v>
      </c>
      <c r="M1243" s="64" t="s">
        <v>77</v>
      </c>
      <c r="N1243" s="1"/>
      <c r="O1243" s="12">
        <f t="shared" si="209"/>
        <v>6.1836929312208966E-4</v>
      </c>
      <c r="P1243" s="12">
        <f t="shared" si="210"/>
        <v>6.5766294773927925E-3</v>
      </c>
      <c r="Q1243" s="12">
        <f t="shared" si="211"/>
        <v>8.0282034276946135E-4</v>
      </c>
      <c r="R1243" s="12">
        <f t="shared" si="212"/>
        <v>-7.6388755267361441E-3</v>
      </c>
      <c r="S1243" s="12">
        <f t="shared" si="213"/>
        <v>1.5561297731840451E-2</v>
      </c>
      <c r="T1243" s="12">
        <f t="shared" si="214"/>
        <v>-3.7624294544491566E-4</v>
      </c>
      <c r="U1243" s="12">
        <f t="shared" si="215"/>
        <v>-5.4049391944340774E-3</v>
      </c>
      <c r="V1243" s="12">
        <f t="shared" si="216"/>
        <v>5.8436815193572134E-3</v>
      </c>
      <c r="W1243" s="12">
        <f t="shared" si="217"/>
        <v>1.0362453531598703E-2</v>
      </c>
      <c r="X1243" s="12">
        <f t="shared" si="218"/>
        <v>-2.5500196155354704E-3</v>
      </c>
      <c r="Y1243" s="12">
        <f t="shared" si="219"/>
        <v>2.0277858658125592E-2</v>
      </c>
    </row>
    <row r="1244" spans="1:25" x14ac:dyDescent="0.35">
      <c r="A1244" s="6">
        <v>45933</v>
      </c>
      <c r="B1244" s="8">
        <v>6715.79</v>
      </c>
      <c r="C1244" s="2">
        <v>258.02</v>
      </c>
      <c r="D1244" s="2">
        <v>288.37</v>
      </c>
      <c r="E1244" s="2">
        <v>517.35</v>
      </c>
      <c r="F1244" s="2">
        <v>360.2</v>
      </c>
      <c r="G1244" s="2">
        <v>188.64</v>
      </c>
      <c r="H1244" s="2">
        <v>349.84</v>
      </c>
      <c r="I1244" s="2">
        <v>330.24</v>
      </c>
      <c r="J1244" s="2">
        <v>216.3</v>
      </c>
      <c r="K1244" s="2">
        <v>102.07</v>
      </c>
      <c r="L1244" s="2">
        <v>497.85</v>
      </c>
      <c r="M1244" s="64">
        <v>9.8699999999999992</v>
      </c>
      <c r="N1244" s="1"/>
      <c r="O1244" s="12">
        <f t="shared" si="209"/>
        <v>6.552152903416264E-5</v>
      </c>
      <c r="P1244" s="12">
        <f t="shared" si="210"/>
        <v>3.4612841753198786E-3</v>
      </c>
      <c r="Q1244" s="12">
        <f t="shared" si="211"/>
        <v>5.7547433035713969E-3</v>
      </c>
      <c r="R1244" s="12">
        <f t="shared" si="212"/>
        <v>3.1217280024820049E-3</v>
      </c>
      <c r="S1244" s="12">
        <f t="shared" si="213"/>
        <v>1.8319574804930294E-2</v>
      </c>
      <c r="T1244" s="12">
        <f t="shared" si="214"/>
        <v>1.4302613184213442E-2</v>
      </c>
      <c r="U1244" s="12">
        <f t="shared" si="215"/>
        <v>1.1244399479693579E-2</v>
      </c>
      <c r="V1244" s="12">
        <f t="shared" si="216"/>
        <v>-7.2621641249093205E-4</v>
      </c>
      <c r="W1244" s="12">
        <f t="shared" si="217"/>
        <v>-5.1970749206641242E-3</v>
      </c>
      <c r="X1244" s="12">
        <f t="shared" si="218"/>
        <v>3.6381514257619596E-3</v>
      </c>
      <c r="Y1244" s="12">
        <f t="shared" si="219"/>
        <v>1.4839880139429606E-2</v>
      </c>
    </row>
    <row r="1245" spans="1:25" x14ac:dyDescent="0.35">
      <c r="A1245" s="6">
        <v>45936</v>
      </c>
      <c r="B1245" s="8">
        <v>6740.28</v>
      </c>
      <c r="C1245" s="2">
        <v>256.69</v>
      </c>
      <c r="D1245" s="2">
        <v>289.42</v>
      </c>
      <c r="E1245" s="2">
        <v>528.57000000000005</v>
      </c>
      <c r="F1245" s="2">
        <v>358.77</v>
      </c>
      <c r="G1245" s="2">
        <v>188.16</v>
      </c>
      <c r="H1245" s="2">
        <v>349.28</v>
      </c>
      <c r="I1245" s="2">
        <v>331.99</v>
      </c>
      <c r="J1245" s="2">
        <v>219.73</v>
      </c>
      <c r="K1245" s="2">
        <v>102.7</v>
      </c>
      <c r="L1245" s="2">
        <v>495.38</v>
      </c>
      <c r="M1245" s="64" t="s">
        <v>77</v>
      </c>
      <c r="N1245" s="1"/>
      <c r="O1245" s="12">
        <f t="shared" si="209"/>
        <v>3.6466298082578064E-3</v>
      </c>
      <c r="P1245" s="12">
        <f t="shared" si="210"/>
        <v>-5.1546391752577136E-3</v>
      </c>
      <c r="Q1245" s="12">
        <f t="shared" si="211"/>
        <v>3.6411554599993234E-3</v>
      </c>
      <c r="R1245" s="12">
        <f t="shared" si="212"/>
        <v>2.1687445636416447E-2</v>
      </c>
      <c r="S1245" s="12">
        <f t="shared" si="213"/>
        <v>-3.9700166574125895E-3</v>
      </c>
      <c r="T1245" s="12">
        <f t="shared" si="214"/>
        <v>-2.5445292620864812E-3</v>
      </c>
      <c r="U1245" s="12">
        <f t="shared" si="215"/>
        <v>-1.6007317630917228E-3</v>
      </c>
      <c r="V1245" s="12">
        <f t="shared" si="216"/>
        <v>5.2991763565890526E-3</v>
      </c>
      <c r="W1245" s="12">
        <f t="shared" si="217"/>
        <v>1.5857605177993506E-2</v>
      </c>
      <c r="X1245" s="12">
        <f t="shared" si="218"/>
        <v>6.1722347408641465E-3</v>
      </c>
      <c r="Y1245" s="12">
        <f t="shared" si="219"/>
        <v>-4.9613337350608022E-3</v>
      </c>
    </row>
    <row r="1246" spans="1:25" x14ac:dyDescent="0.35">
      <c r="A1246" s="6">
        <v>45937</v>
      </c>
      <c r="B1246" s="8">
        <v>6714.59</v>
      </c>
      <c r="C1246" s="2">
        <v>256.48</v>
      </c>
      <c r="D1246" s="2">
        <v>293.87</v>
      </c>
      <c r="E1246" s="2">
        <v>523.98</v>
      </c>
      <c r="F1246" s="2">
        <v>363.66</v>
      </c>
      <c r="G1246" s="2">
        <v>188.89</v>
      </c>
      <c r="H1246" s="2">
        <v>352.42</v>
      </c>
      <c r="I1246" s="2">
        <v>327.97</v>
      </c>
      <c r="J1246" s="2">
        <v>221.82</v>
      </c>
      <c r="K1246" s="2">
        <v>103.24</v>
      </c>
      <c r="L1246" s="2">
        <v>486.71</v>
      </c>
      <c r="M1246" s="64" t="s">
        <v>77</v>
      </c>
      <c r="N1246" s="1"/>
      <c r="O1246" s="12">
        <f t="shared" si="209"/>
        <v>-3.8114143626080121E-3</v>
      </c>
      <c r="P1246" s="12">
        <f t="shared" si="210"/>
        <v>-8.1810744477761599E-4</v>
      </c>
      <c r="Q1246" s="12">
        <f t="shared" si="211"/>
        <v>1.5375578743694218E-2</v>
      </c>
      <c r="R1246" s="12">
        <f t="shared" si="212"/>
        <v>-8.6838072535331268E-3</v>
      </c>
      <c r="S1246" s="12">
        <f t="shared" si="213"/>
        <v>1.3629902165733121E-2</v>
      </c>
      <c r="T1246" s="12">
        <f t="shared" si="214"/>
        <v>3.8796768707483054E-3</v>
      </c>
      <c r="U1246" s="12">
        <f t="shared" si="215"/>
        <v>8.9899221255154149E-3</v>
      </c>
      <c r="V1246" s="12">
        <f t="shared" si="216"/>
        <v>-1.2108798457784786E-2</v>
      </c>
      <c r="W1246" s="12">
        <f t="shared" si="217"/>
        <v>9.5116734173759099E-3</v>
      </c>
      <c r="X1246" s="12">
        <f t="shared" si="218"/>
        <v>5.2580331061342633E-3</v>
      </c>
      <c r="Y1246" s="12">
        <f t="shared" si="219"/>
        <v>-1.7501715854495559E-2</v>
      </c>
    </row>
    <row r="1247" spans="1:25" x14ac:dyDescent="0.35">
      <c r="A1247" s="6">
        <v>45938</v>
      </c>
      <c r="B1247" s="8">
        <v>6753.72</v>
      </c>
      <c r="C1247" s="2">
        <v>258.06</v>
      </c>
      <c r="D1247" s="2">
        <v>289.45999999999998</v>
      </c>
      <c r="E1247" s="2">
        <v>524.85</v>
      </c>
      <c r="F1247" s="2">
        <v>369.92</v>
      </c>
      <c r="G1247" s="2">
        <v>189.69</v>
      </c>
      <c r="H1247" s="2">
        <v>351.36</v>
      </c>
      <c r="I1247" s="2">
        <v>323.82</v>
      </c>
      <c r="J1247" s="2">
        <v>225.32</v>
      </c>
      <c r="K1247" s="2">
        <v>102.9</v>
      </c>
      <c r="L1247" s="2">
        <v>502.12</v>
      </c>
      <c r="M1247" s="64" t="s">
        <v>77</v>
      </c>
      <c r="N1247" s="1"/>
      <c r="O1247" s="12">
        <f t="shared" si="209"/>
        <v>5.8276082381798489E-3</v>
      </c>
      <c r="P1247" s="12">
        <f t="shared" si="210"/>
        <v>6.1603243917653927E-3</v>
      </c>
      <c r="Q1247" s="12">
        <f t="shared" si="211"/>
        <v>-1.500663558716453E-2</v>
      </c>
      <c r="R1247" s="12">
        <f t="shared" si="212"/>
        <v>1.6603687163632141E-3</v>
      </c>
      <c r="S1247" s="12">
        <f t="shared" si="213"/>
        <v>1.72138810977287E-2</v>
      </c>
      <c r="T1247" s="12">
        <f t="shared" si="214"/>
        <v>4.2352692042988416E-3</v>
      </c>
      <c r="U1247" s="12">
        <f t="shared" si="215"/>
        <v>-3.0077748141422722E-3</v>
      </c>
      <c r="V1247" s="12">
        <f t="shared" si="216"/>
        <v>-1.2653596365521325E-2</v>
      </c>
      <c r="W1247" s="12">
        <f t="shared" si="217"/>
        <v>1.5778559192137775E-2</v>
      </c>
      <c r="X1247" s="12">
        <f t="shared" si="218"/>
        <v>-3.2932971716388426E-3</v>
      </c>
      <c r="Y1247" s="12">
        <f t="shared" si="219"/>
        <v>3.1661564381253671E-2</v>
      </c>
    </row>
    <row r="1248" spans="1:25" x14ac:dyDescent="0.35">
      <c r="A1248" s="6">
        <v>45939</v>
      </c>
      <c r="B1248" s="8">
        <v>6735.11</v>
      </c>
      <c r="C1248" s="2">
        <v>254.04</v>
      </c>
      <c r="D1248" s="2">
        <v>288.23</v>
      </c>
      <c r="E1248" s="2">
        <v>522.4</v>
      </c>
      <c r="F1248" s="2">
        <v>367.69</v>
      </c>
      <c r="G1248" s="2">
        <v>191.08</v>
      </c>
      <c r="H1248" s="2">
        <v>347.04</v>
      </c>
      <c r="I1248" s="2">
        <v>324.44</v>
      </c>
      <c r="J1248" s="2">
        <v>216</v>
      </c>
      <c r="K1248" s="2">
        <v>101.77</v>
      </c>
      <c r="L1248" s="2">
        <v>500.36</v>
      </c>
      <c r="M1248" s="64">
        <v>9.65</v>
      </c>
      <c r="N1248" s="1"/>
      <c r="O1248" s="12">
        <f t="shared" si="209"/>
        <v>-2.755518440207827E-3</v>
      </c>
      <c r="P1248" s="12">
        <f t="shared" si="210"/>
        <v>-1.5577772611020779E-2</v>
      </c>
      <c r="Q1248" s="12">
        <f t="shared" si="211"/>
        <v>-4.2492917847024581E-3</v>
      </c>
      <c r="R1248" s="12">
        <f t="shared" si="212"/>
        <v>-4.6680003810612991E-3</v>
      </c>
      <c r="S1248" s="12">
        <f t="shared" si="213"/>
        <v>-6.0283304498270907E-3</v>
      </c>
      <c r="T1248" s="12">
        <f t="shared" si="214"/>
        <v>7.327745268596253E-3</v>
      </c>
      <c r="U1248" s="12">
        <f t="shared" si="215"/>
        <v>-1.2295081967213073E-2</v>
      </c>
      <c r="V1248" s="12">
        <f t="shared" si="216"/>
        <v>1.9146439379902347E-3</v>
      </c>
      <c r="W1248" s="12">
        <f t="shared" si="217"/>
        <v>-4.1363394283685406E-2</v>
      </c>
      <c r="X1248" s="12">
        <f t="shared" si="218"/>
        <v>-1.0981535471331516E-2</v>
      </c>
      <c r="Y1248" s="12">
        <f t="shared" si="219"/>
        <v>-3.5051382139726917E-3</v>
      </c>
    </row>
    <row r="1249" spans="1:25" x14ac:dyDescent="0.35">
      <c r="A1249" s="6">
        <v>45940</v>
      </c>
      <c r="B1249" s="8">
        <v>6552.51</v>
      </c>
      <c r="C1249" s="2">
        <v>245.27</v>
      </c>
      <c r="D1249" s="2">
        <v>277.82</v>
      </c>
      <c r="E1249" s="2">
        <v>510.96</v>
      </c>
      <c r="F1249" s="2">
        <v>354.5</v>
      </c>
      <c r="G1249" s="2">
        <v>190.72</v>
      </c>
      <c r="H1249" s="2">
        <v>343.65</v>
      </c>
      <c r="I1249" s="2">
        <v>316.26</v>
      </c>
      <c r="J1249" s="2">
        <v>210.73</v>
      </c>
      <c r="K1249" s="2">
        <v>101.84</v>
      </c>
      <c r="L1249" s="2">
        <v>491.3</v>
      </c>
      <c r="M1249" s="64" t="s">
        <v>77</v>
      </c>
      <c r="N1249" s="1"/>
      <c r="O1249" s="12">
        <f t="shared" si="209"/>
        <v>-2.7111658161485086E-2</v>
      </c>
      <c r="P1249" s="12">
        <f t="shared" si="210"/>
        <v>-3.4522122500393548E-2</v>
      </c>
      <c r="Q1249" s="12">
        <f t="shared" si="211"/>
        <v>-3.6116989903896224E-2</v>
      </c>
      <c r="R1249" s="12">
        <f t="shared" si="212"/>
        <v>-2.1898928024502329E-2</v>
      </c>
      <c r="S1249" s="12">
        <f t="shared" si="213"/>
        <v>-3.5872610079142775E-2</v>
      </c>
      <c r="T1249" s="12">
        <f t="shared" si="214"/>
        <v>-1.8840276324053606E-3</v>
      </c>
      <c r="U1249" s="12">
        <f t="shared" si="215"/>
        <v>-9.7683264177040874E-3</v>
      </c>
      <c r="V1249" s="12">
        <f t="shared" si="216"/>
        <v>-2.5212674146221192E-2</v>
      </c>
      <c r="W1249" s="12">
        <f t="shared" si="217"/>
        <v>-2.4398148148148224E-2</v>
      </c>
      <c r="X1249" s="12">
        <f t="shared" si="218"/>
        <v>6.8782548884738226E-4</v>
      </c>
      <c r="Y1249" s="12">
        <f t="shared" si="219"/>
        <v>-1.81069629866496E-2</v>
      </c>
    </row>
    <row r="1250" spans="1:25" x14ac:dyDescent="0.35">
      <c r="A1250" s="6">
        <v>45943</v>
      </c>
      <c r="B1250" s="8">
        <v>6654.72</v>
      </c>
      <c r="C1250" s="2">
        <v>247.66</v>
      </c>
      <c r="D1250" s="2">
        <v>277.22000000000003</v>
      </c>
      <c r="E1250" s="2">
        <v>514.04999999999995</v>
      </c>
      <c r="F1250" s="2">
        <v>358.66</v>
      </c>
      <c r="G1250" s="2">
        <v>190.9</v>
      </c>
      <c r="H1250" s="2">
        <v>343.3</v>
      </c>
      <c r="I1250" s="2">
        <v>323.12</v>
      </c>
      <c r="J1250" s="2">
        <v>215.56</v>
      </c>
      <c r="K1250" s="2">
        <v>102.12</v>
      </c>
      <c r="L1250" s="2">
        <v>504.76</v>
      </c>
      <c r="M1250" s="64" t="s">
        <v>77</v>
      </c>
      <c r="N1250" s="1"/>
      <c r="O1250" s="12">
        <f t="shared" si="209"/>
        <v>1.5598602672868944E-2</v>
      </c>
      <c r="P1250" s="12">
        <f t="shared" si="210"/>
        <v>9.7443633546703268E-3</v>
      </c>
      <c r="Q1250" s="12">
        <f t="shared" si="211"/>
        <v>-2.1596717298969503E-3</v>
      </c>
      <c r="R1250" s="12">
        <f t="shared" si="212"/>
        <v>6.0474401127288413E-3</v>
      </c>
      <c r="S1250" s="12">
        <f t="shared" si="213"/>
        <v>1.1734837799717956E-2</v>
      </c>
      <c r="T1250" s="12">
        <f t="shared" si="214"/>
        <v>9.4379194630866969E-4</v>
      </c>
      <c r="U1250" s="12">
        <f t="shared" si="215"/>
        <v>-1.0184781027207102E-3</v>
      </c>
      <c r="V1250" s="12">
        <f t="shared" si="216"/>
        <v>2.1691013722886288E-2</v>
      </c>
      <c r="W1250" s="12">
        <f t="shared" si="217"/>
        <v>2.2920324585963048E-2</v>
      </c>
      <c r="X1250" s="12">
        <f t="shared" si="218"/>
        <v>2.74941084053415E-3</v>
      </c>
      <c r="Y1250" s="12">
        <f t="shared" si="219"/>
        <v>2.7396702625686942E-2</v>
      </c>
    </row>
    <row r="1251" spans="1:25" x14ac:dyDescent="0.35">
      <c r="A1251" s="6">
        <v>45944</v>
      </c>
      <c r="B1251" s="8">
        <v>6644.31</v>
      </c>
      <c r="C1251" s="2">
        <v>247.77</v>
      </c>
      <c r="D1251" s="2">
        <v>276.14999999999998</v>
      </c>
      <c r="E1251" s="2">
        <v>513.57000000000005</v>
      </c>
      <c r="F1251" s="2">
        <v>359.93</v>
      </c>
      <c r="G1251" s="2">
        <v>190.85</v>
      </c>
      <c r="H1251" s="2">
        <v>348.38</v>
      </c>
      <c r="I1251" s="2">
        <v>332.85</v>
      </c>
      <c r="J1251" s="2">
        <v>214.3</v>
      </c>
      <c r="K1251" s="2">
        <v>107.21</v>
      </c>
      <c r="L1251" s="2">
        <v>527.47</v>
      </c>
      <c r="M1251" s="64" t="s">
        <v>77</v>
      </c>
      <c r="N1251" s="1"/>
      <c r="O1251" s="12">
        <f t="shared" si="209"/>
        <v>-1.5643032313906735E-3</v>
      </c>
      <c r="P1251" s="12">
        <f t="shared" si="210"/>
        <v>4.4415731244451528E-4</v>
      </c>
      <c r="Q1251" s="12">
        <f t="shared" si="211"/>
        <v>-3.8597503787607401E-3</v>
      </c>
      <c r="R1251" s="12">
        <f t="shared" si="212"/>
        <v>-9.3376130726563478E-4</v>
      </c>
      <c r="S1251" s="12">
        <f t="shared" si="213"/>
        <v>3.5409580103717975E-3</v>
      </c>
      <c r="T1251" s="12">
        <f t="shared" si="214"/>
        <v>-2.619172341540299E-4</v>
      </c>
      <c r="U1251" s="12">
        <f t="shared" si="215"/>
        <v>1.4797553160500909E-2</v>
      </c>
      <c r="V1251" s="12">
        <f t="shared" si="216"/>
        <v>3.0112651646447164E-2</v>
      </c>
      <c r="W1251" s="12">
        <f t="shared" si="217"/>
        <v>-5.8452403043235401E-3</v>
      </c>
      <c r="X1251" s="12">
        <f t="shared" si="218"/>
        <v>4.9843321582451861E-2</v>
      </c>
      <c r="Y1251" s="12">
        <f t="shared" si="219"/>
        <v>4.4991679213883806E-2</v>
      </c>
    </row>
    <row r="1252" spans="1:25" x14ac:dyDescent="0.35">
      <c r="A1252" s="6">
        <v>45945</v>
      </c>
      <c r="B1252" s="8">
        <v>6671.06</v>
      </c>
      <c r="C1252" s="2">
        <v>249.34</v>
      </c>
      <c r="D1252" s="2">
        <v>280.75</v>
      </c>
      <c r="E1252" s="2">
        <v>513.42999999999995</v>
      </c>
      <c r="F1252" s="2">
        <v>361.15</v>
      </c>
      <c r="G1252" s="2">
        <v>191.17</v>
      </c>
      <c r="H1252" s="2">
        <v>345.69</v>
      </c>
      <c r="I1252" s="2">
        <v>330.66</v>
      </c>
      <c r="J1252" s="2">
        <v>214</v>
      </c>
      <c r="K1252" s="2">
        <v>109.03</v>
      </c>
      <c r="L1252" s="2">
        <v>534.04999999999995</v>
      </c>
      <c r="M1252" s="64" t="s">
        <v>77</v>
      </c>
      <c r="N1252" s="1"/>
      <c r="O1252" s="12">
        <f t="shared" si="209"/>
        <v>4.0260011950075114E-3</v>
      </c>
      <c r="P1252" s="12">
        <f t="shared" si="210"/>
        <v>6.336521774226167E-3</v>
      </c>
      <c r="Q1252" s="12">
        <f t="shared" si="211"/>
        <v>1.6657613615788547E-2</v>
      </c>
      <c r="R1252" s="12">
        <f t="shared" si="212"/>
        <v>-2.7260159277231466E-4</v>
      </c>
      <c r="S1252" s="12">
        <f t="shared" si="213"/>
        <v>3.3895479676602225E-3</v>
      </c>
      <c r="T1252" s="12">
        <f t="shared" si="214"/>
        <v>1.6767094576892738E-3</v>
      </c>
      <c r="U1252" s="12">
        <f t="shared" si="215"/>
        <v>-7.7214535851656274E-3</v>
      </c>
      <c r="V1252" s="12">
        <f t="shared" si="216"/>
        <v>-6.5795403334835134E-3</v>
      </c>
      <c r="W1252" s="12">
        <f t="shared" si="217"/>
        <v>-1.3999066728884735E-3</v>
      </c>
      <c r="X1252" s="12">
        <f t="shared" si="218"/>
        <v>1.6976028355563999E-2</v>
      </c>
      <c r="Y1252" s="12">
        <f t="shared" si="219"/>
        <v>1.2474643107664773E-2</v>
      </c>
    </row>
    <row r="1253" spans="1:25" x14ac:dyDescent="0.35">
      <c r="A1253" s="6">
        <v>45946</v>
      </c>
      <c r="B1253" s="8">
        <v>6629.07</v>
      </c>
      <c r="C1253" s="2">
        <v>247.45</v>
      </c>
      <c r="D1253" s="2">
        <v>275.97000000000003</v>
      </c>
      <c r="E1253" s="2">
        <v>511.61</v>
      </c>
      <c r="F1253" s="2">
        <v>356.67</v>
      </c>
      <c r="G1253" s="2">
        <v>192.12</v>
      </c>
      <c r="H1253" s="2">
        <v>335.4</v>
      </c>
      <c r="I1253" s="2">
        <v>323.12</v>
      </c>
      <c r="J1253" s="2">
        <v>211.89</v>
      </c>
      <c r="K1253" s="2">
        <v>106.47</v>
      </c>
      <c r="L1253" s="2">
        <v>540.96</v>
      </c>
      <c r="M1253" s="64">
        <v>9.35</v>
      </c>
      <c r="N1253" s="1"/>
      <c r="O1253" s="12">
        <f t="shared" si="209"/>
        <v>-6.2943520220175575E-3</v>
      </c>
      <c r="P1253" s="12">
        <f t="shared" si="210"/>
        <v>-7.5800112296463551E-3</v>
      </c>
      <c r="Q1253" s="12">
        <f t="shared" si="211"/>
        <v>-1.7025823686553809E-2</v>
      </c>
      <c r="R1253" s="12">
        <f t="shared" si="212"/>
        <v>-3.5447870206258836E-3</v>
      </c>
      <c r="S1253" s="12">
        <f t="shared" si="213"/>
        <v>-1.2404817942683E-2</v>
      </c>
      <c r="T1253" s="12">
        <f t="shared" si="214"/>
        <v>4.969398964272731E-3</v>
      </c>
      <c r="U1253" s="12">
        <f t="shared" si="215"/>
        <v>-2.9766553848824095E-2</v>
      </c>
      <c r="V1253" s="12">
        <f t="shared" si="216"/>
        <v>-2.2802879090304318E-2</v>
      </c>
      <c r="W1253" s="12">
        <f t="shared" si="217"/>
        <v>-9.8598130841122122E-3</v>
      </c>
      <c r="X1253" s="12">
        <f t="shared" si="218"/>
        <v>-2.3479776208383041E-2</v>
      </c>
      <c r="Y1253" s="12">
        <f t="shared" si="219"/>
        <v>1.2938863402303324E-2</v>
      </c>
    </row>
    <row r="1254" spans="1:25" x14ac:dyDescent="0.35">
      <c r="A1254" s="6">
        <v>45947</v>
      </c>
      <c r="B1254" s="8">
        <v>6664.01</v>
      </c>
      <c r="C1254" s="2">
        <v>252.29</v>
      </c>
      <c r="D1254" s="2">
        <v>281.27999999999997</v>
      </c>
      <c r="E1254" s="2">
        <v>513.58000000000004</v>
      </c>
      <c r="F1254" s="2">
        <v>356.6</v>
      </c>
      <c r="G1254" s="2">
        <v>193.22</v>
      </c>
      <c r="H1254" s="2">
        <v>341.89</v>
      </c>
      <c r="I1254" s="2">
        <v>346.62</v>
      </c>
      <c r="J1254" s="2">
        <v>212.94</v>
      </c>
      <c r="K1254" s="2">
        <v>107.73</v>
      </c>
      <c r="L1254" s="2">
        <v>527.08000000000004</v>
      </c>
      <c r="M1254" s="64" t="s">
        <v>77</v>
      </c>
      <c r="N1254" s="1"/>
      <c r="O1254" s="12">
        <f t="shared" si="209"/>
        <v>5.270724249404557E-3</v>
      </c>
      <c r="P1254" s="12">
        <f t="shared" si="210"/>
        <v>1.9559506971105201E-2</v>
      </c>
      <c r="Q1254" s="12">
        <f t="shared" si="211"/>
        <v>1.9241221871942438E-2</v>
      </c>
      <c r="R1254" s="12">
        <f t="shared" si="212"/>
        <v>3.8505893160807325E-3</v>
      </c>
      <c r="S1254" s="12">
        <f t="shared" si="213"/>
        <v>-1.9625984803883778E-4</v>
      </c>
      <c r="T1254" s="12">
        <f t="shared" si="214"/>
        <v>5.7255881740578829E-3</v>
      </c>
      <c r="U1254" s="12">
        <f t="shared" si="215"/>
        <v>1.9350029815146108E-2</v>
      </c>
      <c r="V1254" s="12">
        <f t="shared" si="216"/>
        <v>7.2728398118346194E-2</v>
      </c>
      <c r="W1254" s="12">
        <f t="shared" si="217"/>
        <v>4.9554013875123815E-3</v>
      </c>
      <c r="X1254" s="12">
        <f t="shared" si="218"/>
        <v>1.1834319526627279E-2</v>
      </c>
      <c r="Y1254" s="12">
        <f t="shared" si="219"/>
        <v>-2.565808932268554E-2</v>
      </c>
    </row>
    <row r="1255" spans="1:25" x14ac:dyDescent="0.35">
      <c r="A1255" s="6">
        <v>45950</v>
      </c>
      <c r="B1255" s="8">
        <v>6735.13</v>
      </c>
      <c r="C1255" s="2">
        <v>262.24</v>
      </c>
      <c r="D1255" s="2">
        <v>283.64999999999998</v>
      </c>
      <c r="E1255" s="2">
        <v>516.79</v>
      </c>
      <c r="F1255" s="2">
        <v>364.48</v>
      </c>
      <c r="G1255" s="2">
        <v>193.72</v>
      </c>
      <c r="H1255" s="2">
        <v>344.41</v>
      </c>
      <c r="I1255" s="2">
        <v>349.48</v>
      </c>
      <c r="J1255" s="2">
        <v>216.82</v>
      </c>
      <c r="K1255" s="2">
        <v>107.05</v>
      </c>
      <c r="L1255" s="2">
        <v>531.17999999999995</v>
      </c>
      <c r="M1255" s="64" t="s">
        <v>77</v>
      </c>
      <c r="N1255" s="1"/>
      <c r="O1255" s="12">
        <f t="shared" si="209"/>
        <v>1.0672252892777845E-2</v>
      </c>
      <c r="P1255" s="12">
        <f t="shared" si="210"/>
        <v>3.943874113123802E-2</v>
      </c>
      <c r="Q1255" s="12">
        <f t="shared" si="211"/>
        <v>8.4257679180888001E-3</v>
      </c>
      <c r="R1255" s="12">
        <f t="shared" si="212"/>
        <v>6.2502433895399445E-3</v>
      </c>
      <c r="S1255" s="12">
        <f t="shared" si="213"/>
        <v>2.2097588334268004E-2</v>
      </c>
      <c r="T1255" s="12">
        <f t="shared" si="214"/>
        <v>2.5877238381120105E-3</v>
      </c>
      <c r="U1255" s="12">
        <f t="shared" si="215"/>
        <v>7.3707917751324459E-3</v>
      </c>
      <c r="V1255" s="12">
        <f t="shared" si="216"/>
        <v>8.251110726444022E-3</v>
      </c>
      <c r="W1255" s="12">
        <f t="shared" si="217"/>
        <v>1.8221095144172139E-2</v>
      </c>
      <c r="X1255" s="12">
        <f t="shared" si="218"/>
        <v>-6.3120764875151947E-3</v>
      </c>
      <c r="Y1255" s="12">
        <f t="shared" si="219"/>
        <v>7.7787053198754563E-3</v>
      </c>
    </row>
    <row r="1256" spans="1:25" x14ac:dyDescent="0.35">
      <c r="A1256" s="6">
        <v>45951</v>
      </c>
      <c r="B1256" s="8">
        <v>6735.35</v>
      </c>
      <c r="C1256" s="2">
        <v>262.77</v>
      </c>
      <c r="D1256" s="2">
        <v>282.05</v>
      </c>
      <c r="E1256" s="2">
        <v>517.66</v>
      </c>
      <c r="F1256" s="2">
        <v>365.37</v>
      </c>
      <c r="G1256" s="2">
        <v>191.88</v>
      </c>
      <c r="H1256" s="2">
        <v>347.21</v>
      </c>
      <c r="I1256" s="2">
        <v>355.22</v>
      </c>
      <c r="J1256" s="2">
        <v>217.26</v>
      </c>
      <c r="K1256" s="2">
        <v>106.22</v>
      </c>
      <c r="L1256" s="2">
        <v>524.65</v>
      </c>
      <c r="M1256" s="64" t="s">
        <v>77</v>
      </c>
      <c r="N1256" s="1"/>
      <c r="O1256" s="12">
        <f t="shared" si="209"/>
        <v>3.2664551389505192E-5</v>
      </c>
      <c r="P1256" s="12">
        <f t="shared" si="210"/>
        <v>2.0210494203782847E-3</v>
      </c>
      <c r="Q1256" s="12">
        <f t="shared" si="211"/>
        <v>-5.6407544509077256E-3</v>
      </c>
      <c r="R1256" s="12">
        <f t="shared" si="212"/>
        <v>1.6834691073743802E-3</v>
      </c>
      <c r="S1256" s="12">
        <f t="shared" si="213"/>
        <v>2.4418349429322639E-3</v>
      </c>
      <c r="T1256" s="12">
        <f t="shared" si="214"/>
        <v>-9.4982448895313265E-3</v>
      </c>
      <c r="U1256" s="12">
        <f t="shared" si="215"/>
        <v>8.1298452425886403E-3</v>
      </c>
      <c r="V1256" s="12">
        <f t="shared" si="216"/>
        <v>1.6424401968639035E-2</v>
      </c>
      <c r="W1256" s="12">
        <f t="shared" si="217"/>
        <v>2.0293330873535353E-3</v>
      </c>
      <c r="X1256" s="12">
        <f t="shared" si="218"/>
        <v>-7.7533862680989607E-3</v>
      </c>
      <c r="Y1256" s="12">
        <f t="shared" si="219"/>
        <v>-1.2293384540080554E-2</v>
      </c>
    </row>
    <row r="1257" spans="1:25" x14ac:dyDescent="0.35">
      <c r="A1257" s="6">
        <v>45952</v>
      </c>
      <c r="B1257" s="8">
        <v>6699.4</v>
      </c>
      <c r="C1257" s="2">
        <v>258.45</v>
      </c>
      <c r="D1257" s="2">
        <v>287.51</v>
      </c>
      <c r="E1257" s="2">
        <v>520.54</v>
      </c>
      <c r="F1257" s="2">
        <v>361.49</v>
      </c>
      <c r="G1257" s="2">
        <v>192.94</v>
      </c>
      <c r="H1257" s="2">
        <v>345.36</v>
      </c>
      <c r="I1257" s="2">
        <v>352</v>
      </c>
      <c r="J1257" s="2">
        <v>216.59</v>
      </c>
      <c r="K1257" s="2">
        <v>107.14</v>
      </c>
      <c r="L1257" s="2">
        <v>513.91</v>
      </c>
      <c r="M1257" s="64" t="s">
        <v>77</v>
      </c>
      <c r="N1257" s="1"/>
      <c r="O1257" s="12">
        <f t="shared" si="209"/>
        <v>-5.3375103001329638E-3</v>
      </c>
      <c r="P1257" s="12">
        <f t="shared" si="210"/>
        <v>-1.6440232903299434E-2</v>
      </c>
      <c r="Q1257" s="12">
        <f t="shared" si="211"/>
        <v>1.9358269810317186E-2</v>
      </c>
      <c r="R1257" s="12">
        <f t="shared" si="212"/>
        <v>5.563497276204421E-3</v>
      </c>
      <c r="S1257" s="12">
        <f t="shared" si="213"/>
        <v>-1.0619372143306771E-2</v>
      </c>
      <c r="T1257" s="12">
        <f t="shared" si="214"/>
        <v>5.5242860120909842E-3</v>
      </c>
      <c r="U1257" s="12">
        <f t="shared" si="215"/>
        <v>-5.3281875522017685E-3</v>
      </c>
      <c r="V1257" s="12">
        <f t="shared" si="216"/>
        <v>-9.0648049096335725E-3</v>
      </c>
      <c r="W1257" s="12">
        <f t="shared" si="217"/>
        <v>-3.0838626530423907E-3</v>
      </c>
      <c r="X1257" s="12">
        <f t="shared" si="218"/>
        <v>8.6612690642062784E-3</v>
      </c>
      <c r="Y1257" s="12">
        <f t="shared" si="219"/>
        <v>-2.0470790050509891E-2</v>
      </c>
    </row>
    <row r="1258" spans="1:25" x14ac:dyDescent="0.35">
      <c r="A1258" s="6">
        <v>45953</v>
      </c>
      <c r="B1258" s="8">
        <v>6738.44</v>
      </c>
      <c r="C1258" s="2">
        <v>259.58</v>
      </c>
      <c r="D1258" s="2">
        <v>285</v>
      </c>
      <c r="E1258" s="2">
        <v>520.55999999999995</v>
      </c>
      <c r="F1258" s="2">
        <v>360.45</v>
      </c>
      <c r="G1258" s="2">
        <v>192.47</v>
      </c>
      <c r="H1258" s="2">
        <v>345.96</v>
      </c>
      <c r="I1258" s="2">
        <v>354.93</v>
      </c>
      <c r="J1258" s="2">
        <v>217.77</v>
      </c>
      <c r="K1258" s="2">
        <v>106.86</v>
      </c>
      <c r="L1258" s="2">
        <v>520.5</v>
      </c>
      <c r="M1258" s="64">
        <v>9.3699999999999992</v>
      </c>
      <c r="N1258" s="1"/>
      <c r="O1258" s="12">
        <f t="shared" si="209"/>
        <v>5.8273875272412123E-3</v>
      </c>
      <c r="P1258" s="12">
        <f t="shared" si="210"/>
        <v>4.3722189978718795E-3</v>
      </c>
      <c r="Q1258" s="12">
        <f t="shared" si="211"/>
        <v>-8.7301311258738412E-3</v>
      </c>
      <c r="R1258" s="12">
        <f t="shared" si="212"/>
        <v>3.8421639066976709E-5</v>
      </c>
      <c r="S1258" s="12">
        <f t="shared" si="213"/>
        <v>-2.8769813826109436E-3</v>
      </c>
      <c r="T1258" s="12">
        <f t="shared" si="214"/>
        <v>-2.4359904633565188E-3</v>
      </c>
      <c r="U1258" s="12">
        <f t="shared" si="215"/>
        <v>1.7373175816537412E-3</v>
      </c>
      <c r="V1258" s="12">
        <f t="shared" si="216"/>
        <v>8.3238636363636154E-3</v>
      </c>
      <c r="W1258" s="12">
        <f t="shared" si="217"/>
        <v>5.4480816288839939E-3</v>
      </c>
      <c r="X1258" s="12">
        <f t="shared" si="218"/>
        <v>-2.6134030240806405E-3</v>
      </c>
      <c r="Y1258" s="12">
        <f t="shared" si="219"/>
        <v>1.2823256990523779E-2</v>
      </c>
    </row>
    <row r="1259" spans="1:25" x14ac:dyDescent="0.35">
      <c r="A1259" s="6">
        <v>45954</v>
      </c>
      <c r="B1259" s="8">
        <v>6791.69</v>
      </c>
      <c r="C1259" s="2">
        <v>262.82</v>
      </c>
      <c r="D1259" s="2">
        <v>307.45999999999998</v>
      </c>
      <c r="E1259" s="2">
        <v>523.61</v>
      </c>
      <c r="F1259" s="2">
        <v>362.5</v>
      </c>
      <c r="G1259" s="2">
        <v>190.4</v>
      </c>
      <c r="H1259" s="2">
        <v>347.38</v>
      </c>
      <c r="I1259" s="2">
        <v>357.56</v>
      </c>
      <c r="J1259" s="2">
        <v>221.35</v>
      </c>
      <c r="K1259" s="2">
        <v>106.17</v>
      </c>
      <c r="L1259" s="2">
        <v>522.73</v>
      </c>
      <c r="M1259" s="64"/>
      <c r="N1259" s="1"/>
      <c r="O1259" s="12">
        <f>(B1259/B1258)-1</f>
        <v>7.9024225191588471E-3</v>
      </c>
      <c r="P1259" s="12">
        <f>(C1259/C1258)-1</f>
        <v>1.2481701209646312E-2</v>
      </c>
      <c r="Q1259" s="12">
        <f t="shared" ref="Q1259:Y1259" si="220">(D1259/D1258)-1</f>
        <v>7.8807017543859548E-2</v>
      </c>
      <c r="R1259" s="12">
        <f t="shared" si="220"/>
        <v>5.8590748424773853E-3</v>
      </c>
      <c r="S1259" s="12">
        <f t="shared" si="220"/>
        <v>5.6873352753503692E-3</v>
      </c>
      <c r="T1259" s="12">
        <f t="shared" si="220"/>
        <v>-1.0754922845118697E-2</v>
      </c>
      <c r="U1259" s="12">
        <f t="shared" si="220"/>
        <v>4.1045207538443762E-3</v>
      </c>
      <c r="V1259" s="12">
        <f t="shared" si="220"/>
        <v>7.4099118135970699E-3</v>
      </c>
      <c r="W1259" s="12">
        <f t="shared" si="220"/>
        <v>1.6439362630297882E-2</v>
      </c>
      <c r="X1259" s="12">
        <f t="shared" si="220"/>
        <v>-6.457046603032035E-3</v>
      </c>
      <c r="Y1259" s="12">
        <f t="shared" si="220"/>
        <v>4.2843419788665127E-3</v>
      </c>
    </row>
  </sheetData>
  <autoFilter ref="A3:Y3" xr:uid="{6D761F9F-543A-45B3-BD4E-A7C9A1060A72}">
    <sortState xmlns:xlrd2="http://schemas.microsoft.com/office/spreadsheetml/2017/richdata2" ref="A4:Y1259">
      <sortCondition ref="A3"/>
    </sortState>
  </autoFilter>
  <mergeCells count="6">
    <mergeCell ref="U2:V2"/>
    <mergeCell ref="C1:E1"/>
    <mergeCell ref="F1:G1"/>
    <mergeCell ref="H1:I1"/>
    <mergeCell ref="P2:R2"/>
    <mergeCell ref="S2:T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6299-E898-48C4-9B0F-EF83B622B76C}">
  <sheetPr>
    <tabColor theme="9" tint="0.79998168889431442"/>
  </sheetPr>
  <dimension ref="A1:AC1274"/>
  <sheetViews>
    <sheetView showGridLines="0" tabSelected="1" topLeftCell="I1" zoomScale="58" workbookViewId="0">
      <selection activeCell="Q2" sqref="Q2"/>
    </sheetView>
  </sheetViews>
  <sheetFormatPr baseColWidth="10" defaultColWidth="11.453125" defaultRowHeight="14.5" x14ac:dyDescent="0.35"/>
  <cols>
    <col min="1" max="1" width="21.81640625" bestFit="1" customWidth="1"/>
    <col min="2" max="2" width="16.54296875" customWidth="1"/>
    <col min="11" max="11" width="11.54296875" bestFit="1" customWidth="1"/>
    <col min="13" max="13" width="13.08984375" bestFit="1" customWidth="1"/>
    <col min="20" max="20" width="20" bestFit="1" customWidth="1"/>
    <col min="21" max="21" width="13.81640625" customWidth="1"/>
    <col min="25" max="25" width="16.81640625" bestFit="1" customWidth="1"/>
    <col min="26" max="26" width="14.26953125" customWidth="1"/>
  </cols>
  <sheetData>
    <row r="1" spans="1:29" x14ac:dyDescent="0.35">
      <c r="A1" s="18" t="s">
        <v>22</v>
      </c>
      <c r="B1" s="62" t="str">
        <f>+IF(B5&gt;B9,"Invertir","No Invertir")</f>
        <v>Invertir</v>
      </c>
      <c r="C1" s="62" t="str">
        <f t="shared" ref="C1:L1" si="0">+IF(C5&gt;C9,"Invertir","No Invertir")</f>
        <v>Invertir</v>
      </c>
      <c r="D1" s="62" t="str">
        <f t="shared" si="0"/>
        <v>Invertir</v>
      </c>
      <c r="E1" s="62" t="str">
        <f t="shared" si="0"/>
        <v>Invertir</v>
      </c>
      <c r="F1" s="62" t="str">
        <f t="shared" si="0"/>
        <v>No Invertir</v>
      </c>
      <c r="G1" s="62" t="str">
        <f t="shared" si="0"/>
        <v>No Invertir</v>
      </c>
      <c r="H1" s="62" t="str">
        <f t="shared" si="0"/>
        <v>No Invertir</v>
      </c>
      <c r="I1" s="62" t="str">
        <f t="shared" si="0"/>
        <v>Invertir</v>
      </c>
      <c r="J1" s="62" t="str">
        <f t="shared" si="0"/>
        <v>No Invertir</v>
      </c>
      <c r="K1" s="62" t="str">
        <f t="shared" si="0"/>
        <v>Invertir</v>
      </c>
      <c r="L1" s="62" t="str">
        <f t="shared" si="0"/>
        <v>Invertir</v>
      </c>
    </row>
    <row r="2" spans="1:29" x14ac:dyDescent="0.35">
      <c r="A2" s="18" t="s">
        <v>23</v>
      </c>
      <c r="B2" s="19"/>
      <c r="C2" s="19">
        <v>0</v>
      </c>
      <c r="D2" s="19">
        <v>0.27461551822398639</v>
      </c>
      <c r="E2" s="19">
        <v>0.13892591857225553</v>
      </c>
      <c r="F2" s="19">
        <v>0</v>
      </c>
      <c r="G2" s="19">
        <v>0</v>
      </c>
      <c r="H2" s="19">
        <v>0</v>
      </c>
      <c r="I2" s="19">
        <v>0.19254987313954489</v>
      </c>
      <c r="J2" s="19">
        <v>0</v>
      </c>
      <c r="K2" s="19">
        <v>0.223772624656985</v>
      </c>
      <c r="L2" s="13">
        <v>0.17013605681989152</v>
      </c>
      <c r="T2" t="s">
        <v>24</v>
      </c>
      <c r="U2" t="s">
        <v>25</v>
      </c>
      <c r="V2" t="s">
        <v>26</v>
      </c>
      <c r="W2" t="s">
        <v>27</v>
      </c>
      <c r="Y2" s="33" t="s">
        <v>28</v>
      </c>
      <c r="Z2" s="33" t="s">
        <v>29</v>
      </c>
      <c r="AA2" s="33" t="s">
        <v>23</v>
      </c>
      <c r="AB2" s="33" t="s">
        <v>30</v>
      </c>
      <c r="AC2" s="33" t="s">
        <v>31</v>
      </c>
    </row>
    <row r="3" spans="1:29" x14ac:dyDescent="0.35">
      <c r="A3" s="18" t="s">
        <v>32</v>
      </c>
      <c r="B3" s="29">
        <f>COVAR($B$16:$B$1270,B16:B1270)/VAR($B$16:$B$1270)</f>
        <v>0.999203187250995</v>
      </c>
      <c r="C3" s="29">
        <f>COVAR($B$16:$B$1270,C16:C1270)/VAR($B$16:$B$1270)</f>
        <v>1.2597770892138493</v>
      </c>
      <c r="D3" s="29">
        <f t="shared" ref="D3:L3" si="1">COVAR($B$16:$B$1270,D16:D1270)/VAR($B$16:$B$1270)</f>
        <v>0.61812623240303521</v>
      </c>
      <c r="E3" s="29">
        <f t="shared" si="1"/>
        <v>1.1587383681987664</v>
      </c>
      <c r="F3" s="29">
        <f>COVAR($B$16:$B$1270,F16:F1270)/VAR($B$16:$B$1270)</f>
        <v>0.45689118740235712</v>
      </c>
      <c r="G3" s="29">
        <f t="shared" si="1"/>
        <v>0.23071852420251093</v>
      </c>
      <c r="H3" s="29">
        <f t="shared" si="1"/>
        <v>0.89394155645084483</v>
      </c>
      <c r="I3" s="29">
        <f t="shared" si="1"/>
        <v>1.2007301412577434</v>
      </c>
      <c r="J3" s="29">
        <f t="shared" si="1"/>
        <v>1.1853837438217196</v>
      </c>
      <c r="K3" s="29">
        <f t="shared" si="1"/>
        <v>0.47212997787977823</v>
      </c>
      <c r="L3" s="30">
        <f t="shared" si="1"/>
        <v>0.96129967372960634</v>
      </c>
      <c r="T3" t="s">
        <v>8</v>
      </c>
      <c r="U3" s="11">
        <v>0.20625189567957766</v>
      </c>
      <c r="V3" s="11">
        <v>0.28472351756211572</v>
      </c>
      <c r="W3" s="11">
        <v>0</v>
      </c>
      <c r="Y3" s="38">
        <v>1</v>
      </c>
      <c r="Z3" s="39">
        <v>1</v>
      </c>
      <c r="AA3" s="19">
        <f>100%-Z3</f>
        <v>0</v>
      </c>
      <c r="AB3" s="40">
        <f t="shared" ref="AB3:AB17" si="2">(Z3*$U$43)+(AA3*$U$44)</f>
        <v>7.9000000000000001E-2</v>
      </c>
      <c r="AC3" s="19">
        <f>AA3*$V$44</f>
        <v>0</v>
      </c>
    </row>
    <row r="4" spans="1:29" x14ac:dyDescent="0.35">
      <c r="A4" s="18" t="s">
        <v>33</v>
      </c>
      <c r="B4" s="19">
        <f>+AVERAGE(B14:B1270)</f>
        <v>6.0905588201766447E-4</v>
      </c>
      <c r="C4" s="19">
        <f>+AVERAGE(C14:C1270)</f>
        <v>8.1845990349038754E-4</v>
      </c>
      <c r="D4" s="19">
        <f t="shared" ref="D4:K4" si="3">+AVERAGE(D14:D1270)</f>
        <v>9.5383091761309675E-4</v>
      </c>
      <c r="E4" s="19">
        <f t="shared" si="3"/>
        <v>8.6071195129777309E-4</v>
      </c>
      <c r="F4" s="19">
        <f>+AVERAGE(F14:F1270)</f>
        <v>2.7325214839512998E-4</v>
      </c>
      <c r="G4" s="19">
        <f t="shared" si="3"/>
        <v>2.7892331089301558E-4</v>
      </c>
      <c r="H4" s="19">
        <f t="shared" si="3"/>
        <v>5.7312016723321706E-4</v>
      </c>
      <c r="I4" s="19">
        <f t="shared" si="3"/>
        <v>1.2293828185835057E-3</v>
      </c>
      <c r="J4" s="19">
        <f>+AVERAGE(J14:J1270)</f>
        <v>5.3736189985751086E-4</v>
      </c>
      <c r="K4" s="19">
        <f t="shared" si="3"/>
        <v>7.2793934732525367E-4</v>
      </c>
      <c r="L4" s="13">
        <f>+AVERAGE(L14:L1270)</f>
        <v>1.0960369061888112E-3</v>
      </c>
      <c r="T4" t="s">
        <v>9</v>
      </c>
      <c r="U4" s="11">
        <v>0.24036539123850037</v>
      </c>
      <c r="V4" s="11">
        <v>0.23965138347643369</v>
      </c>
      <c r="W4" s="11">
        <v>0.27461551822398639</v>
      </c>
      <c r="Y4" s="38">
        <v>2</v>
      </c>
      <c r="Z4" s="41">
        <f>Z3-10%</f>
        <v>0.9</v>
      </c>
      <c r="AA4" s="19">
        <f t="shared" ref="AA4:AA17" si="4">100%-Z4</f>
        <v>9.9999999999999978E-2</v>
      </c>
      <c r="AB4" s="40">
        <f t="shared" si="2"/>
        <v>9.5479999999999982E-2</v>
      </c>
      <c r="AC4" s="19">
        <f t="shared" ref="AC4:AC17" si="5">AA4*$V$44</f>
        <v>1.7269999999999994E-2</v>
      </c>
    </row>
    <row r="5" spans="1:29" x14ac:dyDescent="0.35">
      <c r="A5" s="18" t="s">
        <v>34</v>
      </c>
      <c r="B5" s="52">
        <f>B4*252</f>
        <v>0.15348208226845145</v>
      </c>
      <c r="C5" s="52">
        <f t="shared" ref="C5:L5" si="6">C4*252</f>
        <v>0.20625189567957766</v>
      </c>
      <c r="D5" s="52">
        <f t="shared" si="6"/>
        <v>0.24036539123850037</v>
      </c>
      <c r="E5" s="52">
        <f t="shared" si="6"/>
        <v>0.21689941172703883</v>
      </c>
      <c r="F5" s="52">
        <f t="shared" si="6"/>
        <v>6.8859541395572751E-2</v>
      </c>
      <c r="G5" s="52">
        <f t="shared" si="6"/>
        <v>7.0288674345039923E-2</v>
      </c>
      <c r="H5" s="52">
        <f t="shared" si="6"/>
        <v>0.1444262821427707</v>
      </c>
      <c r="I5" s="52">
        <f t="shared" si="6"/>
        <v>0.30980447028304342</v>
      </c>
      <c r="J5" s="52">
        <f t="shared" si="6"/>
        <v>0.13541519876409275</v>
      </c>
      <c r="K5" s="52">
        <f t="shared" si="6"/>
        <v>0.18344071552596392</v>
      </c>
      <c r="L5" s="52">
        <f t="shared" si="6"/>
        <v>0.2762013003595804</v>
      </c>
      <c r="T5" t="s">
        <v>10</v>
      </c>
      <c r="U5" s="11">
        <v>0.21689941172703883</v>
      </c>
      <c r="V5" s="11">
        <v>0.25905892516400275</v>
      </c>
      <c r="W5" s="11">
        <v>0.13892591857225553</v>
      </c>
      <c r="Y5" s="38">
        <v>3</v>
      </c>
      <c r="Z5" s="41">
        <f t="shared" ref="Z5:Z17" si="7">Z4-10%</f>
        <v>0.8</v>
      </c>
      <c r="AA5" s="19">
        <f t="shared" si="4"/>
        <v>0.19999999999999996</v>
      </c>
      <c r="AB5" s="40">
        <f t="shared" si="2"/>
        <v>0.11195999999999999</v>
      </c>
      <c r="AC5" s="19">
        <f t="shared" si="5"/>
        <v>3.4539999999999987E-2</v>
      </c>
    </row>
    <row r="6" spans="1:29" x14ac:dyDescent="0.35">
      <c r="A6" s="18" t="s">
        <v>35</v>
      </c>
      <c r="B6" s="13">
        <f>STDEV(B16:B1270)</f>
        <v>1.0761107492937788E-2</v>
      </c>
      <c r="C6" s="13">
        <f>STDEV(C16:C1270)</f>
        <v>1.7935895711449754E-2</v>
      </c>
      <c r="D6" s="13">
        <f t="shared" ref="D6:L6" si="8">STDEV(D16:D1270)</f>
        <v>1.5096618143600414E-2</v>
      </c>
      <c r="E6" s="13">
        <f t="shared" si="8"/>
        <v>1.6319178354658188E-2</v>
      </c>
      <c r="F6" s="13">
        <f t="shared" si="8"/>
        <v>1.8784044444915254E-2</v>
      </c>
      <c r="G6" s="13">
        <f t="shared" si="8"/>
        <v>1.0603975162727796E-2</v>
      </c>
      <c r="H6" s="13">
        <f t="shared" si="8"/>
        <v>1.4503801011663989E-2</v>
      </c>
      <c r="I6" s="13">
        <f t="shared" si="8"/>
        <v>1.9551408184052921E-2</v>
      </c>
      <c r="J6" s="13">
        <f t="shared" si="8"/>
        <v>2.3822983210906687E-2</v>
      </c>
      <c r="K6" s="13">
        <f t="shared" si="8"/>
        <v>1.300592284024156E-2</v>
      </c>
      <c r="L6" s="13">
        <f t="shared" si="8"/>
        <v>1.8361029411406469E-2</v>
      </c>
      <c r="T6" t="s">
        <v>11</v>
      </c>
      <c r="U6" s="11">
        <v>6.8859541395572751E-2</v>
      </c>
      <c r="V6" s="11">
        <v>0.29818746130338047</v>
      </c>
      <c r="W6" s="11">
        <v>0</v>
      </c>
      <c r="Y6" s="38">
        <v>4</v>
      </c>
      <c r="Z6" s="41">
        <f t="shared" si="7"/>
        <v>0.70000000000000007</v>
      </c>
      <c r="AA6" s="19">
        <f t="shared" si="4"/>
        <v>0.29999999999999993</v>
      </c>
      <c r="AB6" s="40">
        <f t="shared" si="2"/>
        <v>0.12844</v>
      </c>
      <c r="AC6" s="19">
        <f t="shared" si="5"/>
        <v>5.1809999999999988E-2</v>
      </c>
    </row>
    <row r="7" spans="1:29" x14ac:dyDescent="0.35">
      <c r="A7" s="18" t="s">
        <v>26</v>
      </c>
      <c r="B7" s="52">
        <f>B6*(SQRT(252))</f>
        <v>0.17082728554768287</v>
      </c>
      <c r="C7" s="52">
        <f t="shared" ref="C7:L7" si="9">C6*(SQRT(252))</f>
        <v>0.28472351756211572</v>
      </c>
      <c r="D7" s="52">
        <f t="shared" si="9"/>
        <v>0.23965138347643369</v>
      </c>
      <c r="E7" s="52">
        <f t="shared" si="9"/>
        <v>0.25905892516400275</v>
      </c>
      <c r="F7" s="52">
        <f t="shared" si="9"/>
        <v>0.29818746130338047</v>
      </c>
      <c r="G7" s="52">
        <f t="shared" si="9"/>
        <v>0.16833288713570055</v>
      </c>
      <c r="H7" s="52">
        <f t="shared" si="9"/>
        <v>0.23024070325217963</v>
      </c>
      <c r="I7" s="52">
        <f t="shared" si="9"/>
        <v>0.3103689830167019</v>
      </c>
      <c r="J7" s="52">
        <f t="shared" si="9"/>
        <v>0.37817813438235659</v>
      </c>
      <c r="K7" s="52">
        <f t="shared" si="9"/>
        <v>0.20646262443704408</v>
      </c>
      <c r="L7" s="52">
        <f t="shared" si="9"/>
        <v>0.29147230582634504</v>
      </c>
      <c r="T7" t="s">
        <v>12</v>
      </c>
      <c r="U7" s="11">
        <v>7.0288674345039923E-2</v>
      </c>
      <c r="V7" s="11">
        <v>0.16833288713570055</v>
      </c>
      <c r="W7" s="11">
        <v>0</v>
      </c>
      <c r="Y7" s="38">
        <v>5</v>
      </c>
      <c r="Z7" s="41">
        <f t="shared" si="7"/>
        <v>0.60000000000000009</v>
      </c>
      <c r="AA7" s="19">
        <f t="shared" si="4"/>
        <v>0.39999999999999991</v>
      </c>
      <c r="AB7" s="40">
        <f t="shared" si="2"/>
        <v>0.14491999999999997</v>
      </c>
      <c r="AC7" s="19">
        <f t="shared" si="5"/>
        <v>6.9079999999999975E-2</v>
      </c>
    </row>
    <row r="8" spans="1:29" x14ac:dyDescent="0.35">
      <c r="A8" s="18" t="s">
        <v>36</v>
      </c>
      <c r="B8" s="17">
        <f>B7/B5</f>
        <v>1.1130112585317509</v>
      </c>
      <c r="C8" s="17">
        <f t="shared" ref="C8:L8" si="10">C7/C5</f>
        <v>1.3804649728138623</v>
      </c>
      <c r="D8" s="17">
        <f t="shared" si="10"/>
        <v>0.99702949015085862</v>
      </c>
      <c r="E8" s="17">
        <f t="shared" si="10"/>
        <v>1.1943735720686064</v>
      </c>
      <c r="F8" s="17">
        <f t="shared" si="10"/>
        <v>4.3303724547104245</v>
      </c>
      <c r="G8" s="17">
        <f t="shared" si="10"/>
        <v>2.3948792419867191</v>
      </c>
      <c r="H8" s="17">
        <f t="shared" si="10"/>
        <v>1.5941745493703023</v>
      </c>
      <c r="I8" s="17">
        <f t="shared" si="10"/>
        <v>1.0018221581281339</v>
      </c>
      <c r="J8" s="17">
        <f>J7/J5</f>
        <v>2.7927303421913661</v>
      </c>
      <c r="K8" s="17">
        <f t="shared" si="10"/>
        <v>1.1255005402975637</v>
      </c>
      <c r="L8" s="17">
        <f t="shared" si="10"/>
        <v>1.0552894046729093</v>
      </c>
      <c r="T8" t="s">
        <v>13</v>
      </c>
      <c r="U8" s="11">
        <v>0.1444262821427707</v>
      </c>
      <c r="V8" s="11">
        <v>0.23024070325217963</v>
      </c>
      <c r="W8" s="11">
        <v>0</v>
      </c>
      <c r="Y8" s="38">
        <v>6</v>
      </c>
      <c r="Z8" s="41">
        <f t="shared" si="7"/>
        <v>0.50000000000000011</v>
      </c>
      <c r="AA8" s="19">
        <f t="shared" si="4"/>
        <v>0.49999999999999989</v>
      </c>
      <c r="AB8" s="40">
        <f t="shared" si="2"/>
        <v>0.16139999999999999</v>
      </c>
      <c r="AC8" s="19">
        <f t="shared" si="5"/>
        <v>8.6349999999999982E-2</v>
      </c>
    </row>
    <row r="9" spans="1:29" x14ac:dyDescent="0.35">
      <c r="A9" s="31" t="s">
        <v>37</v>
      </c>
      <c r="B9" s="28">
        <f t="shared" ref="B9:L9" si="11">$U$43+B3*($B$5-$U$43)</f>
        <v>0.15342273399572751</v>
      </c>
      <c r="C9" s="28">
        <f t="shared" si="11"/>
        <v>0.17283082079873624</v>
      </c>
      <c r="D9" s="28">
        <f t="shared" si="11"/>
        <v>0.1250393288941308</v>
      </c>
      <c r="E9" s="28">
        <f t="shared" si="11"/>
        <v>0.16530524646779171</v>
      </c>
      <c r="F9" s="28">
        <f t="shared" si="11"/>
        <v>0.11303020700783284</v>
      </c>
      <c r="G9" s="28">
        <f t="shared" si="11"/>
        <v>9.6184396100507122E-2</v>
      </c>
      <c r="H9" s="28">
        <f t="shared" si="11"/>
        <v>0.14558262855075937</v>
      </c>
      <c r="I9" s="28">
        <f t="shared" si="11"/>
        <v>0.16843288116336858</v>
      </c>
      <c r="J9" s="28">
        <f t="shared" si="11"/>
        <v>0.16728984952701431</v>
      </c>
      <c r="K9" s="28">
        <f t="shared" si="11"/>
        <v>0.11416522385384381</v>
      </c>
      <c r="L9" s="28">
        <f t="shared" si="11"/>
        <v>0.15059960138336409</v>
      </c>
      <c r="T9" t="s">
        <v>14</v>
      </c>
      <c r="U9" s="11">
        <v>0.30980447028304342</v>
      </c>
      <c r="V9" s="11">
        <v>0.3103689830167019</v>
      </c>
      <c r="W9" s="11">
        <v>0.19254987313954489</v>
      </c>
      <c r="Y9" s="38">
        <v>7</v>
      </c>
      <c r="Z9" s="41">
        <f t="shared" si="7"/>
        <v>0.40000000000000013</v>
      </c>
      <c r="AA9" s="19">
        <f t="shared" si="4"/>
        <v>0.59999999999999987</v>
      </c>
      <c r="AB9" s="40">
        <f t="shared" si="2"/>
        <v>0.17787999999999998</v>
      </c>
      <c r="AC9" s="19">
        <f t="shared" si="5"/>
        <v>0.10361999999999998</v>
      </c>
    </row>
    <row r="10" spans="1:29" x14ac:dyDescent="0.35">
      <c r="T10" t="s">
        <v>15</v>
      </c>
      <c r="U10" s="11">
        <v>0.13541519876409275</v>
      </c>
      <c r="V10" s="11">
        <v>0.37817813438235659</v>
      </c>
      <c r="W10" s="11">
        <v>0</v>
      </c>
      <c r="Y10" s="38">
        <v>8</v>
      </c>
      <c r="Z10" s="41">
        <f t="shared" si="7"/>
        <v>0.30000000000000016</v>
      </c>
      <c r="AA10" s="19">
        <f t="shared" si="4"/>
        <v>0.69999999999999984</v>
      </c>
      <c r="AB10" s="40">
        <f t="shared" si="2"/>
        <v>0.19435999999999998</v>
      </c>
      <c r="AC10" s="19">
        <f t="shared" si="5"/>
        <v>0.12088999999999997</v>
      </c>
    </row>
    <row r="11" spans="1:29" x14ac:dyDescent="0.35">
      <c r="T11" t="s">
        <v>16</v>
      </c>
      <c r="U11" s="11">
        <v>0.18344071552596392</v>
      </c>
      <c r="V11" s="11">
        <v>0.20646262443704408</v>
      </c>
      <c r="W11" s="11">
        <v>0.223772624656985</v>
      </c>
      <c r="Y11" s="38">
        <v>9</v>
      </c>
      <c r="Z11" s="41">
        <f t="shared" si="7"/>
        <v>0.20000000000000015</v>
      </c>
      <c r="AA11" s="19">
        <f t="shared" si="4"/>
        <v>0.79999999999999982</v>
      </c>
      <c r="AB11" s="40">
        <f t="shared" si="2"/>
        <v>0.21083999999999994</v>
      </c>
      <c r="AC11" s="19">
        <f t="shared" si="5"/>
        <v>0.13815999999999995</v>
      </c>
    </row>
    <row r="12" spans="1:29" x14ac:dyDescent="0.35">
      <c r="T12" t="s">
        <v>17</v>
      </c>
      <c r="U12" s="11">
        <v>0.2762013003595804</v>
      </c>
      <c r="V12" s="11">
        <v>0.29147230582634504</v>
      </c>
      <c r="W12" s="11">
        <v>0.17013605681989152</v>
      </c>
      <c r="Y12" s="38">
        <v>10</v>
      </c>
      <c r="Z12" s="41">
        <f t="shared" si="7"/>
        <v>0.10000000000000014</v>
      </c>
      <c r="AA12" s="19">
        <f t="shared" si="4"/>
        <v>0.89999999999999991</v>
      </c>
      <c r="AB12" s="40">
        <f t="shared" si="2"/>
        <v>0.22731999999999999</v>
      </c>
      <c r="AC12" s="19">
        <f t="shared" si="5"/>
        <v>0.15542999999999998</v>
      </c>
    </row>
    <row r="13" spans="1:29" x14ac:dyDescent="0.35">
      <c r="A13" s="66" t="s">
        <v>79</v>
      </c>
      <c r="B13" s="15" t="s">
        <v>0</v>
      </c>
      <c r="C13" s="70" t="s">
        <v>1</v>
      </c>
      <c r="D13" s="71"/>
      <c r="E13" s="72"/>
      <c r="F13" s="73" t="s">
        <v>2</v>
      </c>
      <c r="G13" s="74"/>
      <c r="H13" s="75" t="s">
        <v>3</v>
      </c>
      <c r="I13" s="76"/>
      <c r="J13" s="3" t="s">
        <v>4</v>
      </c>
      <c r="K13" s="4" t="s">
        <v>5</v>
      </c>
      <c r="L13" s="5" t="s">
        <v>6</v>
      </c>
      <c r="U13" s="11"/>
      <c r="V13" s="11"/>
      <c r="W13" s="11">
        <f>SUM(W3:W12)</f>
        <v>0.99999999141266327</v>
      </c>
      <c r="Y13" s="42">
        <v>11</v>
      </c>
      <c r="Z13" s="43">
        <f t="shared" si="7"/>
        <v>1.3877787807814457E-16</v>
      </c>
      <c r="AA13" s="44">
        <f t="shared" si="4"/>
        <v>0.99999999999999989</v>
      </c>
      <c r="AB13" s="45">
        <f>(Z13*$U$43)+(AA13*$U$44)</f>
        <v>0.24379999999999996</v>
      </c>
      <c r="AC13" s="44">
        <f t="shared" si="5"/>
        <v>0.17269999999999996</v>
      </c>
    </row>
    <row r="14" spans="1:29" x14ac:dyDescent="0.35">
      <c r="A14" s="7" t="s">
        <v>78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7" t="s">
        <v>13</v>
      </c>
      <c r="I14" s="7" t="s">
        <v>14</v>
      </c>
      <c r="J14" s="7" t="s">
        <v>15</v>
      </c>
      <c r="K14" s="7" t="s">
        <v>16</v>
      </c>
      <c r="L14" s="47" t="s">
        <v>17</v>
      </c>
      <c r="M14" s="27" t="s">
        <v>57</v>
      </c>
      <c r="N14" s="27" t="s">
        <v>56</v>
      </c>
      <c r="O14" s="27" t="s">
        <v>58</v>
      </c>
      <c r="P14" s="27" t="s">
        <v>59</v>
      </c>
      <c r="Q14" s="27" t="s">
        <v>60</v>
      </c>
      <c r="R14" s="27" t="s">
        <v>61</v>
      </c>
      <c r="Y14" s="38">
        <v>12</v>
      </c>
      <c r="Z14" s="41">
        <f t="shared" si="7"/>
        <v>-9.9999999999999867E-2</v>
      </c>
      <c r="AA14" s="19">
        <f t="shared" si="4"/>
        <v>1.0999999999999999</v>
      </c>
      <c r="AB14" s="40">
        <f t="shared" si="2"/>
        <v>0.26027999999999996</v>
      </c>
      <c r="AC14" s="19">
        <f t="shared" si="5"/>
        <v>0.18996999999999997</v>
      </c>
    </row>
    <row r="15" spans="1:29" x14ac:dyDescent="0.35">
      <c r="B15" s="6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100</v>
      </c>
      <c r="O15" s="2">
        <v>100</v>
      </c>
      <c r="P15" s="2"/>
      <c r="Q15" s="2"/>
      <c r="R15" s="2"/>
      <c r="T15" s="7" t="s">
        <v>38</v>
      </c>
      <c r="U15" s="13">
        <f>SUMPRODUCT(U3:U12,W3:W12)</f>
        <v>0.24383463845500242</v>
      </c>
      <c r="Y15" s="38">
        <v>13</v>
      </c>
      <c r="Z15" s="41">
        <f t="shared" si="7"/>
        <v>-0.19999999999999987</v>
      </c>
      <c r="AA15" s="19">
        <f t="shared" si="4"/>
        <v>1.2</v>
      </c>
      <c r="AB15" s="40">
        <f t="shared" si="2"/>
        <v>0.27676000000000001</v>
      </c>
      <c r="AC15" s="19">
        <f t="shared" si="5"/>
        <v>0.20723999999999998</v>
      </c>
    </row>
    <row r="16" spans="1:29" x14ac:dyDescent="0.35">
      <c r="A16" s="64">
        <v>6.91</v>
      </c>
      <c r="B16" s="14">
        <v>-3.0285210232284809E-3</v>
      </c>
      <c r="C16" s="12">
        <v>1.3472403302911662E-2</v>
      </c>
      <c r="D16" s="12">
        <v>-1.4833473271760433E-2</v>
      </c>
      <c r="E16" s="12">
        <v>1.5089489718202564E-2</v>
      </c>
      <c r="F16" s="12">
        <v>-7.8932705998886465E-3</v>
      </c>
      <c r="G16" s="12">
        <v>-5.6956310342431982E-3</v>
      </c>
      <c r="H16" s="12">
        <v>-1.5590200445434244E-2</v>
      </c>
      <c r="I16" s="12">
        <v>-2.0127993393889265E-2</v>
      </c>
      <c r="J16" s="12">
        <v>-3.4757197040353183E-2</v>
      </c>
      <c r="K16" s="12">
        <v>4.8533445874656689E-3</v>
      </c>
      <c r="L16" s="12">
        <v>-3.241421568627445E-2</v>
      </c>
      <c r="M16" s="13">
        <f>SUMPRODUCT($C$2:$L$2,C16:L16)</f>
        <v>-1.0281604489315466E-2</v>
      </c>
      <c r="N16" s="32">
        <f>+(N15*(1+M16))</f>
        <v>98.971839551068456</v>
      </c>
      <c r="O16" s="32">
        <f>+(O15*(1+B16))</f>
        <v>99.697147897677155</v>
      </c>
      <c r="P16" s="12">
        <f>+IF(M16&lt;0,M16,"")</f>
        <v>-1.0281604489315466E-2</v>
      </c>
      <c r="Q16" s="13">
        <f>M16-B16</f>
        <v>-7.2530834660869854E-3</v>
      </c>
      <c r="R16" s="48" t="str">
        <f>+IF(M16&gt;0,1,"")</f>
        <v/>
      </c>
      <c r="T16" s="7" t="s">
        <v>39</v>
      </c>
      <c r="U16" s="2" cm="1">
        <f t="array" ref="U16">MMULT(MMULT(TRANSPOSE(W3:W12),COVAR!B2:K11),Portfolio!W3:W12)</f>
        <v>1.1840632707415884E-4</v>
      </c>
      <c r="Y16" s="38">
        <v>14</v>
      </c>
      <c r="Z16" s="41">
        <f t="shared" si="7"/>
        <v>-0.29999999999999988</v>
      </c>
      <c r="AA16" s="19">
        <f t="shared" si="4"/>
        <v>1.2999999999999998</v>
      </c>
      <c r="AB16" s="40">
        <f t="shared" si="2"/>
        <v>0.29323999999999995</v>
      </c>
      <c r="AC16" s="19">
        <f t="shared" si="5"/>
        <v>0.22450999999999996</v>
      </c>
    </row>
    <row r="17" spans="1:29" x14ac:dyDescent="0.35">
      <c r="A17" s="64" t="s">
        <v>77</v>
      </c>
      <c r="B17" s="14">
        <v>-3.5302444922877263E-2</v>
      </c>
      <c r="C17" s="12">
        <v>-4.6312178387649998E-2</v>
      </c>
      <c r="D17" s="12">
        <v>-3.5321969696969657E-2</v>
      </c>
      <c r="E17" s="12">
        <v>-4.9566236811254383E-2</v>
      </c>
      <c r="F17" s="12">
        <v>-3.9031543477582531E-2</v>
      </c>
      <c r="G17" s="12">
        <v>-3.3461404121550742E-2</v>
      </c>
      <c r="H17" s="12">
        <v>-4.8353151636325364E-2</v>
      </c>
      <c r="I17" s="12">
        <v>-3.5078478879174257E-2</v>
      </c>
      <c r="J17" s="12">
        <v>-4.573563514558121E-2</v>
      </c>
      <c r="K17" s="12">
        <v>-1.973960520789575E-2</v>
      </c>
      <c r="L17" s="12">
        <v>-4.2745867899436352E-2</v>
      </c>
      <c r="M17" s="13">
        <f t="shared" ref="M17:M80" si="12">SUMPRODUCT($C$2:$L$2,C17:L17)</f>
        <v>-3.5030149327129542E-2</v>
      </c>
      <c r="N17" s="32">
        <f>+(N16*(1+M17))</f>
        <v>95.504841232413824</v>
      </c>
      <c r="O17" s="32">
        <f t="shared" ref="O17:O80" si="13">+(O16*(1+B17))</f>
        <v>96.177594825051457</v>
      </c>
      <c r="P17" s="12">
        <f t="shared" ref="P17:P80" si="14">+IF(M17&lt;0,M17,"")</f>
        <v>-3.5030149327129542E-2</v>
      </c>
      <c r="Q17" s="13">
        <f t="shared" ref="Q17:Q80" si="15">M17-B17</f>
        <v>2.7229559574772078E-4</v>
      </c>
      <c r="R17" s="49" t="str">
        <f t="shared" ref="R17:R80" si="16">+IF(M17&gt;0,1,"")</f>
        <v/>
      </c>
      <c r="T17" s="7" t="s">
        <v>40</v>
      </c>
      <c r="U17" s="2">
        <f>SQRT(U16)</f>
        <v>1.0881467137944169E-2</v>
      </c>
      <c r="Y17" s="38">
        <v>15</v>
      </c>
      <c r="Z17" s="41">
        <f t="shared" si="7"/>
        <v>-0.39999999999999991</v>
      </c>
      <c r="AA17" s="19">
        <f t="shared" si="4"/>
        <v>1.4</v>
      </c>
      <c r="AB17" s="40">
        <f t="shared" si="2"/>
        <v>0.30971999999999994</v>
      </c>
      <c r="AC17" s="19">
        <f t="shared" si="5"/>
        <v>0.24177999999999997</v>
      </c>
    </row>
    <row r="18" spans="1:29" x14ac:dyDescent="0.35">
      <c r="A18" s="64" t="s">
        <v>77</v>
      </c>
      <c r="B18" s="14">
        <v>1.1953531030265863E-2</v>
      </c>
      <c r="C18" s="12">
        <v>3.705035971223003E-2</v>
      </c>
      <c r="D18" s="12">
        <v>2.1203494650044119E-2</v>
      </c>
      <c r="E18" s="12">
        <v>1.0065127294256904E-2</v>
      </c>
      <c r="F18" s="12">
        <v>-1.4025974025974053E-2</v>
      </c>
      <c r="G18" s="12">
        <v>-8.4562012142238574E-3</v>
      </c>
      <c r="H18" s="12">
        <v>2.2115331453530063E-2</v>
      </c>
      <c r="I18" s="12">
        <v>-5.7860262008734287E-3</v>
      </c>
      <c r="J18" s="12">
        <v>1.0125556905629107E-3</v>
      </c>
      <c r="K18" s="12">
        <v>-8.5689802913446744E-4</v>
      </c>
      <c r="L18" s="12">
        <v>2.3220428684837202E-2</v>
      </c>
      <c r="M18" s="13">
        <f t="shared" si="12"/>
        <v>9.8658989684853315E-3</v>
      </c>
      <c r="N18" s="32">
        <f t="shared" ref="N18:N80" si="17">+(N17*(1+M18))</f>
        <v>96.44708234701406</v>
      </c>
      <c r="O18" s="32">
        <f t="shared" si="13"/>
        <v>97.327256689209051</v>
      </c>
      <c r="P18" s="12" t="str">
        <f t="shared" si="14"/>
        <v/>
      </c>
      <c r="Q18" s="13">
        <f t="shared" si="15"/>
        <v>-2.0876320617805311E-3</v>
      </c>
      <c r="R18" s="49">
        <f t="shared" si="16"/>
        <v>1</v>
      </c>
      <c r="T18" s="7" t="s">
        <v>41</v>
      </c>
      <c r="U18" s="13">
        <f>U17*(SQRT(252))</f>
        <v>0.17273793567913226</v>
      </c>
    </row>
    <row r="19" spans="1:29" x14ac:dyDescent="0.35">
      <c r="A19" s="64" t="s">
        <v>77</v>
      </c>
      <c r="B19" s="14">
        <v>-1.2114437630283081E-2</v>
      </c>
      <c r="C19" s="12">
        <v>-5.6018036767256252E-2</v>
      </c>
      <c r="D19" s="12">
        <v>2.5185042776122213E-2</v>
      </c>
      <c r="E19" s="12">
        <v>-1.0990621336459561E-2</v>
      </c>
      <c r="F19" s="12">
        <v>4.8076923076922906E-3</v>
      </c>
      <c r="G19" s="12">
        <v>-5.831328814052128E-4</v>
      </c>
      <c r="H19" s="12">
        <v>-1.7093092443338564E-2</v>
      </c>
      <c r="I19" s="12">
        <v>1.8666959481716816E-3</v>
      </c>
      <c r="J19" s="12">
        <v>-2.6299817924337443E-2</v>
      </c>
      <c r="K19" s="12">
        <v>-8.3619210977701197E-3</v>
      </c>
      <c r="L19" s="12">
        <v>1.5387599405185304E-2</v>
      </c>
      <c r="M19" s="13">
        <f>SUMPRODUCT($C$2:$L$2,C19:L19)</f>
        <v>6.4955699321208489E-3</v>
      </c>
      <c r="N19" s="32">
        <f>+(N18*(1+M19))</f>
        <v>97.073561115148095</v>
      </c>
      <c r="O19" s="32">
        <f t="shared" si="13"/>
        <v>96.148191708321079</v>
      </c>
      <c r="P19" s="12" t="str">
        <f t="shared" si="14"/>
        <v/>
      </c>
      <c r="Q19" s="13">
        <f t="shared" si="15"/>
        <v>1.861000756240393E-2</v>
      </c>
      <c r="R19" s="49">
        <f t="shared" si="16"/>
        <v>1</v>
      </c>
      <c r="T19" s="7" t="s">
        <v>42</v>
      </c>
      <c r="U19" s="24">
        <f>U18/U15</f>
        <v>0.70842246521512797</v>
      </c>
    </row>
    <row r="20" spans="1:29" x14ac:dyDescent="0.35">
      <c r="A20" s="64" t="s">
        <v>77</v>
      </c>
      <c r="B20" s="14">
        <v>1.2293577981651316E-2</v>
      </c>
      <c r="C20" s="12">
        <v>-8.2674995406950558E-4</v>
      </c>
      <c r="D20" s="12">
        <v>1.1251758087200914E-2</v>
      </c>
      <c r="E20" s="12">
        <v>-6.9146046327839272E-4</v>
      </c>
      <c r="F20" s="12">
        <v>2.2809202333355261E-2</v>
      </c>
      <c r="G20" s="12">
        <v>1.1523594194442266E-2</v>
      </c>
      <c r="H20" s="12">
        <v>1.6674921578339053E-2</v>
      </c>
      <c r="I20" s="12">
        <v>2.3673827268742009E-2</v>
      </c>
      <c r="J20" s="12">
        <v>2.915714384652679E-2</v>
      </c>
      <c r="K20" s="12">
        <v>1.189189189189177E-2</v>
      </c>
      <c r="L20" s="12">
        <v>3.9605221267112301E-2</v>
      </c>
      <c r="M20" s="13">
        <f t="shared" si="12"/>
        <v>1.6951594072005569E-2</v>
      </c>
      <c r="N20" s="32">
        <f t="shared" si="17"/>
        <v>98.719112718296103</v>
      </c>
      <c r="O20" s="32">
        <f t="shared" si="13"/>
        <v>97.33019700088208</v>
      </c>
      <c r="P20" s="12" t="str">
        <f t="shared" si="14"/>
        <v/>
      </c>
      <c r="Q20" s="13">
        <f t="shared" si="15"/>
        <v>4.6580160903542528E-3</v>
      </c>
      <c r="R20" s="49">
        <f t="shared" si="16"/>
        <v>1</v>
      </c>
      <c r="T20" s="27" t="s">
        <v>43</v>
      </c>
      <c r="U20" s="24">
        <f>(U15-U43)/U18</f>
        <v>0.95424689317342226</v>
      </c>
      <c r="Y20" s="77" t="s">
        <v>62</v>
      </c>
      <c r="Z20" s="77"/>
    </row>
    <row r="21" spans="1:29" x14ac:dyDescent="0.35">
      <c r="A21" s="64">
        <v>6.7</v>
      </c>
      <c r="B21" s="14">
        <v>1.7823696453386439E-2</v>
      </c>
      <c r="C21" s="12">
        <v>1.5353498207226313E-2</v>
      </c>
      <c r="D21" s="12">
        <v>1.1033843300880974E-2</v>
      </c>
      <c r="E21" s="12">
        <v>2.0263925270597616E-2</v>
      </c>
      <c r="F21" s="12">
        <v>2.9637936558795319E-2</v>
      </c>
      <c r="G21" s="12">
        <v>-1.3699617852764856E-3</v>
      </c>
      <c r="H21" s="12">
        <v>1.9486846378694356E-2</v>
      </c>
      <c r="I21" s="12">
        <v>3.0942184154175489E-2</v>
      </c>
      <c r="J21" s="12">
        <v>3.3983849259757726E-2</v>
      </c>
      <c r="K21" s="12">
        <v>1.6880341880342042E-2</v>
      </c>
      <c r="L21" s="12">
        <v>2.7071721688001427E-2</v>
      </c>
      <c r="M21" s="13">
        <f t="shared" si="12"/>
        <v>2.0186397048711398E-2</v>
      </c>
      <c r="N21" s="32">
        <f t="shared" si="17"/>
        <v>100.71189592392413</v>
      </c>
      <c r="O21" s="32">
        <f t="shared" si="13"/>
        <v>99.064980887974102</v>
      </c>
      <c r="P21" s="12" t="str">
        <f t="shared" si="14"/>
        <v/>
      </c>
      <c r="Q21" s="13">
        <f t="shared" si="15"/>
        <v>2.3627005953249583E-3</v>
      </c>
      <c r="R21" s="49">
        <f t="shared" si="16"/>
        <v>1</v>
      </c>
      <c r="T21" s="27" t="s">
        <v>44</v>
      </c>
      <c r="U21" s="32">
        <f>SUMPRODUCT(C2:L2,C3:L3)</f>
        <v>0.83112778444014179</v>
      </c>
      <c r="W21" s="35"/>
      <c r="Y21" s="27" t="s">
        <v>43</v>
      </c>
      <c r="Z21" s="39">
        <f>(U15-U43)/U18</f>
        <v>0.95424689317342226</v>
      </c>
    </row>
    <row r="22" spans="1:29" x14ac:dyDescent="0.35">
      <c r="A22" s="64" t="s">
        <v>77</v>
      </c>
      <c r="B22" s="14">
        <v>2.2023032173809964E-2</v>
      </c>
      <c r="C22" s="12">
        <v>4.0836653386454147E-2</v>
      </c>
      <c r="D22" s="12">
        <v>-1.9809244314013319E-2</v>
      </c>
      <c r="E22" s="12">
        <v>4.8248801046359535E-2</v>
      </c>
      <c r="F22" s="12">
        <v>0.10334526217519824</v>
      </c>
      <c r="G22" s="12">
        <v>6.4981949458484678E-3</v>
      </c>
      <c r="H22" s="12">
        <v>2.9892747159392608E-2</v>
      </c>
      <c r="I22" s="12">
        <v>1.1423823865406302E-3</v>
      </c>
      <c r="J22" s="12">
        <v>-1.3146762121705291E-2</v>
      </c>
      <c r="K22" s="12">
        <v>-5.673460811094877E-3</v>
      </c>
      <c r="L22" s="12">
        <v>-7.4303774822589319E-2</v>
      </c>
      <c r="M22" s="13">
        <f t="shared" si="12"/>
        <v>-1.2428267775673301E-2</v>
      </c>
      <c r="N22" s="32">
        <f t="shared" si="17"/>
        <v>99.460221513185857</v>
      </c>
      <c r="O22" s="32">
        <f t="shared" si="13"/>
        <v>101.24669214936783</v>
      </c>
      <c r="P22" s="12">
        <f t="shared" si="14"/>
        <v>-1.2428267775673301E-2</v>
      </c>
      <c r="Q22" s="13">
        <f t="shared" si="15"/>
        <v>-3.4451299949483268E-2</v>
      </c>
      <c r="R22" s="49" t="str">
        <f t="shared" si="16"/>
        <v/>
      </c>
      <c r="T22" s="27" t="s">
        <v>45</v>
      </c>
      <c r="U22" s="24">
        <f>U43+(U21*(B5-U43))</f>
        <v>0.14090412801626642</v>
      </c>
      <c r="Y22" s="27" t="s">
        <v>32</v>
      </c>
      <c r="Z22" s="53">
        <f>U21</f>
        <v>0.83112778444014179</v>
      </c>
    </row>
    <row r="23" spans="1:29" x14ac:dyDescent="0.35">
      <c r="A23" s="64" t="s">
        <v>77</v>
      </c>
      <c r="B23" s="14">
        <v>1.9457512923273468E-2</v>
      </c>
      <c r="C23" s="12">
        <v>3.5493692909960739E-2</v>
      </c>
      <c r="D23" s="12">
        <v>2.5636227544910239E-2</v>
      </c>
      <c r="E23" s="12">
        <v>3.1886870927491984E-2</v>
      </c>
      <c r="F23" s="12">
        <v>-4.5126353790625462E-4</v>
      </c>
      <c r="G23" s="12">
        <v>2.5824964131992978E-3</v>
      </c>
      <c r="H23" s="12">
        <v>1.892045161622935E-2</v>
      </c>
      <c r="I23" s="12">
        <v>1.7738589211618194E-2</v>
      </c>
      <c r="J23" s="12">
        <v>3.6008705401305852E-2</v>
      </c>
      <c r="K23" s="12">
        <v>1.0566356720202785E-2</v>
      </c>
      <c r="L23" s="12">
        <v>5.0634542292082863E-2</v>
      </c>
      <c r="M23" s="13">
        <f>SUMPRODUCT($C$2:$L$2,C23:L23)</f>
        <v>2.5864804589718675E-2</v>
      </c>
      <c r="N23" s="32">
        <f t="shared" si="17"/>
        <v>102.03274070707455</v>
      </c>
      <c r="O23" s="32">
        <f t="shared" si="13"/>
        <v>103.21670097030285</v>
      </c>
      <c r="P23" s="12" t="str">
        <f t="shared" si="14"/>
        <v/>
      </c>
      <c r="Q23" s="13">
        <f t="shared" si="15"/>
        <v>6.407291666445207E-3</v>
      </c>
      <c r="R23" s="49">
        <f t="shared" si="16"/>
        <v>1</v>
      </c>
      <c r="T23" s="27" t="s">
        <v>46</v>
      </c>
      <c r="U23" s="34" t="str">
        <f>+IF(U15&gt;U22,"Invertir","No inveritr")</f>
        <v>Invertir</v>
      </c>
      <c r="Y23" s="27" t="s">
        <v>45</v>
      </c>
      <c r="Z23" s="39">
        <f>U22</f>
        <v>0.14090412801626642</v>
      </c>
    </row>
    <row r="24" spans="1:29" x14ac:dyDescent="0.35">
      <c r="A24" s="64" t="s">
        <v>77</v>
      </c>
      <c r="B24" s="14">
        <v>-2.8486782133085864E-4</v>
      </c>
      <c r="C24" s="12">
        <v>-2.8564227505670781E-3</v>
      </c>
      <c r="D24" s="12">
        <v>-6.2944718117131648E-3</v>
      </c>
      <c r="E24" s="12">
        <v>1.9257467866899969E-3</v>
      </c>
      <c r="F24" s="12">
        <v>-1.9582392776523738E-2</v>
      </c>
      <c r="G24" s="12">
        <v>1.7816256439610934E-2</v>
      </c>
      <c r="H24" s="12">
        <v>4.1995547460029758E-3</v>
      </c>
      <c r="I24" s="12">
        <v>-1.4473550096830157E-2</v>
      </c>
      <c r="J24" s="12">
        <v>4.1377554268253736E-3</v>
      </c>
      <c r="K24" s="12">
        <v>1.6102049351735648E-2</v>
      </c>
      <c r="L24" s="12">
        <v>-1.1036850818566535E-2</v>
      </c>
      <c r="M24" s="13">
        <f t="shared" si="12"/>
        <v>-2.5224721644510149E-3</v>
      </c>
      <c r="N24" s="32">
        <f t="shared" si="17"/>
        <v>101.77536595877831</v>
      </c>
      <c r="O24" s="32">
        <f t="shared" si="13"/>
        <v>103.18729785357249</v>
      </c>
      <c r="P24" s="12">
        <f t="shared" si="14"/>
        <v>-2.5224721644510149E-3</v>
      </c>
      <c r="Q24" s="13">
        <f t="shared" si="15"/>
        <v>-2.2376043431201562E-3</v>
      </c>
      <c r="R24" s="49" t="str">
        <f t="shared" si="16"/>
        <v/>
      </c>
      <c r="T24" s="27" t="s">
        <v>47</v>
      </c>
      <c r="U24" s="36">
        <f>+U26*U27*U18*(SQRT(1/365))</f>
        <v>148.71971680783591</v>
      </c>
      <c r="Y24" s="27" t="s">
        <v>63</v>
      </c>
      <c r="Z24" s="13">
        <f>(U15-U43)/Z22</f>
        <v>0.19832646861401354</v>
      </c>
    </row>
    <row r="25" spans="1:29" x14ac:dyDescent="0.35">
      <c r="A25" s="64" t="s">
        <v>77</v>
      </c>
      <c r="B25" s="14">
        <v>1.1711403658745123E-2</v>
      </c>
      <c r="C25" s="12">
        <v>-1.9967983823405588E-2</v>
      </c>
      <c r="D25" s="12">
        <v>1.3035894611218124E-2</v>
      </c>
      <c r="E25" s="12">
        <v>-2.3824423386375915E-2</v>
      </c>
      <c r="F25" s="12">
        <v>7.3101939791631043E-3</v>
      </c>
      <c r="G25" s="12">
        <v>2.6924428822495683E-2</v>
      </c>
      <c r="H25" s="12">
        <v>7.1597722577719569E-2</v>
      </c>
      <c r="I25" s="12">
        <v>0.21387940841865771</v>
      </c>
      <c r="J25" s="12">
        <v>0.13706098643337139</v>
      </c>
      <c r="K25" s="12">
        <v>-1.5229471084585389E-2</v>
      </c>
      <c r="L25" s="12">
        <v>5.9086118172236413E-2</v>
      </c>
      <c r="M25" s="13">
        <f t="shared" si="12"/>
        <v>4.8097222450822895E-2</v>
      </c>
      <c r="N25" s="32">
        <f t="shared" si="17"/>
        <v>106.67047837531157</v>
      </c>
      <c r="O25" s="32">
        <f t="shared" si="13"/>
        <v>104.39576595119084</v>
      </c>
      <c r="P25" s="12" t="str">
        <f t="shared" si="14"/>
        <v/>
      </c>
      <c r="Q25" s="13">
        <f t="shared" si="15"/>
        <v>3.6385818792077772E-2</v>
      </c>
      <c r="R25" s="49">
        <f t="shared" si="16"/>
        <v>1</v>
      </c>
      <c r="T25" s="27" t="s">
        <v>48</v>
      </c>
      <c r="U25" s="24">
        <v>0.95</v>
      </c>
      <c r="Y25" s="27" t="s">
        <v>64</v>
      </c>
      <c r="Z25" s="19">
        <f>U15-Z23</f>
        <v>0.10293051043873599</v>
      </c>
    </row>
    <row r="26" spans="1:29" x14ac:dyDescent="0.35">
      <c r="A26" s="64">
        <v>6.81</v>
      </c>
      <c r="B26" s="14">
        <v>-1.4082523588226925E-3</v>
      </c>
      <c r="C26" s="12">
        <v>-3.0089408528197747E-3</v>
      </c>
      <c r="D26" s="12">
        <v>2.0570910738559212E-2</v>
      </c>
      <c r="E26" s="12">
        <v>-3.3792756078575015E-2</v>
      </c>
      <c r="F26" s="12">
        <v>1.0542857142857187E-2</v>
      </c>
      <c r="G26" s="12">
        <v>1.5060240963855387E-2</v>
      </c>
      <c r="H26" s="12">
        <v>2.9621967274777727E-3</v>
      </c>
      <c r="I26" s="12">
        <v>-1.2098491948538848E-2</v>
      </c>
      <c r="J26" s="12">
        <v>5.2018287243532413E-2</v>
      </c>
      <c r="K26" s="12">
        <v>1.4002089864158851E-2</v>
      </c>
      <c r="L26" s="12">
        <v>8.66409085587172E-3</v>
      </c>
      <c r="M26" s="13">
        <f t="shared" si="12"/>
        <v>3.2321971973667241E-3</v>
      </c>
      <c r="N26" s="32">
        <f t="shared" si="17"/>
        <v>107.01525839655802</v>
      </c>
      <c r="O26" s="32">
        <f t="shared" si="13"/>
        <v>104.24875036753897</v>
      </c>
      <c r="P26" s="12" t="str">
        <f t="shared" si="14"/>
        <v/>
      </c>
      <c r="Q26" s="13">
        <f t="shared" si="15"/>
        <v>4.6404495561894171E-3</v>
      </c>
      <c r="R26" s="49">
        <f t="shared" si="16"/>
        <v>1</v>
      </c>
      <c r="T26" s="27" t="s">
        <v>49</v>
      </c>
      <c r="U26" s="37">
        <f>+NORMSINV(U25)</f>
        <v>1.6448536269514715</v>
      </c>
      <c r="Y26" s="27" t="s">
        <v>65</v>
      </c>
      <c r="Z26" s="13">
        <f>+STDEV(P15:P1270)*(SQRT(252))</f>
        <v>0.11851096037205751</v>
      </c>
    </row>
    <row r="27" spans="1:29" x14ac:dyDescent="0.35">
      <c r="A27" s="64" t="s">
        <v>77</v>
      </c>
      <c r="B27" s="14">
        <v>7.6716965167111795E-3</v>
      </c>
      <c r="C27" s="12">
        <v>3.0352677416573215E-2</v>
      </c>
      <c r="D27" s="12">
        <v>-5.9492097318416537E-3</v>
      </c>
      <c r="E27" s="12">
        <v>2.6254679872991904E-2</v>
      </c>
      <c r="F27" s="12">
        <v>-5.6263959964941712E-3</v>
      </c>
      <c r="G27" s="12">
        <v>-3.2371189641218212E-3</v>
      </c>
      <c r="H27" s="12">
        <v>-2.8596877783507724E-3</v>
      </c>
      <c r="I27" s="12">
        <v>-4.1655886157826671E-2</v>
      </c>
      <c r="J27" s="12">
        <v>-3.4660024378610377E-2</v>
      </c>
      <c r="K27" s="12">
        <v>1.6694146743610805E-2</v>
      </c>
      <c r="L27" s="12">
        <v>-1.6482878699942027E-2</v>
      </c>
      <c r="M27" s="13">
        <f t="shared" si="12"/>
        <v>-5.0757643443838868E-3</v>
      </c>
      <c r="N27" s="32">
        <f t="shared" si="17"/>
        <v>106.47207416368376</v>
      </c>
      <c r="O27" s="32">
        <f t="shared" si="13"/>
        <v>105.04851514260511</v>
      </c>
      <c r="P27" s="12">
        <f t="shared" si="14"/>
        <v>-5.0757643443838868E-3</v>
      </c>
      <c r="Q27" s="13">
        <f t="shared" si="15"/>
        <v>-1.2747460861095065E-2</v>
      </c>
      <c r="R27" s="49" t="str">
        <f t="shared" si="16"/>
        <v/>
      </c>
      <c r="T27" s="27" t="s">
        <v>50</v>
      </c>
      <c r="U27" s="36">
        <v>10000</v>
      </c>
      <c r="Y27" s="27" t="s">
        <v>66</v>
      </c>
      <c r="Z27" s="53">
        <f>(U15-U43)/Z26</f>
        <v>1.39088096103107</v>
      </c>
    </row>
    <row r="28" spans="1:29" x14ac:dyDescent="0.35">
      <c r="A28" s="64" t="s">
        <v>77</v>
      </c>
      <c r="B28" s="14">
        <v>-9.9924426904021146E-3</v>
      </c>
      <c r="C28" s="12">
        <v>-2.3432923257176164E-3</v>
      </c>
      <c r="D28" s="12">
        <v>-2.3046002679767752E-2</v>
      </c>
      <c r="E28" s="12">
        <v>-5.125836989148036E-3</v>
      </c>
      <c r="F28" s="12">
        <v>7.7054307648565246E-3</v>
      </c>
      <c r="G28" s="12">
        <v>3.3829499323410062E-3</v>
      </c>
      <c r="H28" s="12">
        <v>-2.0874471086036683E-2</v>
      </c>
      <c r="I28" s="12">
        <v>-1.7998560115195517E-4</v>
      </c>
      <c r="J28" s="12">
        <v>-2.9810595662915218E-2</v>
      </c>
      <c r="K28" s="12">
        <v>1.6217311980539773E-3</v>
      </c>
      <c r="L28" s="12">
        <v>-1.947362209370973E-3</v>
      </c>
      <c r="M28" s="13">
        <f>SUMPRODUCT($C$2:$L$2,C28:L28)</f>
        <v>-7.0439752665593831E-3</v>
      </c>
      <c r="N28" s="32">
        <f t="shared" si="17"/>
        <v>105.72208750669549</v>
      </c>
      <c r="O28" s="32">
        <f t="shared" si="13"/>
        <v>103.99882387533079</v>
      </c>
      <c r="P28" s="12">
        <f t="shared" si="14"/>
        <v>-7.0439752665593831E-3</v>
      </c>
      <c r="Q28" s="13">
        <f t="shared" si="15"/>
        <v>2.9484674238427315E-3</v>
      </c>
      <c r="R28" s="49" t="str">
        <f t="shared" si="16"/>
        <v/>
      </c>
      <c r="T28" s="27" t="s">
        <v>72</v>
      </c>
      <c r="U28" s="13">
        <f>U24/U27</f>
        <v>1.487197168078359E-2</v>
      </c>
      <c r="Y28" s="27" t="s">
        <v>67</v>
      </c>
      <c r="Z28" s="13">
        <f>+STDEV(Q15:Q1270)*SQRT(252)</f>
        <v>0.1024577472485635</v>
      </c>
    </row>
    <row r="29" spans="1:29" x14ac:dyDescent="0.35">
      <c r="A29" s="64" t="s">
        <v>77</v>
      </c>
      <c r="B29" s="14">
        <v>1.3627367825840953E-2</v>
      </c>
      <c r="C29" s="12">
        <v>4.194279003439938E-4</v>
      </c>
      <c r="D29" s="12">
        <v>2.0480936271372263E-2</v>
      </c>
      <c r="E29" s="12">
        <v>4.9665800222800094E-3</v>
      </c>
      <c r="F29" s="12">
        <v>3.5552044242543879E-3</v>
      </c>
      <c r="G29" s="12">
        <v>1.0788941335131419E-2</v>
      </c>
      <c r="H29" s="12">
        <v>1.0659752232786035E-2</v>
      </c>
      <c r="I29" s="12">
        <v>3.5013501350134923E-2</v>
      </c>
      <c r="J29" s="12">
        <v>5.8793571751924123E-2</v>
      </c>
      <c r="K29" s="12">
        <v>1.5583889900829817E-2</v>
      </c>
      <c r="L29" s="12">
        <v>1.5254537929403567E-2</v>
      </c>
      <c r="M29" s="13">
        <f t="shared" si="12"/>
        <v>1.9138809740165325E-2</v>
      </c>
      <c r="N29" s="32">
        <f t="shared" si="17"/>
        <v>107.74548242481923</v>
      </c>
      <c r="O29" s="32">
        <f t="shared" si="13"/>
        <v>105.41605410173477</v>
      </c>
      <c r="P29" s="12" t="str">
        <f t="shared" si="14"/>
        <v/>
      </c>
      <c r="Q29" s="13">
        <f t="shared" si="15"/>
        <v>5.511441914324372E-3</v>
      </c>
      <c r="R29" s="49">
        <f t="shared" si="16"/>
        <v>1</v>
      </c>
      <c r="Y29" s="27" t="s">
        <v>68</v>
      </c>
      <c r="Z29" s="53">
        <f>(U15-B5)/Z28</f>
        <v>0.88185187175114033</v>
      </c>
    </row>
    <row r="30" spans="1:29" x14ac:dyDescent="0.35">
      <c r="A30" s="64">
        <v>7.15</v>
      </c>
      <c r="B30" s="14">
        <v>1.1631150284503011E-2</v>
      </c>
      <c r="C30" s="12">
        <v>8.7204427301692533E-3</v>
      </c>
      <c r="D30" s="12">
        <v>1.2902069707015462E-2</v>
      </c>
      <c r="E30" s="12">
        <v>3.3254815020091755E-3</v>
      </c>
      <c r="F30" s="12">
        <v>3.2333342705315182E-3</v>
      </c>
      <c r="G30" s="12">
        <v>6.3375583722480311E-3</v>
      </c>
      <c r="H30" s="12">
        <v>1.0547320410490224E-2</v>
      </c>
      <c r="I30" s="12">
        <v>3.2002782850682809E-2</v>
      </c>
      <c r="J30" s="12">
        <v>8.1716637272192694E-2</v>
      </c>
      <c r="K30" s="12">
        <v>1.2554802710243118E-2</v>
      </c>
      <c r="L30" s="12">
        <v>8.6191835070759115E-3</v>
      </c>
      <c r="M30" s="13">
        <f t="shared" si="12"/>
        <v>1.4443090958549764E-2</v>
      </c>
      <c r="N30" s="32">
        <f t="shared" si="17"/>
        <v>109.30166022785372</v>
      </c>
      <c r="O30" s="32">
        <f t="shared" si="13"/>
        <v>106.64216406939136</v>
      </c>
      <c r="P30" s="12" t="str">
        <f t="shared" si="14"/>
        <v/>
      </c>
      <c r="Q30" s="13">
        <f t="shared" si="15"/>
        <v>2.8119406740467531E-3</v>
      </c>
      <c r="R30" s="49">
        <f t="shared" si="16"/>
        <v>1</v>
      </c>
      <c r="T30" s="26" t="s">
        <v>51</v>
      </c>
      <c r="U30" s="26" t="s">
        <v>52</v>
      </c>
      <c r="V30" s="26" t="s">
        <v>26</v>
      </c>
      <c r="Y30" s="27" t="s">
        <v>69</v>
      </c>
      <c r="Z30" s="13">
        <f>+SUM(R15:R1270)/COUNT(M15:M1270)</f>
        <v>0.5593625498007968</v>
      </c>
    </row>
    <row r="31" spans="1:29" x14ac:dyDescent="0.35">
      <c r="A31" s="64" t="s">
        <v>77</v>
      </c>
      <c r="B31" s="14">
        <v>-4.7974854558989755E-3</v>
      </c>
      <c r="C31" s="12">
        <v>-7.5644222776392045E-3</v>
      </c>
      <c r="D31" s="12">
        <v>-5.5727554179566541E-3</v>
      </c>
      <c r="E31" s="12">
        <v>-1.2751461584495583E-2</v>
      </c>
      <c r="F31" s="12">
        <v>-1.3227958074098933E-2</v>
      </c>
      <c r="G31" s="12">
        <v>-9.9436526350679122E-3</v>
      </c>
      <c r="H31" s="12">
        <v>-9.3559003291019405E-3</v>
      </c>
      <c r="I31" s="12">
        <v>-1.8454537793882175E-2</v>
      </c>
      <c r="J31" s="12">
        <v>3.7796442687747067E-2</v>
      </c>
      <c r="K31" s="12">
        <v>-2.007478842747501E-2</v>
      </c>
      <c r="L31" s="12">
        <v>-7.390726947283377E-3</v>
      </c>
      <c r="M31" s="13">
        <f t="shared" si="12"/>
        <v>-1.2604909777556581E-2</v>
      </c>
      <c r="N31" s="32">
        <f t="shared" si="17"/>
        <v>107.92392266214448</v>
      </c>
      <c r="O31" s="32">
        <f t="shared" si="13"/>
        <v>106.13054983828286</v>
      </c>
      <c r="P31" s="12">
        <f t="shared" si="14"/>
        <v>-1.2604909777556581E-2</v>
      </c>
      <c r="Q31" s="13">
        <f t="shared" si="15"/>
        <v>-7.8074243216576054E-3</v>
      </c>
      <c r="R31" s="49" t="str">
        <f t="shared" si="16"/>
        <v/>
      </c>
      <c r="S31" s="57">
        <f>U40-U31</f>
        <v>0.24094492888747066</v>
      </c>
      <c r="T31" s="25">
        <v>1</v>
      </c>
      <c r="U31" s="19">
        <f>MIN(B5:L5)</f>
        <v>6.8859541395572751E-2</v>
      </c>
      <c r="V31" s="13">
        <v>0.298068689890231</v>
      </c>
      <c r="Y31" s="27" t="s">
        <v>70</v>
      </c>
      <c r="Z31" s="19">
        <f>U28</f>
        <v>1.487197168078359E-2</v>
      </c>
    </row>
    <row r="32" spans="1:29" x14ac:dyDescent="0.35">
      <c r="A32" s="64" t="s">
        <v>77</v>
      </c>
      <c r="B32" s="14">
        <v>-1.1552846654661275E-2</v>
      </c>
      <c r="C32" s="12">
        <v>-1.139123879721915E-2</v>
      </c>
      <c r="D32" s="12">
        <v>-7.9167407934531697E-3</v>
      </c>
      <c r="E32" s="12">
        <v>-1.576051478131113E-2</v>
      </c>
      <c r="F32" s="12">
        <v>-2.1556376029537194E-2</v>
      </c>
      <c r="G32" s="12">
        <v>-1.3257448945430128E-2</v>
      </c>
      <c r="H32" s="12">
        <v>-1.3668074604907154E-2</v>
      </c>
      <c r="I32" s="12">
        <v>-1.9230769230769273E-2</v>
      </c>
      <c r="J32" s="12">
        <v>-3.213520590335639E-2</v>
      </c>
      <c r="K32" s="12">
        <v>-1.807591885920834E-3</v>
      </c>
      <c r="L32" s="12">
        <v>4.8281077307894549E-3</v>
      </c>
      <c r="M32" s="13">
        <f t="shared" si="12"/>
        <v>-7.6495404139678832E-3</v>
      </c>
      <c r="N32" s="32">
        <f t="shared" si="17"/>
        <v>107.09835425410645</v>
      </c>
      <c r="O32" s="32">
        <f t="shared" si="13"/>
        <v>104.90443987062629</v>
      </c>
      <c r="P32" s="12">
        <f t="shared" si="14"/>
        <v>-7.6495404139678832E-3</v>
      </c>
      <c r="Q32" s="13">
        <f t="shared" si="15"/>
        <v>3.9033062406933919E-3</v>
      </c>
      <c r="R32" s="49" t="str">
        <f t="shared" si="16"/>
        <v/>
      </c>
      <c r="S32" s="58">
        <f>S31/9</f>
        <v>2.6771658765274518E-2</v>
      </c>
      <c r="T32" s="25">
        <v>2</v>
      </c>
      <c r="U32" s="19">
        <f>U31+$S$32</f>
        <v>9.5631200160847266E-2</v>
      </c>
      <c r="V32" s="13">
        <v>0.13868808369120211</v>
      </c>
      <c r="Y32" s="27" t="s">
        <v>70</v>
      </c>
      <c r="Z32" s="13">
        <v>-1.6411044257916355E-2</v>
      </c>
    </row>
    <row r="33" spans="1:26" x14ac:dyDescent="0.35">
      <c r="A33" s="64" t="s">
        <v>77</v>
      </c>
      <c r="B33" s="14">
        <v>3.9520152474914472E-3</v>
      </c>
      <c r="C33" s="12">
        <v>5.1681775819707454E-3</v>
      </c>
      <c r="D33" s="12">
        <v>3.5864789742670045E-3</v>
      </c>
      <c r="E33" s="12">
        <v>6.3483039605836122E-3</v>
      </c>
      <c r="F33" s="12">
        <v>-2.1799076949870821E-2</v>
      </c>
      <c r="G33" s="12">
        <v>-1.5606975639548271E-3</v>
      </c>
      <c r="H33" s="12">
        <v>-1.2510224702882988E-3</v>
      </c>
      <c r="I33" s="12">
        <v>-8.753501400560193E-4</v>
      </c>
      <c r="J33" s="12">
        <v>1.165764879488429E-2</v>
      </c>
      <c r="K33" s="12">
        <v>2.0321931589537101E-2</v>
      </c>
      <c r="L33" s="12">
        <v>9.2624753965497852E-4</v>
      </c>
      <c r="M33" s="13">
        <f t="shared" si="12"/>
        <v>6.4033782567236982E-3</v>
      </c>
      <c r="N33" s="32">
        <f t="shared" si="17"/>
        <v>107.78414552706809</v>
      </c>
      <c r="O33" s="32">
        <f t="shared" si="13"/>
        <v>105.31902381652455</v>
      </c>
      <c r="P33" s="12" t="str">
        <f t="shared" si="14"/>
        <v/>
      </c>
      <c r="Q33" s="13">
        <f t="shared" si="15"/>
        <v>2.4513630092322511E-3</v>
      </c>
      <c r="R33" s="49">
        <f t="shared" si="16"/>
        <v>1</v>
      </c>
      <c r="T33" s="25">
        <v>3</v>
      </c>
      <c r="U33" s="19">
        <f t="shared" ref="U33:U38" si="18">U32+$S$32</f>
        <v>0.12240285892612178</v>
      </c>
      <c r="V33" s="13">
        <v>0.12996756016744676</v>
      </c>
      <c r="Y33" s="27" t="s">
        <v>71</v>
      </c>
      <c r="Z33" s="13">
        <v>-2.4022601339143589E-2</v>
      </c>
    </row>
    <row r="34" spans="1:26" x14ac:dyDescent="0.35">
      <c r="A34" s="64" t="s">
        <v>77</v>
      </c>
      <c r="B34" s="14">
        <v>-6.8120271364360274E-3</v>
      </c>
      <c r="C34" s="12">
        <v>-1.0957518543492917E-2</v>
      </c>
      <c r="D34" s="12">
        <v>-2.0548557133923673E-3</v>
      </c>
      <c r="E34" s="12">
        <v>-9.5565389323039041E-3</v>
      </c>
      <c r="F34" s="12">
        <v>-6.8249258160237858E-3</v>
      </c>
      <c r="G34" s="12">
        <v>-5.3010738072581942E-3</v>
      </c>
      <c r="H34" s="12">
        <v>-1.7777135424194235E-2</v>
      </c>
      <c r="I34" s="12">
        <v>-1.3667425968109326E-2</v>
      </c>
      <c r="J34" s="12">
        <v>-2.9416054845140205E-2</v>
      </c>
      <c r="K34" s="12">
        <v>-1.2423585091697942E-2</v>
      </c>
      <c r="L34" s="12">
        <v>-3.8750722961250483E-3</v>
      </c>
      <c r="M34" s="13">
        <f t="shared" si="12"/>
        <v>-7.962955116427535E-3</v>
      </c>
      <c r="N34" s="32">
        <f t="shared" si="17"/>
        <v>106.92586521397355</v>
      </c>
      <c r="O34" s="32">
        <f t="shared" si="13"/>
        <v>104.60158776830343</v>
      </c>
      <c r="P34" s="12">
        <f t="shared" si="14"/>
        <v>-7.962955116427535E-3</v>
      </c>
      <c r="Q34" s="13">
        <f t="shared" si="15"/>
        <v>-1.1509279799915076E-3</v>
      </c>
      <c r="R34" s="49" t="str">
        <f t="shared" si="16"/>
        <v/>
      </c>
      <c r="T34" s="25">
        <v>4</v>
      </c>
      <c r="U34" s="19">
        <f t="shared" si="18"/>
        <v>0.14917451769139631</v>
      </c>
      <c r="V34" s="13">
        <v>0.12826239525248501</v>
      </c>
    </row>
    <row r="35" spans="1:26" x14ac:dyDescent="0.35">
      <c r="A35" s="64">
        <v>6.59</v>
      </c>
      <c r="B35" s="14">
        <v>5.650035137034326E-3</v>
      </c>
      <c r="C35" s="12">
        <v>-2.9742628259758042E-2</v>
      </c>
      <c r="D35" s="12">
        <v>2.6947179946284594E-2</v>
      </c>
      <c r="E35" s="12">
        <v>-1.3308617329719219E-3</v>
      </c>
      <c r="F35" s="12">
        <v>1.0755900806693752E-3</v>
      </c>
      <c r="G35" s="12">
        <v>-1.701284503962841E-2</v>
      </c>
      <c r="H35" s="12">
        <v>2.0992740827938006E-2</v>
      </c>
      <c r="I35" s="12">
        <v>3.1177829099307219E-2</v>
      </c>
      <c r="J35" s="12">
        <v>5.9663360384730968E-2</v>
      </c>
      <c r="K35" s="12">
        <v>4.5926517571885928E-3</v>
      </c>
      <c r="L35" s="12">
        <v>1.4805782964640413E-2</v>
      </c>
      <c r="M35" s="13">
        <f t="shared" si="12"/>
        <v>1.6765216904292835E-2</v>
      </c>
      <c r="N35" s="32">
        <f t="shared" si="17"/>
        <v>108.71850053696501</v>
      </c>
      <c r="O35" s="32">
        <f t="shared" si="13"/>
        <v>105.19259041458393</v>
      </c>
      <c r="P35" s="12" t="str">
        <f t="shared" si="14"/>
        <v/>
      </c>
      <c r="Q35" s="13">
        <f t="shared" si="15"/>
        <v>1.1115181767258508E-2</v>
      </c>
      <c r="R35" s="49">
        <f t="shared" si="16"/>
        <v>1</v>
      </c>
      <c r="T35" s="25">
        <v>5</v>
      </c>
      <c r="U35" s="19">
        <f t="shared" si="18"/>
        <v>0.17594617645667082</v>
      </c>
      <c r="V35" s="13">
        <v>0.13330103392528245</v>
      </c>
    </row>
    <row r="36" spans="1:26" x14ac:dyDescent="0.35">
      <c r="A36" s="64" t="s">
        <v>77</v>
      </c>
      <c r="B36" s="14">
        <v>1.6156082289803253E-2</v>
      </c>
      <c r="C36" s="12">
        <v>1.1594202898550732E-2</v>
      </c>
      <c r="D36" s="12">
        <v>3.6003835759742087E-2</v>
      </c>
      <c r="E36" s="12">
        <v>1.7847794012660012E-2</v>
      </c>
      <c r="F36" s="12">
        <v>2.8353130782545755E-3</v>
      </c>
      <c r="G36" s="12">
        <v>0</v>
      </c>
      <c r="H36" s="12">
        <v>7.3020753266719307E-3</v>
      </c>
      <c r="I36" s="12">
        <v>3.7040227409768312E-2</v>
      </c>
      <c r="J36" s="12">
        <v>3.2903134307190607E-2</v>
      </c>
      <c r="K36" s="12">
        <v>2.782746968793548E-3</v>
      </c>
      <c r="L36" s="12">
        <v>1.2129534271655862E-2</v>
      </c>
      <c r="M36" s="13">
        <f t="shared" si="12"/>
        <v>2.2185198006725308E-2</v>
      </c>
      <c r="N36" s="32">
        <f t="shared" si="17"/>
        <v>111.13044199837185</v>
      </c>
      <c r="O36" s="32">
        <f t="shared" si="13"/>
        <v>106.89209056159952</v>
      </c>
      <c r="P36" s="12" t="str">
        <f t="shared" si="14"/>
        <v/>
      </c>
      <c r="Q36" s="13">
        <f t="shared" si="15"/>
        <v>6.0291157169220545E-3</v>
      </c>
      <c r="R36" s="49">
        <f t="shared" si="16"/>
        <v>1</v>
      </c>
      <c r="T36" s="25">
        <v>6</v>
      </c>
      <c r="U36" s="19">
        <f t="shared" si="18"/>
        <v>0.20271783522194534</v>
      </c>
      <c r="V36" s="13">
        <v>0.14446738739564469</v>
      </c>
    </row>
    <row r="37" spans="1:26" x14ac:dyDescent="0.35">
      <c r="A37" s="64" t="s">
        <v>77</v>
      </c>
      <c r="B37" s="14">
        <v>-1.5679154976069309E-3</v>
      </c>
      <c r="C37" s="12">
        <v>7.4672223669358662E-3</v>
      </c>
      <c r="D37" s="12">
        <v>-1.7670817906429992E-3</v>
      </c>
      <c r="E37" s="12">
        <v>4.6759562330356275E-5</v>
      </c>
      <c r="F37" s="12">
        <v>-8.3926073628760589E-3</v>
      </c>
      <c r="G37" s="12">
        <v>-1.320636685896992E-3</v>
      </c>
      <c r="H37" s="12">
        <v>5.7706982067911028E-3</v>
      </c>
      <c r="I37" s="12">
        <v>1.5782041697816052E-3</v>
      </c>
      <c r="J37" s="12">
        <v>-4.0276442857796191E-3</v>
      </c>
      <c r="K37" s="12">
        <v>3.1714568880079064E-3</v>
      </c>
      <c r="L37" s="12">
        <v>-1.2832108535896003E-2</v>
      </c>
      <c r="M37" s="13">
        <f t="shared" si="12"/>
        <v>-1.6484080690192813E-3</v>
      </c>
      <c r="N37" s="32">
        <f t="shared" si="17"/>
        <v>110.94725368106805</v>
      </c>
      <c r="O37" s="32">
        <f t="shared" si="13"/>
        <v>106.72449279623638</v>
      </c>
      <c r="P37" s="12">
        <f t="shared" si="14"/>
        <v>-1.6484080690192813E-3</v>
      </c>
      <c r="Q37" s="13">
        <f t="shared" si="15"/>
        <v>-8.0492571412350312E-5</v>
      </c>
      <c r="R37" s="49" t="str">
        <f t="shared" si="16"/>
        <v/>
      </c>
      <c r="T37" s="59">
        <v>7</v>
      </c>
      <c r="U37" s="60">
        <f t="shared" si="18"/>
        <v>0.22948949398721985</v>
      </c>
      <c r="V37" s="61">
        <v>0.16082419084521427</v>
      </c>
    </row>
    <row r="38" spans="1:26" x14ac:dyDescent="0.35">
      <c r="A38" s="64" t="s">
        <v>77</v>
      </c>
      <c r="B38" s="14">
        <v>2.3693418188832638E-3</v>
      </c>
      <c r="C38" s="12">
        <v>4.8263380160302738E-3</v>
      </c>
      <c r="D38" s="12">
        <v>1.1801399308775107E-3</v>
      </c>
      <c r="E38" s="12">
        <v>6.3590031327440677E-3</v>
      </c>
      <c r="F38" s="12">
        <v>1.42561301359585E-2</v>
      </c>
      <c r="G38" s="12">
        <v>2.2271714922048602E-3</v>
      </c>
      <c r="H38" s="12">
        <v>5.2159893783487732E-4</v>
      </c>
      <c r="I38" s="12">
        <v>8.2932492950771319E-5</v>
      </c>
      <c r="J38" s="12">
        <v>-5.1008685262626807E-3</v>
      </c>
      <c r="K38" s="12">
        <v>-1.5807152736613261E-3</v>
      </c>
      <c r="L38" s="12">
        <v>2.5768768252878438E-3</v>
      </c>
      <c r="M38" s="13">
        <f t="shared" si="12"/>
        <v>1.3081825874543395E-3</v>
      </c>
      <c r="N38" s="32">
        <f t="shared" si="17"/>
        <v>111.0923929464595</v>
      </c>
      <c r="O38" s="32">
        <f t="shared" si="13"/>
        <v>106.97735960011761</v>
      </c>
      <c r="P38" s="12" t="str">
        <f t="shared" si="14"/>
        <v/>
      </c>
      <c r="Q38" s="13">
        <f t="shared" si="15"/>
        <v>-1.0611592314289243E-3</v>
      </c>
      <c r="R38" s="49">
        <f t="shared" si="16"/>
        <v>1</v>
      </c>
      <c r="T38" s="59">
        <v>8</v>
      </c>
      <c r="U38" s="60">
        <f t="shared" si="18"/>
        <v>0.25626115275249439</v>
      </c>
      <c r="V38" s="61">
        <v>0.18796896926878143</v>
      </c>
    </row>
    <row r="39" spans="1:26" x14ac:dyDescent="0.35">
      <c r="A39" s="64" t="s">
        <v>77</v>
      </c>
      <c r="B39" s="14">
        <v>-4.5900557952890386E-3</v>
      </c>
      <c r="C39" s="12">
        <v>2.1099579723818485E-2</v>
      </c>
      <c r="D39" s="12">
        <v>-6.6515113244084434E-3</v>
      </c>
      <c r="E39" s="12">
        <v>-5.3895832365375984E-3</v>
      </c>
      <c r="F39" s="12">
        <v>-4.7345682665562716E-3</v>
      </c>
      <c r="G39" s="12">
        <v>4.7222222222222943E-3</v>
      </c>
      <c r="H39" s="12">
        <v>-3.0805687203792065E-3</v>
      </c>
      <c r="I39" s="12">
        <v>-1.6585123144539304E-2</v>
      </c>
      <c r="J39" s="12">
        <v>-2.6743648960738997E-2</v>
      </c>
      <c r="K39" s="12">
        <v>7.9160894518108815E-3</v>
      </c>
      <c r="L39" s="12">
        <v>-8.5103952478867706E-3</v>
      </c>
      <c r="M39" s="13">
        <f t="shared" si="12"/>
        <v>-5.4453453644705318E-3</v>
      </c>
      <c r="N39" s="32">
        <f t="shared" si="17"/>
        <v>110.48745649950055</v>
      </c>
      <c r="O39" s="32">
        <f t="shared" si="13"/>
        <v>106.48632755072038</v>
      </c>
      <c r="P39" s="12">
        <f t="shared" si="14"/>
        <v>-5.4453453644705318E-3</v>
      </c>
      <c r="Q39" s="13">
        <f t="shared" si="15"/>
        <v>-8.5528956918149313E-4</v>
      </c>
      <c r="R39" s="49" t="str">
        <f t="shared" si="16"/>
        <v/>
      </c>
      <c r="T39" s="25">
        <v>9</v>
      </c>
      <c r="U39" s="19">
        <f>U38+$S$32</f>
        <v>0.28303281151776893</v>
      </c>
      <c r="V39" s="13">
        <v>0.23278001661179223</v>
      </c>
    </row>
    <row r="40" spans="1:26" x14ac:dyDescent="0.35">
      <c r="A40" s="64">
        <v>6.39</v>
      </c>
      <c r="B40" s="14">
        <v>1.1265738899933764E-2</v>
      </c>
      <c r="C40" s="12">
        <v>3.0827383452330936E-2</v>
      </c>
      <c r="D40" s="12">
        <v>-2.8818443804035088E-3</v>
      </c>
      <c r="E40" s="12">
        <v>9.996730041575308E-3</v>
      </c>
      <c r="F40" s="12">
        <v>1.4419932211452657E-2</v>
      </c>
      <c r="G40" s="12">
        <v>1.9145700857063686E-2</v>
      </c>
      <c r="H40" s="12">
        <v>4.04088424055149E-3</v>
      </c>
      <c r="I40" s="12">
        <v>1.1299435028248705E-2</v>
      </c>
      <c r="J40" s="12">
        <v>1.0915476246974531E-2</v>
      </c>
      <c r="K40" s="12">
        <v>-9.8173964264669511E-4</v>
      </c>
      <c r="L40" s="12">
        <v>-1.9010311653897549E-3</v>
      </c>
      <c r="M40" s="13">
        <f t="shared" si="12"/>
        <v>2.2299900940811394E-3</v>
      </c>
      <c r="N40" s="32">
        <f t="shared" si="17"/>
        <v>110.73384243301467</v>
      </c>
      <c r="O40" s="32">
        <f t="shared" si="13"/>
        <v>107.68597471331961</v>
      </c>
      <c r="P40" s="12" t="str">
        <f t="shared" si="14"/>
        <v/>
      </c>
      <c r="Q40" s="13">
        <f t="shared" si="15"/>
        <v>-9.0357488058526239E-3</v>
      </c>
      <c r="R40" s="49">
        <f t="shared" si="16"/>
        <v>1</v>
      </c>
      <c r="T40" s="25">
        <v>10</v>
      </c>
      <c r="U40" s="19">
        <f>MAX(B5:L5)</f>
        <v>0.30980447028304342</v>
      </c>
      <c r="V40" s="13">
        <v>0.31024529943808332</v>
      </c>
    </row>
    <row r="41" spans="1:26" x14ac:dyDescent="0.35">
      <c r="A41" s="64" t="s">
        <v>77</v>
      </c>
      <c r="B41" s="14">
        <v>1.8020969855832014E-3</v>
      </c>
      <c r="C41" s="12">
        <v>2.9335071707952132E-3</v>
      </c>
      <c r="D41" s="12">
        <v>1.1815708942536585E-2</v>
      </c>
      <c r="E41" s="12">
        <v>-3.8851116969612631E-3</v>
      </c>
      <c r="F41" s="12">
        <v>1.8669949295114119E-2</v>
      </c>
      <c r="G41" s="12">
        <v>4.6795523906408842E-3</v>
      </c>
      <c r="H41" s="12">
        <v>-4.829545454545392E-3</v>
      </c>
      <c r="I41" s="12">
        <v>2.0011673476194369E-2</v>
      </c>
      <c r="J41" s="12">
        <v>5.0889629594854657E-2</v>
      </c>
      <c r="K41" s="12">
        <v>-1.395440251572333E-2</v>
      </c>
      <c r="L41" s="12">
        <v>3.5207203047444846E-3</v>
      </c>
      <c r="M41" s="13">
        <f t="shared" si="12"/>
        <v>4.0346677056850473E-3</v>
      </c>
      <c r="N41" s="32">
        <f t="shared" si="17"/>
        <v>111.18061669100557</v>
      </c>
      <c r="O41" s="32">
        <f t="shared" si="13"/>
        <v>107.88003528374007</v>
      </c>
      <c r="P41" s="12" t="str">
        <f t="shared" si="14"/>
        <v/>
      </c>
      <c r="Q41" s="13">
        <f t="shared" si="15"/>
        <v>2.2325707201018459E-3</v>
      </c>
      <c r="R41" s="49">
        <f t="shared" si="16"/>
        <v>1</v>
      </c>
      <c r="T41" s="50"/>
      <c r="U41" s="51"/>
      <c r="V41" s="46"/>
    </row>
    <row r="42" spans="1:26" x14ac:dyDescent="0.35">
      <c r="A42" s="64" t="s">
        <v>77</v>
      </c>
      <c r="B42" s="14">
        <v>-6.2687380757708855E-4</v>
      </c>
      <c r="C42" s="12">
        <v>-1.1374715632109789E-3</v>
      </c>
      <c r="D42" s="12">
        <v>-8.0651936486600961E-3</v>
      </c>
      <c r="E42" s="12">
        <v>-5.246784603240906E-3</v>
      </c>
      <c r="F42" s="12">
        <v>3.2224651858672182E-3</v>
      </c>
      <c r="G42" s="12">
        <v>5.8053192925611175E-3</v>
      </c>
      <c r="H42" s="12">
        <v>-1.0134170710819235E-2</v>
      </c>
      <c r="I42" s="12">
        <v>6.4579416332870565E-3</v>
      </c>
      <c r="J42" s="12">
        <v>5.963815054724142E-2</v>
      </c>
      <c r="K42" s="12">
        <v>-7.9728921666334385E-3</v>
      </c>
      <c r="L42" s="12">
        <v>4.3710818427560305E-3</v>
      </c>
      <c r="M42" s="13">
        <f t="shared" si="12"/>
        <v>-2.7407022391987418E-3</v>
      </c>
      <c r="N42" s="32">
        <f t="shared" si="17"/>
        <v>110.87590372588502</v>
      </c>
      <c r="O42" s="32">
        <f t="shared" si="13"/>
        <v>107.8124081152602</v>
      </c>
      <c r="P42" s="12">
        <f t="shared" si="14"/>
        <v>-2.7407022391987418E-3</v>
      </c>
      <c r="Q42" s="13">
        <f t="shared" si="15"/>
        <v>-2.1138284316216532E-3</v>
      </c>
      <c r="R42" s="49" t="str">
        <f t="shared" si="16"/>
        <v/>
      </c>
      <c r="T42" s="7" t="s">
        <v>53</v>
      </c>
      <c r="U42" s="13">
        <v>0.14254179669714218</v>
      </c>
      <c r="V42" s="13">
        <v>0.12805336746192478</v>
      </c>
    </row>
    <row r="43" spans="1:26" x14ac:dyDescent="0.35">
      <c r="A43" s="64" t="s">
        <v>77</v>
      </c>
      <c r="B43" s="14">
        <v>8.8362833065154245E-3</v>
      </c>
      <c r="C43" s="12">
        <v>-5.6124938994631668E-3</v>
      </c>
      <c r="D43" s="12">
        <v>2.9050563225205384E-2</v>
      </c>
      <c r="E43" s="12">
        <v>5.6011949215828416E-4</v>
      </c>
      <c r="F43" s="12">
        <v>3.4702305839164893E-3</v>
      </c>
      <c r="G43" s="12">
        <v>8.5234899328858749E-3</v>
      </c>
      <c r="H43" s="12">
        <v>2.2254265801489925E-2</v>
      </c>
      <c r="I43" s="12">
        <v>1.5594541910331383E-2</v>
      </c>
      <c r="J43" s="12">
        <v>-1.8929173693085888E-2</v>
      </c>
      <c r="K43" s="12">
        <v>-2.6120152702431287E-3</v>
      </c>
      <c r="L43" s="12">
        <v>4.3406058523735913E-2</v>
      </c>
      <c r="M43" s="13">
        <f t="shared" si="12"/>
        <v>1.7858715782905842E-2</v>
      </c>
      <c r="N43" s="32">
        <f t="shared" si="17"/>
        <v>112.85600497769843</v>
      </c>
      <c r="O43" s="32">
        <f t="shared" si="13"/>
        <v>108.7650690973243</v>
      </c>
      <c r="P43" s="12" t="str">
        <f t="shared" si="14"/>
        <v/>
      </c>
      <c r="Q43" s="13">
        <f t="shared" si="15"/>
        <v>9.0224324763904171E-3</v>
      </c>
      <c r="R43" s="49">
        <f t="shared" si="16"/>
        <v>1</v>
      </c>
      <c r="T43" s="7" t="s">
        <v>54</v>
      </c>
      <c r="U43" s="13">
        <v>7.9000000000000001E-2</v>
      </c>
      <c r="V43" s="2"/>
    </row>
    <row r="44" spans="1:26" x14ac:dyDescent="0.35">
      <c r="A44" s="64" t="s">
        <v>77</v>
      </c>
      <c r="B44" s="14">
        <v>-1.9193857965450478E-3</v>
      </c>
      <c r="C44" s="12">
        <v>1.2269938650306678E-2</v>
      </c>
      <c r="D44" s="12">
        <v>-1.9670781893004086E-2</v>
      </c>
      <c r="E44" s="12">
        <v>-3.2655346146681641E-4</v>
      </c>
      <c r="F44" s="12">
        <v>-5.8018234302208427E-3</v>
      </c>
      <c r="G44" s="12">
        <v>-8.6510946962136126E-3</v>
      </c>
      <c r="H44" s="12">
        <v>-1.4105698702271408E-4</v>
      </c>
      <c r="I44" s="12">
        <v>-8.7971849008318115E-3</v>
      </c>
      <c r="J44" s="12">
        <v>2.3462678870697307E-2</v>
      </c>
      <c r="K44" s="12">
        <v>-5.4391619661563473E-3</v>
      </c>
      <c r="L44" s="12">
        <v>-1.9208605455243943E-2</v>
      </c>
      <c r="M44" s="13">
        <f t="shared" si="12"/>
        <v>-1.1626377477921352E-2</v>
      </c>
      <c r="N44" s="32">
        <f t="shared" si="17"/>
        <v>111.54389846317754</v>
      </c>
      <c r="O44" s="32">
        <f t="shared" si="13"/>
        <v>108.55630696853865</v>
      </c>
      <c r="P44" s="12">
        <f t="shared" si="14"/>
        <v>-1.1626377477921352E-2</v>
      </c>
      <c r="Q44" s="13">
        <f t="shared" si="15"/>
        <v>-9.7069916813763042E-3</v>
      </c>
      <c r="R44" s="49" t="str">
        <f t="shared" si="16"/>
        <v/>
      </c>
      <c r="T44" s="7" t="s">
        <v>55</v>
      </c>
      <c r="U44" s="19">
        <v>0.24379999999999999</v>
      </c>
      <c r="V44" s="54">
        <v>0.17269999999999999</v>
      </c>
    </row>
    <row r="45" spans="1:26" x14ac:dyDescent="0.35">
      <c r="A45" s="64">
        <v>6.23</v>
      </c>
      <c r="B45" s="14">
        <v>2.7627302275188281E-3</v>
      </c>
      <c r="C45" s="12">
        <v>5.0909090909090349E-3</v>
      </c>
      <c r="D45" s="12">
        <v>8.0597766770211798E-3</v>
      </c>
      <c r="E45" s="12">
        <v>8.0265061365438761E-3</v>
      </c>
      <c r="F45" s="12">
        <v>0</v>
      </c>
      <c r="G45" s="12">
        <v>1.7318923273142328E-2</v>
      </c>
      <c r="H45" s="12">
        <v>5.643075476133852E-4</v>
      </c>
      <c r="I45" s="12">
        <v>-3.388736485396171E-3</v>
      </c>
      <c r="J45" s="12">
        <v>-6.7178905823571666E-3</v>
      </c>
      <c r="K45" s="12">
        <v>9.1148470731214903E-3</v>
      </c>
      <c r="L45" s="12">
        <v>7.2743551004417206E-4</v>
      </c>
      <c r="M45" s="13">
        <f t="shared" si="12"/>
        <v>4.8393449686777099E-3</v>
      </c>
      <c r="N45" s="32">
        <f t="shared" si="17"/>
        <v>112.08369786699201</v>
      </c>
      <c r="O45" s="32">
        <f t="shared" si="13"/>
        <v>108.85621875918845</v>
      </c>
      <c r="P45" s="12" t="str">
        <f t="shared" si="14"/>
        <v/>
      </c>
      <c r="Q45" s="13">
        <f t="shared" si="15"/>
        <v>2.0766147411588817E-3</v>
      </c>
      <c r="R45" s="49">
        <f t="shared" si="16"/>
        <v>1</v>
      </c>
    </row>
    <row r="46" spans="1:26" x14ac:dyDescent="0.35">
      <c r="A46" s="64" t="s">
        <v>77</v>
      </c>
      <c r="B46" s="14">
        <v>-7.9412241369994918E-3</v>
      </c>
      <c r="C46" s="12">
        <v>-2.0903682264029499E-2</v>
      </c>
      <c r="D46" s="12">
        <v>8.6616140584658829E-3</v>
      </c>
      <c r="E46" s="12">
        <v>-1.9489838433405793E-2</v>
      </c>
      <c r="F46" s="12">
        <v>-9.9177830161558678E-3</v>
      </c>
      <c r="G46" s="12">
        <v>1.0227647641042337E-2</v>
      </c>
      <c r="H46" s="12">
        <v>-1.4992715138412382E-2</v>
      </c>
      <c r="I46" s="12">
        <v>-1.4815414507772018E-2</v>
      </c>
      <c r="J46" s="12">
        <v>-1.9064124783362169E-2</v>
      </c>
      <c r="K46" s="12">
        <v>-8.0289040545965529E-3</v>
      </c>
      <c r="L46" s="12">
        <v>6.8776560053678271E-3</v>
      </c>
      <c r="M46" s="13">
        <f t="shared" si="12"/>
        <v>-3.8082479183445019E-3</v>
      </c>
      <c r="N46" s="32">
        <f t="shared" si="17"/>
        <v>111.65685535790968</v>
      </c>
      <c r="O46" s="32">
        <f t="shared" si="13"/>
        <v>107.99176712731548</v>
      </c>
      <c r="P46" s="12">
        <f t="shared" si="14"/>
        <v>-3.8082479183445019E-3</v>
      </c>
      <c r="Q46" s="13">
        <f t="shared" si="15"/>
        <v>4.13297621865499E-3</v>
      </c>
      <c r="R46" s="49" t="str">
        <f t="shared" si="16"/>
        <v/>
      </c>
    </row>
    <row r="47" spans="1:26" x14ac:dyDescent="0.35">
      <c r="A47" s="64" t="s">
        <v>77</v>
      </c>
      <c r="B47" s="14">
        <v>-1.2796776301460255E-3</v>
      </c>
      <c r="C47" s="12">
        <v>1.1988832320578124E-2</v>
      </c>
      <c r="D47" s="12">
        <v>-1.444967385021878E-2</v>
      </c>
      <c r="E47" s="12">
        <v>-6.0434372049102958E-3</v>
      </c>
      <c r="F47" s="12">
        <v>-1.3820736912401044E-2</v>
      </c>
      <c r="G47" s="12">
        <v>-5.5519268451992287E-3</v>
      </c>
      <c r="H47" s="12">
        <v>-9.3997518847218631E-3</v>
      </c>
      <c r="I47" s="12">
        <v>1.2326403155560328E-3</v>
      </c>
      <c r="J47" s="12">
        <v>1.0212875980349923E-2</v>
      </c>
      <c r="K47" s="12">
        <v>-8.2962363415621798E-3</v>
      </c>
      <c r="L47" s="12">
        <v>-6.7751429999444168E-3</v>
      </c>
      <c r="M47" s="13">
        <f t="shared" si="12"/>
        <v>-7.5795166965117854E-3</v>
      </c>
      <c r="N47" s="32">
        <f t="shared" si="17"/>
        <v>110.8105503584444</v>
      </c>
      <c r="O47" s="32">
        <f t="shared" si="13"/>
        <v>107.85357247868272</v>
      </c>
      <c r="P47" s="12">
        <f t="shared" si="14"/>
        <v>-7.5795166965117854E-3</v>
      </c>
      <c r="Q47" s="13">
        <f t="shared" si="15"/>
        <v>-6.2998390663657599E-3</v>
      </c>
      <c r="R47" s="49" t="str">
        <f t="shared" si="16"/>
        <v/>
      </c>
    </row>
    <row r="48" spans="1:26" x14ac:dyDescent="0.35">
      <c r="A48" s="64">
        <v>6</v>
      </c>
      <c r="B48" s="14">
        <v>-1.2540552329544097E-3</v>
      </c>
      <c r="C48" s="12">
        <v>-6.7348263550794929E-3</v>
      </c>
      <c r="D48" s="12">
        <v>-5.5294906166220015E-3</v>
      </c>
      <c r="E48" s="12">
        <v>1.3015390461713849E-2</v>
      </c>
      <c r="F48" s="12">
        <v>-7.5960547622552221E-3</v>
      </c>
      <c r="G48" s="12">
        <v>4.5977011494251485E-3</v>
      </c>
      <c r="H48" s="12">
        <v>-6.5989114204518806E-3</v>
      </c>
      <c r="I48" s="12">
        <v>-1.3214051214707756E-2</v>
      </c>
      <c r="J48" s="12">
        <v>-1.7489229194215694E-2</v>
      </c>
      <c r="K48" s="12">
        <v>-2.040399918383784E-4</v>
      </c>
      <c r="L48" s="12">
        <v>2.4601621470505819E-3</v>
      </c>
      <c r="M48" s="13">
        <f t="shared" si="12"/>
        <v>-1.8817690184514985E-3</v>
      </c>
      <c r="N48" s="32">
        <f t="shared" si="17"/>
        <v>110.60203049786232</v>
      </c>
      <c r="O48" s="32">
        <f t="shared" si="13"/>
        <v>107.718318141723</v>
      </c>
      <c r="P48" s="12">
        <f t="shared" si="14"/>
        <v>-1.8817690184514985E-3</v>
      </c>
      <c r="Q48" s="13">
        <f t="shared" si="15"/>
        <v>-6.2771378549708883E-4</v>
      </c>
      <c r="R48" s="49" t="str">
        <f t="shared" si="16"/>
        <v/>
      </c>
    </row>
    <row r="49" spans="1:18" x14ac:dyDescent="0.35">
      <c r="A49" s="64" t="s">
        <v>77</v>
      </c>
      <c r="B49" s="14">
        <v>-4.3674082161867522E-3</v>
      </c>
      <c r="C49" s="12">
        <v>-5.1466383465402776E-3</v>
      </c>
      <c r="D49" s="12">
        <v>-5.9814658803707399E-3</v>
      </c>
      <c r="E49" s="12">
        <v>4.4077651692768782E-3</v>
      </c>
      <c r="F49" s="12">
        <v>-2.7887382442816078E-3</v>
      </c>
      <c r="G49" s="12">
        <v>-2.5367767244197426E-2</v>
      </c>
      <c r="H49" s="12">
        <v>4.8972071373156734E-3</v>
      </c>
      <c r="I49" s="12">
        <v>-2.3870914081344119E-2</v>
      </c>
      <c r="J49" s="12">
        <v>-7.4241305952329473E-3</v>
      </c>
      <c r="K49" s="12">
        <v>-9.1836734693878652E-3</v>
      </c>
      <c r="L49" s="12">
        <v>-6.9161693345974884E-3</v>
      </c>
      <c r="M49" s="13">
        <f t="shared" si="12"/>
        <v>-8.8583365006970182E-3</v>
      </c>
      <c r="N49" s="32">
        <f t="shared" si="17"/>
        <v>109.62228049405189</v>
      </c>
      <c r="O49" s="32">
        <f t="shared" si="13"/>
        <v>107.24786827403702</v>
      </c>
      <c r="P49" s="12">
        <f t="shared" si="14"/>
        <v>-8.8583365006970182E-3</v>
      </c>
      <c r="Q49" s="13">
        <f t="shared" si="15"/>
        <v>-4.490928284510266E-3</v>
      </c>
      <c r="R49" s="49" t="str">
        <f t="shared" si="16"/>
        <v/>
      </c>
    </row>
    <row r="50" spans="1:18" x14ac:dyDescent="0.35">
      <c r="A50" s="64" t="s">
        <v>77</v>
      </c>
      <c r="B50" s="14">
        <v>1.2912954078135641E-2</v>
      </c>
      <c r="C50" s="12">
        <v>5.0090326818853725E-2</v>
      </c>
      <c r="D50" s="12">
        <v>1.9408424442749483E-2</v>
      </c>
      <c r="E50" s="12">
        <v>-3.2679738562091387E-4</v>
      </c>
      <c r="F50" s="12">
        <v>1.0531639544224092E-2</v>
      </c>
      <c r="G50" s="12">
        <v>1.0062386798148415E-2</v>
      </c>
      <c r="H50" s="12">
        <v>5.3558504221955516E-3</v>
      </c>
      <c r="I50" s="12">
        <v>1.4826175869120606E-2</v>
      </c>
      <c r="J50" s="12">
        <v>3.8491820488146811E-3</v>
      </c>
      <c r="K50" s="12">
        <v>-4.1194644696185279E-4</v>
      </c>
      <c r="L50" s="12">
        <v>2.0724515585509584E-2</v>
      </c>
      <c r="M50" s="13">
        <f t="shared" si="12"/>
        <v>1.1573037215582303E-2</v>
      </c>
      <c r="N50" s="32">
        <f t="shared" si="17"/>
        <v>110.89094322586655</v>
      </c>
      <c r="O50" s="32">
        <f t="shared" si="13"/>
        <v>108.6327550720376</v>
      </c>
      <c r="P50" s="12" t="str">
        <f t="shared" si="14"/>
        <v/>
      </c>
      <c r="Q50" s="13">
        <f t="shared" si="15"/>
        <v>-1.3399168625533378E-3</v>
      </c>
      <c r="R50" s="49">
        <f t="shared" si="16"/>
        <v>1</v>
      </c>
    </row>
    <row r="51" spans="1:18" x14ac:dyDescent="0.35">
      <c r="A51" s="64" t="s">
        <v>77</v>
      </c>
      <c r="B51" s="14">
        <v>1.7863909489526097E-3</v>
      </c>
      <c r="C51" s="12">
        <v>-5.4738817641530879E-4</v>
      </c>
      <c r="D51" s="12">
        <v>-2.9930162953109019E-3</v>
      </c>
      <c r="E51" s="12">
        <v>2.4050810255452415E-2</v>
      </c>
      <c r="F51" s="12">
        <v>-9.7153119203940985E-4</v>
      </c>
      <c r="G51" s="12">
        <v>-5.9772863120143294E-3</v>
      </c>
      <c r="H51" s="12">
        <v>-4.319447110769925E-4</v>
      </c>
      <c r="I51" s="12">
        <v>-8.3963056255242918E-4</v>
      </c>
      <c r="J51" s="12">
        <v>-1.5816993464052298E-2</v>
      </c>
      <c r="K51" s="12">
        <v>-1.0302905419329322E-3</v>
      </c>
      <c r="L51" s="12">
        <v>-1.2325299878948037E-2</v>
      </c>
      <c r="M51" s="13">
        <f t="shared" si="12"/>
        <v>3.0152688598051279E-5</v>
      </c>
      <c r="N51" s="32">
        <f t="shared" si="17"/>
        <v>110.89428688594597</v>
      </c>
      <c r="O51" s="32">
        <f t="shared" si="13"/>
        <v>108.82681564245807</v>
      </c>
      <c r="P51" s="12" t="str">
        <f t="shared" si="14"/>
        <v/>
      </c>
      <c r="Q51" s="13">
        <f t="shared" si="15"/>
        <v>-1.7562382603545585E-3</v>
      </c>
      <c r="R51" s="49">
        <f t="shared" si="16"/>
        <v>1</v>
      </c>
    </row>
    <row r="52" spans="1:18" x14ac:dyDescent="0.35">
      <c r="A52" s="64" t="s">
        <v>77</v>
      </c>
      <c r="B52" s="14">
        <v>5.7548903058468603E-3</v>
      </c>
      <c r="C52" s="12">
        <v>6.9634613879976381E-3</v>
      </c>
      <c r="D52" s="12">
        <v>0</v>
      </c>
      <c r="E52" s="12">
        <v>6.3845311929955351E-4</v>
      </c>
      <c r="F52" s="12">
        <v>6.8662698178818538E-3</v>
      </c>
      <c r="G52" s="12">
        <v>2.6391394401015678E-2</v>
      </c>
      <c r="H52" s="12">
        <v>1.3972247563259321E-2</v>
      </c>
      <c r="I52" s="12">
        <v>-1.6806722689077791E-4</v>
      </c>
      <c r="J52" s="12">
        <v>-2.0498516845973369E-2</v>
      </c>
      <c r="K52" s="12">
        <v>4.537953795379579E-3</v>
      </c>
      <c r="L52" s="12">
        <v>-1.8384401114206472E-3</v>
      </c>
      <c r="M52" s="13">
        <f t="shared" si="12"/>
        <v>7.5902124295486209E-4</v>
      </c>
      <c r="N52" s="32">
        <f t="shared" si="17"/>
        <v>110.97845800541474</v>
      </c>
      <c r="O52" s="32">
        <f t="shared" si="13"/>
        <v>109.45310202881504</v>
      </c>
      <c r="P52" s="12" t="str">
        <f t="shared" si="14"/>
        <v/>
      </c>
      <c r="Q52" s="13">
        <f t="shared" si="15"/>
        <v>-4.995869062891998E-3</v>
      </c>
      <c r="R52" s="49">
        <f t="shared" si="16"/>
        <v>1</v>
      </c>
    </row>
    <row r="53" spans="1:18" x14ac:dyDescent="0.35">
      <c r="A53" s="64">
        <v>6</v>
      </c>
      <c r="B53" s="14">
        <v>-3.5191403626594342E-3</v>
      </c>
      <c r="C53" s="12">
        <v>-1.5850815850815825E-2</v>
      </c>
      <c r="D53" s="12">
        <v>2.4182788525684007E-3</v>
      </c>
      <c r="E53" s="12">
        <v>-3.7826998450459781E-3</v>
      </c>
      <c r="F53" s="12">
        <v>-9.6291743495185989E-3</v>
      </c>
      <c r="G53" s="12">
        <v>5.7935164692095587E-3</v>
      </c>
      <c r="H53" s="12">
        <v>6.155885974050701E-4</v>
      </c>
      <c r="I53" s="12">
        <v>-1.2355017650025224E-2</v>
      </c>
      <c r="J53" s="12">
        <v>-6.7347676731152051E-3</v>
      </c>
      <c r="K53" s="12">
        <v>-1.0266940451746365E-3</v>
      </c>
      <c r="L53" s="12">
        <v>9.9905118044316676E-3</v>
      </c>
      <c r="M53" s="13">
        <f t="shared" si="12"/>
        <v>-7.7037496868699942E-4</v>
      </c>
      <c r="N53" s="32">
        <f t="shared" si="17"/>
        <v>110.89296297930387</v>
      </c>
      <c r="O53" s="32">
        <f t="shared" si="13"/>
        <v>109.06792119964716</v>
      </c>
      <c r="P53" s="12">
        <f t="shared" si="14"/>
        <v>-7.7037496868699942E-4</v>
      </c>
      <c r="Q53" s="13">
        <f t="shared" si="15"/>
        <v>2.7487653939724348E-3</v>
      </c>
      <c r="R53" s="49" t="str">
        <f t="shared" si="16"/>
        <v/>
      </c>
    </row>
    <row r="54" spans="1:18" x14ac:dyDescent="0.35">
      <c r="A54" s="64" t="s">
        <v>77</v>
      </c>
      <c r="B54" s="14">
        <v>-3.9089879764921953E-3</v>
      </c>
      <c r="C54" s="12">
        <v>1.2395389231012022E-2</v>
      </c>
      <c r="D54" s="12">
        <v>-1.9549122369187155E-2</v>
      </c>
      <c r="E54" s="12">
        <v>1.8299098769385624E-2</v>
      </c>
      <c r="F54" s="12">
        <v>-6.7970920267155233E-3</v>
      </c>
      <c r="G54" s="12">
        <v>-9.6433887774253213E-3</v>
      </c>
      <c r="H54" s="12">
        <v>-1.0884482513842331E-2</v>
      </c>
      <c r="I54" s="12">
        <v>-9.3609054548550175E-3</v>
      </c>
      <c r="J54" s="12">
        <v>-2.0022753128554616E-3</v>
      </c>
      <c r="K54" s="12">
        <v>2.0554984583753821E-4</v>
      </c>
      <c r="L54" s="12">
        <v>-4.4208664898320871E-3</v>
      </c>
      <c r="M54" s="13">
        <f t="shared" si="12"/>
        <v>-5.3348667862670555E-3</v>
      </c>
      <c r="N54" s="32">
        <f t="shared" si="17"/>
        <v>110.30136379427485</v>
      </c>
      <c r="O54" s="32">
        <f t="shared" si="13"/>
        <v>108.64157600705674</v>
      </c>
      <c r="P54" s="12">
        <f t="shared" si="14"/>
        <v>-5.3348667862670555E-3</v>
      </c>
      <c r="Q54" s="13">
        <f t="shared" si="15"/>
        <v>-1.4258788097748602E-3</v>
      </c>
      <c r="R54" s="49" t="str">
        <f t="shared" si="16"/>
        <v/>
      </c>
    </row>
    <row r="55" spans="1:18" x14ac:dyDescent="0.35">
      <c r="A55" s="64" t="s">
        <v>77</v>
      </c>
      <c r="B55" s="14">
        <v>-2.0568892256894733E-3</v>
      </c>
      <c r="C55" s="12">
        <v>2.8464477891289031E-2</v>
      </c>
      <c r="D55" s="12">
        <v>1.7817749872730548E-3</v>
      </c>
      <c r="E55" s="12">
        <v>6.0649624870838803E-3</v>
      </c>
      <c r="F55" s="12">
        <v>-3.1837657700547473E-3</v>
      </c>
      <c r="G55" s="12">
        <v>-1.9605280355510235E-3</v>
      </c>
      <c r="H55" s="12">
        <v>-1.516673843356775E-2</v>
      </c>
      <c r="I55" s="12">
        <v>-1.5978008762133844E-2</v>
      </c>
      <c r="J55" s="12">
        <v>-2.416670466462989E-3</v>
      </c>
      <c r="K55" s="12">
        <v>-1.2124948623098986E-2</v>
      </c>
      <c r="L55" s="12">
        <v>-1.9871225577264617E-2</v>
      </c>
      <c r="M55" s="13">
        <f t="shared" si="12"/>
        <v>-7.8387235551748129E-3</v>
      </c>
      <c r="N55" s="32">
        <f t="shared" si="17"/>
        <v>109.43674189573277</v>
      </c>
      <c r="O55" s="32">
        <f t="shared" si="13"/>
        <v>108.4181123199059</v>
      </c>
      <c r="P55" s="12">
        <f t="shared" si="14"/>
        <v>-7.8387235551748129E-3</v>
      </c>
      <c r="Q55" s="13">
        <f t="shared" si="15"/>
        <v>-5.7818343294853396E-3</v>
      </c>
      <c r="R55" s="49" t="str">
        <f t="shared" si="16"/>
        <v/>
      </c>
    </row>
    <row r="56" spans="1:18" x14ac:dyDescent="0.35">
      <c r="A56" s="64" t="s">
        <v>77</v>
      </c>
      <c r="B56" s="14">
        <v>7.3224310471076137E-4</v>
      </c>
      <c r="C56" s="12">
        <v>-6.9760388231724368E-3</v>
      </c>
      <c r="D56" s="12">
        <v>2.2867790293894519E-3</v>
      </c>
      <c r="E56" s="12">
        <v>-1.3039206930427705E-2</v>
      </c>
      <c r="F56" s="12">
        <v>7.7012626488761615E-3</v>
      </c>
      <c r="G56" s="12">
        <v>-5.1073860660031389E-3</v>
      </c>
      <c r="H56" s="12">
        <v>-2.623396813058676E-3</v>
      </c>
      <c r="I56" s="12">
        <v>2.0951549541684988E-2</v>
      </c>
      <c r="J56" s="12">
        <v>4.1594295639455492E-3</v>
      </c>
      <c r="K56" s="12">
        <v>-6.8649885583523806E-3</v>
      </c>
      <c r="L56" s="12">
        <v>1.0420206138860522E-2</v>
      </c>
      <c r="M56" s="13">
        <f t="shared" si="12"/>
        <v>3.0873756900579468E-3</v>
      </c>
      <c r="N56" s="32">
        <f t="shared" si="17"/>
        <v>109.7746142322608</v>
      </c>
      <c r="O56" s="32">
        <f t="shared" si="13"/>
        <v>108.49750073507791</v>
      </c>
      <c r="P56" s="12" t="str">
        <f t="shared" si="14"/>
        <v/>
      </c>
      <c r="Q56" s="13">
        <f t="shared" si="15"/>
        <v>2.3551325853471855E-3</v>
      </c>
      <c r="R56" s="49">
        <f t="shared" si="16"/>
        <v>1</v>
      </c>
    </row>
    <row r="57" spans="1:18" x14ac:dyDescent="0.35">
      <c r="A57" s="64" t="s">
        <v>77</v>
      </c>
      <c r="B57" s="14">
        <v>3.5501355013549674E-3</v>
      </c>
      <c r="C57" s="12">
        <v>7.7122785583383369E-3</v>
      </c>
      <c r="D57" s="12">
        <v>6.4221733986817853E-3</v>
      </c>
      <c r="E57" s="12">
        <v>7.8273459415436619E-3</v>
      </c>
      <c r="F57" s="12">
        <v>9.4789537604789142E-3</v>
      </c>
      <c r="G57" s="12">
        <v>3.4882190338292318E-3</v>
      </c>
      <c r="H57" s="12">
        <v>1.6561130053579953E-2</v>
      </c>
      <c r="I57" s="12">
        <v>3.4202650705428272E-3</v>
      </c>
      <c r="J57" s="12">
        <v>-1.156174609677274E-2</v>
      </c>
      <c r="K57" s="12">
        <v>1.8852115626308841E-3</v>
      </c>
      <c r="L57" s="12">
        <v>6.3894182266563959E-3</v>
      </c>
      <c r="M57" s="13">
        <f t="shared" si="12"/>
        <v>5.0185504682117776E-3</v>
      </c>
      <c r="N57" s="32">
        <f t="shared" si="17"/>
        <v>110.32552367391389</v>
      </c>
      <c r="O57" s="32">
        <f t="shared" si="13"/>
        <v>108.8826815642458</v>
      </c>
      <c r="P57" s="12" t="str">
        <f t="shared" si="14"/>
        <v/>
      </c>
      <c r="Q57" s="13">
        <f t="shared" si="15"/>
        <v>1.4684149668568102E-3</v>
      </c>
      <c r="R57" s="49">
        <f t="shared" si="16"/>
        <v>1</v>
      </c>
    </row>
    <row r="58" spans="1:18" x14ac:dyDescent="0.35">
      <c r="A58" s="64">
        <v>5.84</v>
      </c>
      <c r="B58" s="14">
        <v>8.7224217547461347E-3</v>
      </c>
      <c r="C58" s="12">
        <v>3.5765704326740977E-2</v>
      </c>
      <c r="D58" s="12">
        <v>1.007556675062915E-3</v>
      </c>
      <c r="E58" s="12">
        <v>9.921436588103294E-3</v>
      </c>
      <c r="F58" s="12">
        <v>1.5141289357081922E-2</v>
      </c>
      <c r="G58" s="12">
        <v>4.7222404407425422E-3</v>
      </c>
      <c r="H58" s="12">
        <v>1.8830857690464775E-2</v>
      </c>
      <c r="I58" s="12">
        <v>8.6067319982956469E-3</v>
      </c>
      <c r="J58" s="12">
        <v>-4.8814183743955963E-3</v>
      </c>
      <c r="K58" s="12">
        <v>1.212628057704368E-2</v>
      </c>
      <c r="L58" s="12">
        <v>-6.6273112051681293E-3</v>
      </c>
      <c r="M58" s="13">
        <f t="shared" si="12"/>
        <v>4.8982455807254563E-3</v>
      </c>
      <c r="N58" s="32">
        <f t="shared" si="17"/>
        <v>110.86592518269086</v>
      </c>
      <c r="O58" s="32">
        <f t="shared" si="13"/>
        <v>109.83240223463687</v>
      </c>
      <c r="P58" s="12" t="str">
        <f t="shared" si="14"/>
        <v/>
      </c>
      <c r="Q58" s="13">
        <f t="shared" si="15"/>
        <v>-3.8241761740206784E-3</v>
      </c>
      <c r="R58" s="49">
        <f t="shared" si="16"/>
        <v>1</v>
      </c>
    </row>
    <row r="59" spans="1:18" x14ac:dyDescent="0.35">
      <c r="A59" s="64" t="s">
        <v>77</v>
      </c>
      <c r="B59" s="14">
        <v>-2.248755153397286E-3</v>
      </c>
      <c r="C59" s="12">
        <v>-1.3314799912210074E-2</v>
      </c>
      <c r="D59" s="12">
        <v>-8.136218755242397E-3</v>
      </c>
      <c r="E59" s="12">
        <v>-3.6006401137980149E-3</v>
      </c>
      <c r="F59" s="12">
        <v>4.0468275762395312E-3</v>
      </c>
      <c r="G59" s="12">
        <v>6.2014491807558247E-3</v>
      </c>
      <c r="H59" s="12">
        <v>8.1832290833843135E-3</v>
      </c>
      <c r="I59" s="12">
        <v>-1.8587360594795044E-3</v>
      </c>
      <c r="J59" s="12">
        <v>7.4043222731257075E-4</v>
      </c>
      <c r="K59" s="12">
        <v>-6.4036356124766991E-3</v>
      </c>
      <c r="L59" s="12">
        <v>-9.6428771654426537E-3</v>
      </c>
      <c r="M59" s="13">
        <f t="shared" si="12"/>
        <v>-6.1660130032426212E-3</v>
      </c>
      <c r="N59" s="32">
        <f t="shared" si="17"/>
        <v>110.18232444639787</v>
      </c>
      <c r="O59" s="32">
        <f t="shared" si="13"/>
        <v>109.58541605410173</v>
      </c>
      <c r="P59" s="12">
        <f t="shared" si="14"/>
        <v>-6.1660130032426212E-3</v>
      </c>
      <c r="Q59" s="13">
        <f t="shared" si="15"/>
        <v>-3.9172578498453351E-3</v>
      </c>
      <c r="R59" s="49" t="str">
        <f t="shared" si="16"/>
        <v/>
      </c>
    </row>
    <row r="60" spans="1:18" x14ac:dyDescent="0.35">
      <c r="A60" s="64" t="s">
        <v>77</v>
      </c>
      <c r="B60" s="14">
        <v>1.3415615776763978E-3</v>
      </c>
      <c r="C60" s="12">
        <v>-8.5267294431675689E-3</v>
      </c>
      <c r="D60" s="12">
        <v>4.3974630021141881E-3</v>
      </c>
      <c r="E60" s="12">
        <v>-1.1019406647334362E-2</v>
      </c>
      <c r="F60" s="12">
        <v>-6.7942996977112813E-3</v>
      </c>
      <c r="G60" s="12">
        <v>1.2391332554820389E-2</v>
      </c>
      <c r="H60" s="12">
        <v>1.8612679012921518E-2</v>
      </c>
      <c r="I60" s="12">
        <v>1.0919248349416044E-2</v>
      </c>
      <c r="J60" s="12">
        <v>1.9421965317918399E-3</v>
      </c>
      <c r="K60" s="12">
        <v>-8.3160083160083165E-4</v>
      </c>
      <c r="L60" s="12">
        <v>1.919048966883663E-2</v>
      </c>
      <c r="M60" s="13">
        <f t="shared" si="12"/>
        <v>4.8581350149979746E-3</v>
      </c>
      <c r="N60" s="32">
        <f t="shared" si="17"/>
        <v>110.71760505482477</v>
      </c>
      <c r="O60" s="32">
        <f t="shared" si="13"/>
        <v>109.73243163775359</v>
      </c>
      <c r="P60" s="12" t="str">
        <f t="shared" si="14"/>
        <v/>
      </c>
      <c r="Q60" s="13">
        <f t="shared" si="15"/>
        <v>3.5165734373215768E-3</v>
      </c>
      <c r="R60" s="49">
        <f t="shared" si="16"/>
        <v>1</v>
      </c>
    </row>
    <row r="61" spans="1:18" x14ac:dyDescent="0.35">
      <c r="A61" s="64" t="s">
        <v>77</v>
      </c>
      <c r="B61" s="14">
        <v>6.4576634512325537E-3</v>
      </c>
      <c r="C61" s="12">
        <v>-7.7026622793897603E-3</v>
      </c>
      <c r="D61" s="12">
        <v>1.2376862844152514E-2</v>
      </c>
      <c r="E61" s="12">
        <v>3.3381450739804475E-3</v>
      </c>
      <c r="F61" s="12">
        <v>1.6493231687874976E-2</v>
      </c>
      <c r="G61" s="12">
        <v>8.5229093239345133E-3</v>
      </c>
      <c r="H61" s="12">
        <v>1.694449532881448E-3</v>
      </c>
      <c r="I61" s="12">
        <v>1.2392196265594846E-2</v>
      </c>
      <c r="J61" s="12">
        <v>-1.2045968523561101E-2</v>
      </c>
      <c r="K61" s="12">
        <v>-2.0807324178118147E-4</v>
      </c>
      <c r="L61" s="12">
        <v>1.0997556098644834E-2</v>
      </c>
      <c r="M61" s="13">
        <f t="shared" si="12"/>
        <v>8.0732690273696769E-3</v>
      </c>
      <c r="N61" s="32">
        <f t="shared" si="17"/>
        <v>111.61145806649844</v>
      </c>
      <c r="O61" s="32">
        <f t="shared" si="13"/>
        <v>110.44104675095559</v>
      </c>
      <c r="P61" s="12" t="str">
        <f t="shared" si="14"/>
        <v/>
      </c>
      <c r="Q61" s="13">
        <f t="shared" si="15"/>
        <v>1.6156055761371232E-3</v>
      </c>
      <c r="R61" s="49">
        <f t="shared" si="16"/>
        <v>1</v>
      </c>
    </row>
    <row r="62" spans="1:18" x14ac:dyDescent="0.35">
      <c r="A62" s="64">
        <v>5.7</v>
      </c>
      <c r="B62" s="14">
        <v>-1.4749341071856437E-2</v>
      </c>
      <c r="C62" s="12">
        <v>-2.471927048006628E-2</v>
      </c>
      <c r="D62" s="12">
        <v>-1.5469061876247525E-2</v>
      </c>
      <c r="E62" s="12">
        <v>-2.1266073194856516E-2</v>
      </c>
      <c r="F62" s="12">
        <v>-3.3648910687806843E-3</v>
      </c>
      <c r="G62" s="12">
        <v>-5.5915618248824073E-3</v>
      </c>
      <c r="H62" s="12">
        <v>-4.4346911717643156E-3</v>
      </c>
      <c r="I62" s="12">
        <v>-2.373666363410798E-2</v>
      </c>
      <c r="J62" s="12">
        <v>-5.2975801177239989E-2</v>
      </c>
      <c r="K62" s="12">
        <v>1.6441207075962749E-2</v>
      </c>
      <c r="L62" s="12">
        <v>7.1420722997461716E-4</v>
      </c>
      <c r="M62" s="13">
        <f t="shared" si="12"/>
        <v>-7.9723403063311112E-3</v>
      </c>
      <c r="N62" s="32">
        <f t="shared" si="17"/>
        <v>110.72165354070651</v>
      </c>
      <c r="O62" s="32">
        <f t="shared" si="13"/>
        <v>108.81211408409291</v>
      </c>
      <c r="P62" s="12">
        <f t="shared" si="14"/>
        <v>-7.9723403063311112E-3</v>
      </c>
      <c r="Q62" s="13">
        <f t="shared" si="15"/>
        <v>6.7770007655253255E-3</v>
      </c>
      <c r="R62" s="49" t="str">
        <f t="shared" si="16"/>
        <v/>
      </c>
    </row>
    <row r="63" spans="1:18" x14ac:dyDescent="0.35">
      <c r="A63" s="64" t="s">
        <v>77</v>
      </c>
      <c r="B63" s="14">
        <v>7.0797416704948546E-3</v>
      </c>
      <c r="C63" s="12">
        <v>1.2363804960976665E-2</v>
      </c>
      <c r="D63" s="12">
        <v>1.7739483020780655E-2</v>
      </c>
      <c r="E63" s="12">
        <v>9.6467453718585006E-4</v>
      </c>
      <c r="F63" s="12">
        <v>-1.3447782546494924E-2</v>
      </c>
      <c r="G63" s="12">
        <v>1.1757188498402682E-2</v>
      </c>
      <c r="H63" s="12">
        <v>-1.4924687729610531E-2</v>
      </c>
      <c r="I63" s="12">
        <v>5.3371738393763746E-3</v>
      </c>
      <c r="J63" s="12">
        <v>4.3952249408050426E-2</v>
      </c>
      <c r="K63" s="12">
        <v>-5.3235053235054508E-3</v>
      </c>
      <c r="L63" s="12">
        <v>8.1800713697501859E-3</v>
      </c>
      <c r="M63" s="13">
        <f t="shared" si="12"/>
        <v>6.2336980934130544E-3</v>
      </c>
      <c r="N63" s="32">
        <f t="shared" si="17"/>
        <v>111.41185890128276</v>
      </c>
      <c r="O63" s="32">
        <f t="shared" si="13"/>
        <v>109.5824757424287</v>
      </c>
      <c r="P63" s="12" t="str">
        <f t="shared" si="14"/>
        <v/>
      </c>
      <c r="Q63" s="13">
        <f t="shared" si="15"/>
        <v>-8.460435770818002E-4</v>
      </c>
      <c r="R63" s="49">
        <f t="shared" si="16"/>
        <v>1</v>
      </c>
    </row>
    <row r="64" spans="1:18" x14ac:dyDescent="0.35">
      <c r="A64" s="64" t="s">
        <v>77</v>
      </c>
      <c r="B64" s="14">
        <v>5.6883737154203029E-3</v>
      </c>
      <c r="C64" s="12">
        <v>-3.3661552553240215E-2</v>
      </c>
      <c r="D64" s="12">
        <v>2.4983399734395784E-2</v>
      </c>
      <c r="E64" s="12">
        <v>-2.5929325378614032E-2</v>
      </c>
      <c r="F64" s="12">
        <v>4.1966357308584668E-2</v>
      </c>
      <c r="G64" s="12">
        <v>9.4101300997853077E-3</v>
      </c>
      <c r="H64" s="12">
        <v>-8.8107780523052348E-3</v>
      </c>
      <c r="I64" s="12">
        <v>3.6993342883626879E-2</v>
      </c>
      <c r="J64" s="12">
        <v>-2.8351367953503015E-3</v>
      </c>
      <c r="K64" s="12">
        <v>6.3812268423220075E-3</v>
      </c>
      <c r="L64" s="12">
        <v>5.5652363319538489E-2</v>
      </c>
      <c r="M64" s="13">
        <f t="shared" si="12"/>
        <v>2.1278054925057539E-2</v>
      </c>
      <c r="N64" s="32">
        <f t="shared" si="17"/>
        <v>113.782486554287</v>
      </c>
      <c r="O64" s="32">
        <f t="shared" si="13"/>
        <v>110.20582181711261</v>
      </c>
      <c r="P64" s="12" t="str">
        <f t="shared" si="14"/>
        <v/>
      </c>
      <c r="Q64" s="13">
        <f t="shared" si="15"/>
        <v>1.5589681209637236E-2</v>
      </c>
      <c r="R64" s="49">
        <f t="shared" si="16"/>
        <v>1</v>
      </c>
    </row>
    <row r="65" spans="1:18" x14ac:dyDescent="0.35">
      <c r="A65" s="64" t="s">
        <v>77</v>
      </c>
      <c r="B65" s="14">
        <v>1.4860862837170918E-2</v>
      </c>
      <c r="C65" s="12">
        <v>3.4123222748815074E-2</v>
      </c>
      <c r="D65" s="12">
        <v>-2.267390072070663E-3</v>
      </c>
      <c r="E65" s="12">
        <v>2.8457008244993975E-2</v>
      </c>
      <c r="F65" s="12">
        <v>1.60325103682466E-2</v>
      </c>
      <c r="G65" s="12">
        <v>3.3785897516109831E-3</v>
      </c>
      <c r="H65" s="12">
        <v>5.5968394318501868E-3</v>
      </c>
      <c r="I65" s="12">
        <v>-1.1376564277588264E-2</v>
      </c>
      <c r="J65" s="12">
        <v>7.9609534189453157E-3</v>
      </c>
      <c r="K65" s="12">
        <v>-2.0454080589071832E-4</v>
      </c>
      <c r="L65" s="12">
        <v>1.908593830599381E-3</v>
      </c>
      <c r="M65" s="13">
        <f t="shared" si="12"/>
        <v>1.4191494976082619E-3</v>
      </c>
      <c r="N65" s="32">
        <f t="shared" si="17"/>
        <v>113.94396091291715</v>
      </c>
      <c r="O65" s="32">
        <f t="shared" si="13"/>
        <v>111.84357541899442</v>
      </c>
      <c r="P65" s="12" t="str">
        <f t="shared" si="14"/>
        <v/>
      </c>
      <c r="Q65" s="13">
        <f t="shared" si="15"/>
        <v>-1.3441713339562657E-2</v>
      </c>
      <c r="R65" s="49">
        <f t="shared" si="16"/>
        <v>1</v>
      </c>
    </row>
    <row r="66" spans="1:18" x14ac:dyDescent="0.35">
      <c r="A66" s="64" t="s">
        <v>77</v>
      </c>
      <c r="B66" s="14">
        <v>5.494505494505475E-3</v>
      </c>
      <c r="C66" s="12">
        <v>8.6312251756799352E-3</v>
      </c>
      <c r="D66" s="12">
        <v>-3.5711387062737909E-3</v>
      </c>
      <c r="E66" s="12">
        <v>6.092812313894358E-3</v>
      </c>
      <c r="F66" s="12">
        <v>-4.4927814152261325E-3</v>
      </c>
      <c r="G66" s="12">
        <v>-2.057741472844099E-3</v>
      </c>
      <c r="H66" s="12">
        <v>7.6703615359430266E-3</v>
      </c>
      <c r="I66" s="12">
        <v>9.8635541673530724E-4</v>
      </c>
      <c r="J66" s="12">
        <v>-1.3210474354755308E-2</v>
      </c>
      <c r="K66" s="12">
        <v>0</v>
      </c>
      <c r="L66" s="12">
        <v>1.544560572517284E-4</v>
      </c>
      <c r="M66" s="13">
        <f t="shared" si="12"/>
        <v>8.1960595818652941E-5</v>
      </c>
      <c r="N66" s="32">
        <f t="shared" si="17"/>
        <v>113.95329982784351</v>
      </c>
      <c r="O66" s="32">
        <f t="shared" si="13"/>
        <v>112.45810055865923</v>
      </c>
      <c r="P66" s="12" t="str">
        <f t="shared" si="14"/>
        <v/>
      </c>
      <c r="Q66" s="13">
        <f t="shared" si="15"/>
        <v>-5.412544898686822E-3</v>
      </c>
      <c r="R66" s="49">
        <f t="shared" si="16"/>
        <v>1</v>
      </c>
    </row>
    <row r="67" spans="1:18" x14ac:dyDescent="0.35">
      <c r="A67" s="64">
        <v>5.39</v>
      </c>
      <c r="B67" s="14">
        <v>-6.5626062174810595E-3</v>
      </c>
      <c r="C67" s="12">
        <v>-2.3248769405528336E-2</v>
      </c>
      <c r="D67" s="12">
        <v>3.2581249490926112E-4</v>
      </c>
      <c r="E67" s="12">
        <v>-9.698570257717809E-3</v>
      </c>
      <c r="F67" s="12">
        <v>-7.2649219846445678E-3</v>
      </c>
      <c r="G67" s="12">
        <v>-4.1864533866532438E-3</v>
      </c>
      <c r="H67" s="12">
        <v>-1.1882107217451865E-2</v>
      </c>
      <c r="I67" s="12">
        <v>-5.9123008704220492E-3</v>
      </c>
      <c r="J67" s="12">
        <v>-1.4816579323487455E-2</v>
      </c>
      <c r="K67" s="12">
        <v>4.5008183306054494E-3</v>
      </c>
      <c r="L67" s="12">
        <v>-2.0590960568309669E-3</v>
      </c>
      <c r="M67" s="13">
        <f t="shared" si="12"/>
        <v>-1.7394889500989903E-3</v>
      </c>
      <c r="N67" s="32">
        <f t="shared" si="17"/>
        <v>113.75507932196565</v>
      </c>
      <c r="O67" s="32">
        <f t="shared" si="13"/>
        <v>111.72008232872686</v>
      </c>
      <c r="P67" s="12">
        <f t="shared" si="14"/>
        <v>-1.7394889500989903E-3</v>
      </c>
      <c r="Q67" s="13">
        <f t="shared" si="15"/>
        <v>4.8231172673820696E-3</v>
      </c>
      <c r="R67" s="49" t="str">
        <f t="shared" si="16"/>
        <v/>
      </c>
    </row>
    <row r="68" spans="1:18" x14ac:dyDescent="0.35">
      <c r="A68" s="64" t="s">
        <v>77</v>
      </c>
      <c r="B68" s="14">
        <v>4.2109695757441834E-4</v>
      </c>
      <c r="C68" s="12">
        <v>-1.3955652039073785E-3</v>
      </c>
      <c r="D68" s="12">
        <v>4.9670222294602162E-3</v>
      </c>
      <c r="E68" s="12">
        <v>-1.1770656122120582E-2</v>
      </c>
      <c r="F68" s="12">
        <v>-9.3693693693693847E-3</v>
      </c>
      <c r="G68" s="12">
        <v>-7.7806362552551578E-3</v>
      </c>
      <c r="H68" s="12">
        <v>-1.892996383108636E-2</v>
      </c>
      <c r="I68" s="12">
        <v>4.6258053857590742E-3</v>
      </c>
      <c r="J68" s="12">
        <v>7.8340345277818635E-3</v>
      </c>
      <c r="K68" s="12">
        <v>1.140529531568224E-2</v>
      </c>
      <c r="L68" s="12">
        <v>1.8982771071907489E-2</v>
      </c>
      <c r="M68" s="13">
        <f t="shared" si="12"/>
        <v>6.4013170952729424E-3</v>
      </c>
      <c r="N68" s="32">
        <f t="shared" si="17"/>
        <v>114.48326165590349</v>
      </c>
      <c r="O68" s="32">
        <f t="shared" si="13"/>
        <v>111.76712731549546</v>
      </c>
      <c r="P68" s="12" t="str">
        <f t="shared" si="14"/>
        <v/>
      </c>
      <c r="Q68" s="13">
        <f t="shared" si="15"/>
        <v>5.9802201376985241E-3</v>
      </c>
      <c r="R68" s="49">
        <f t="shared" si="16"/>
        <v>1</v>
      </c>
    </row>
    <row r="69" spans="1:18" x14ac:dyDescent="0.35">
      <c r="A69" s="64" t="s">
        <v>77</v>
      </c>
      <c r="B69" s="14">
        <v>2.2624434389140191E-3</v>
      </c>
      <c r="C69" s="12">
        <v>1.6226708074533969E-2</v>
      </c>
      <c r="D69" s="12">
        <v>-1.7744287797763714E-2</v>
      </c>
      <c r="E69" s="12">
        <v>6.5602754385147843E-3</v>
      </c>
      <c r="F69" s="12">
        <v>-6.5198533732545583E-3</v>
      </c>
      <c r="G69" s="12">
        <v>-1.5177385695314127E-3</v>
      </c>
      <c r="H69" s="12">
        <v>2.3460691372210185E-3</v>
      </c>
      <c r="I69" s="12">
        <v>6.4134188455846619E-3</v>
      </c>
      <c r="J69" s="12">
        <v>-5.7578810997552798E-3</v>
      </c>
      <c r="K69" s="12">
        <v>-1.0269834877164707E-2</v>
      </c>
      <c r="L69" s="12">
        <v>-8.3527386858358588E-3</v>
      </c>
      <c r="M69" s="13">
        <f t="shared" si="12"/>
        <v>-6.4457714415197412E-3</v>
      </c>
      <c r="N69" s="32">
        <f t="shared" si="17"/>
        <v>113.74532871738984</v>
      </c>
      <c r="O69" s="32">
        <f t="shared" si="13"/>
        <v>112.01999411937666</v>
      </c>
      <c r="P69" s="12">
        <f t="shared" si="14"/>
        <v>-6.4457714415197412E-3</v>
      </c>
      <c r="Q69" s="13">
        <f t="shared" si="15"/>
        <v>-8.7082148804337595E-3</v>
      </c>
      <c r="R69" s="49" t="str">
        <f t="shared" si="16"/>
        <v/>
      </c>
    </row>
    <row r="70" spans="1:18" x14ac:dyDescent="0.35">
      <c r="A70" s="64" t="s">
        <v>77</v>
      </c>
      <c r="B70" s="14">
        <v>-3.7534778728542939E-3</v>
      </c>
      <c r="C70" s="12">
        <v>-1.5127206050882358E-2</v>
      </c>
      <c r="D70" s="12">
        <v>1.6167615276746705E-2</v>
      </c>
      <c r="E70" s="12">
        <v>-1.5346214292317639E-2</v>
      </c>
      <c r="F70" s="12">
        <v>-1.2702794051374644E-2</v>
      </c>
      <c r="G70" s="12">
        <v>1.7480524415732557E-2</v>
      </c>
      <c r="H70" s="12">
        <v>-3.5777406257463507E-2</v>
      </c>
      <c r="I70" s="12">
        <v>1.1274509803921529E-2</v>
      </c>
      <c r="J70" s="12">
        <v>1.3030259157376545E-2</v>
      </c>
      <c r="K70" s="12">
        <v>-3.2553407934892142E-3</v>
      </c>
      <c r="L70" s="12">
        <v>7.7084077798765804E-3</v>
      </c>
      <c r="M70" s="13">
        <f t="shared" si="12"/>
        <v>5.061818513474519E-3</v>
      </c>
      <c r="N70" s="32">
        <f t="shared" si="17"/>
        <v>114.32108692811276</v>
      </c>
      <c r="O70" s="32">
        <f t="shared" si="13"/>
        <v>111.59952955013232</v>
      </c>
      <c r="P70" s="12" t="str">
        <f t="shared" si="14"/>
        <v/>
      </c>
      <c r="Q70" s="13">
        <f t="shared" si="15"/>
        <v>8.8152963863288129E-3</v>
      </c>
      <c r="R70" s="49">
        <f t="shared" si="16"/>
        <v>1</v>
      </c>
    </row>
    <row r="71" spans="1:18" x14ac:dyDescent="0.35">
      <c r="A71" s="64" t="s">
        <v>77</v>
      </c>
      <c r="B71" s="14">
        <v>-7.1927282307996387E-3</v>
      </c>
      <c r="C71" s="12">
        <v>-1.3730509657900791E-2</v>
      </c>
      <c r="D71" s="12">
        <v>-4.5458235246367273E-3</v>
      </c>
      <c r="E71" s="12">
        <v>-1.7369261102244682E-3</v>
      </c>
      <c r="F71" s="12">
        <v>2.1966736085357041E-3</v>
      </c>
      <c r="G71" s="12">
        <v>-2.1786492374726851E-3</v>
      </c>
      <c r="H71" s="12">
        <v>-1.3375606856237399E-3</v>
      </c>
      <c r="I71" s="12">
        <v>-1.3168524802068093E-2</v>
      </c>
      <c r="J71" s="12">
        <v>-2.6630460673622069E-2</v>
      </c>
      <c r="K71" s="12">
        <v>-1.5921616656460524E-2</v>
      </c>
      <c r="L71" s="12">
        <v>-1.408308004052683E-2</v>
      </c>
      <c r="M71" s="13">
        <f t="shared" si="12"/>
        <v>-9.9841171723738294E-3</v>
      </c>
      <c r="N71" s="32">
        <f t="shared" si="17"/>
        <v>113.17969180094936</v>
      </c>
      <c r="O71" s="32">
        <f t="shared" si="13"/>
        <v>110.79682446339312</v>
      </c>
      <c r="P71" s="12">
        <f t="shared" si="14"/>
        <v>-9.9841171723738294E-3</v>
      </c>
      <c r="Q71" s="13">
        <f t="shared" si="15"/>
        <v>-2.7913889415741907E-3</v>
      </c>
      <c r="R71" s="49" t="str">
        <f t="shared" si="16"/>
        <v/>
      </c>
    </row>
    <row r="72" spans="1:18" x14ac:dyDescent="0.35">
      <c r="A72" s="64">
        <v>5.39</v>
      </c>
      <c r="B72" s="14">
        <v>8.1471259487289061E-3</v>
      </c>
      <c r="C72" s="12">
        <v>5.4270882491740391E-3</v>
      </c>
      <c r="D72" s="12">
        <v>4.9743129739867609E-3</v>
      </c>
      <c r="E72" s="12">
        <v>1.7822713378791377E-2</v>
      </c>
      <c r="F72" s="12">
        <v>2.5334471961286908E-3</v>
      </c>
      <c r="G72" s="12">
        <v>1.5470991890205843E-2</v>
      </c>
      <c r="H72" s="12">
        <v>3.4723944640102644E-4</v>
      </c>
      <c r="I72" s="12">
        <v>3.7658616455177985E-2</v>
      </c>
      <c r="J72" s="12">
        <v>3.1274471417384486E-2</v>
      </c>
      <c r="K72" s="12">
        <v>-8.5044596556731467E-3</v>
      </c>
      <c r="L72" s="12">
        <v>-2.8774021169458708E-3</v>
      </c>
      <c r="M72" s="13">
        <f t="shared" si="12"/>
        <v>8.7006070753117958E-3</v>
      </c>
      <c r="N72" s="32">
        <f t="shared" si="17"/>
        <v>114.1644238282143</v>
      </c>
      <c r="O72" s="32">
        <f t="shared" si="13"/>
        <v>111.6995001470156</v>
      </c>
      <c r="P72" s="12" t="str">
        <f t="shared" si="14"/>
        <v/>
      </c>
      <c r="Q72" s="13">
        <f t="shared" si="15"/>
        <v>5.5348112658288977E-4</v>
      </c>
      <c r="R72" s="49">
        <f t="shared" si="16"/>
        <v>1</v>
      </c>
    </row>
    <row r="73" spans="1:18" x14ac:dyDescent="0.35">
      <c r="A73" s="64" t="s">
        <v>77</v>
      </c>
      <c r="B73" s="14">
        <v>1.3925083576824981E-2</v>
      </c>
      <c r="C73" s="12">
        <v>3.2856137057028834E-2</v>
      </c>
      <c r="D73" s="12">
        <v>8.1953911067835783E-3</v>
      </c>
      <c r="E73" s="12">
        <v>3.6499722786915489E-2</v>
      </c>
      <c r="F73" s="12">
        <v>-3.8331582384508733E-3</v>
      </c>
      <c r="G73" s="12">
        <v>-2.4573043371421965E-3</v>
      </c>
      <c r="H73" s="12">
        <v>2.1570961023504864E-2</v>
      </c>
      <c r="I73" s="12">
        <v>1.7278106508875624E-2</v>
      </c>
      <c r="J73" s="12">
        <v>3.5119358359829711E-3</v>
      </c>
      <c r="K73" s="12">
        <v>1.4644351464435212E-2</v>
      </c>
      <c r="L73" s="12">
        <v>-8.863238173760668E-3</v>
      </c>
      <c r="M73" s="13">
        <f t="shared" si="12"/>
        <v>1.2417284878074942E-2</v>
      </c>
      <c r="N73" s="32">
        <f t="shared" si="17"/>
        <v>115.58203600183053</v>
      </c>
      <c r="O73" s="32">
        <f t="shared" si="13"/>
        <v>113.25492502205236</v>
      </c>
      <c r="P73" s="12" t="str">
        <f t="shared" si="14"/>
        <v/>
      </c>
      <c r="Q73" s="13">
        <f t="shared" si="15"/>
        <v>-1.5077986987500399E-3</v>
      </c>
      <c r="R73" s="49">
        <f t="shared" si="16"/>
        <v>1</v>
      </c>
    </row>
    <row r="74" spans="1:18" x14ac:dyDescent="0.35">
      <c r="A74" s="64" t="s">
        <v>77</v>
      </c>
      <c r="B74" s="14">
        <v>3.3750454333025814E-4</v>
      </c>
      <c r="C74" s="12">
        <v>3.6658335226842365E-2</v>
      </c>
      <c r="D74" s="12">
        <v>1.2072434607645954E-2</v>
      </c>
      <c r="E74" s="12">
        <v>2.808237496656929E-3</v>
      </c>
      <c r="F74" s="12">
        <v>1.1857256869228117E-2</v>
      </c>
      <c r="G74" s="12">
        <v>-4.0029560290676391E-3</v>
      </c>
      <c r="H74" s="12">
        <v>-4.2230959662152845E-3</v>
      </c>
      <c r="I74" s="12">
        <v>-1.1710873274391131E-2</v>
      </c>
      <c r="J74" s="12">
        <v>-1.9106171671789962E-2</v>
      </c>
      <c r="K74" s="12">
        <v>-4.5360824742267658E-3</v>
      </c>
      <c r="L74" s="12">
        <v>-7.7986898201110044E-4</v>
      </c>
      <c r="M74" s="13">
        <f t="shared" si="12"/>
        <v>3.027527821049124E-4</v>
      </c>
      <c r="N74" s="32">
        <f t="shared" si="17"/>
        <v>115.61702878479143</v>
      </c>
      <c r="O74" s="32">
        <f t="shared" si="13"/>
        <v>113.29314907380183</v>
      </c>
      <c r="P74" s="12" t="str">
        <f t="shared" si="14"/>
        <v/>
      </c>
      <c r="Q74" s="13">
        <f t="shared" si="15"/>
        <v>-3.4751761225345745E-5</v>
      </c>
      <c r="R74" s="49">
        <f t="shared" si="16"/>
        <v>1</v>
      </c>
    </row>
    <row r="75" spans="1:18" x14ac:dyDescent="0.35">
      <c r="A75" s="64" t="s">
        <v>77</v>
      </c>
      <c r="B75" s="14">
        <v>-3.0105629233604381E-3</v>
      </c>
      <c r="C75" s="12">
        <v>1.6073646525900376E-2</v>
      </c>
      <c r="D75" s="12">
        <v>-9.9085487077534729E-2</v>
      </c>
      <c r="E75" s="12">
        <v>4.3561363737387726E-3</v>
      </c>
      <c r="F75" s="12">
        <v>-2.0985915492957696E-2</v>
      </c>
      <c r="G75" s="12">
        <v>1.1253323440301832E-2</v>
      </c>
      <c r="H75" s="12">
        <v>-1.5209125475285079E-2</v>
      </c>
      <c r="I75" s="12">
        <v>-1.0123204896806182E-2</v>
      </c>
      <c r="J75" s="12">
        <v>-7.5695482377898804E-3</v>
      </c>
      <c r="K75" s="12">
        <v>1.0356255178127549E-2</v>
      </c>
      <c r="L75" s="12">
        <v>-1.300796087205347E-3</v>
      </c>
      <c r="M75" s="13">
        <f t="shared" si="12"/>
        <v>-2.6458319867948051E-2</v>
      </c>
      <c r="N75" s="32">
        <f t="shared" si="17"/>
        <v>112.55799645502167</v>
      </c>
      <c r="O75" s="32">
        <f t="shared" si="13"/>
        <v>112.95207291972949</v>
      </c>
      <c r="P75" s="12">
        <f t="shared" si="14"/>
        <v>-2.6458319867948051E-2</v>
      </c>
      <c r="Q75" s="13">
        <f t="shared" si="15"/>
        <v>-2.3447756944587613E-2</v>
      </c>
      <c r="R75" s="49" t="str">
        <f t="shared" si="16"/>
        <v/>
      </c>
    </row>
    <row r="76" spans="1:18" x14ac:dyDescent="0.35">
      <c r="A76" s="64" t="s">
        <v>77</v>
      </c>
      <c r="B76" s="14">
        <v>3.61837823766753E-3</v>
      </c>
      <c r="C76" s="12">
        <v>2.7683900194146682E-2</v>
      </c>
      <c r="D76" s="12">
        <v>-2.6480713213872242E-4</v>
      </c>
      <c r="E76" s="12">
        <v>1.5844213321531297E-2</v>
      </c>
      <c r="F76" s="12">
        <v>7.4809379945328658E-4</v>
      </c>
      <c r="G76" s="12">
        <v>1.4857841638642455E-2</v>
      </c>
      <c r="H76" s="12">
        <v>-5.1480051480052857E-3</v>
      </c>
      <c r="I76" s="12">
        <v>-3.9559219914380828E-2</v>
      </c>
      <c r="J76" s="12">
        <v>-1.2048192771084265E-2</v>
      </c>
      <c r="K76" s="12">
        <v>-1.0250102501025982E-3</v>
      </c>
      <c r="L76" s="12">
        <v>-2.3965822652912361E-2</v>
      </c>
      <c r="M76" s="13">
        <f t="shared" si="12"/>
        <v>-9.795490832663678E-3</v>
      </c>
      <c r="N76" s="32">
        <f t="shared" si="17"/>
        <v>111.45543563260351</v>
      </c>
      <c r="O76" s="32">
        <f t="shared" si="13"/>
        <v>113.36077624228167</v>
      </c>
      <c r="P76" s="12">
        <f t="shared" si="14"/>
        <v>-9.795490832663678E-3</v>
      </c>
      <c r="Q76" s="13">
        <f t="shared" si="15"/>
        <v>-1.3413869070331208E-2</v>
      </c>
      <c r="R76" s="49" t="str">
        <f t="shared" si="16"/>
        <v/>
      </c>
    </row>
    <row r="77" spans="1:18" x14ac:dyDescent="0.35">
      <c r="A77" s="64">
        <v>5.38</v>
      </c>
      <c r="B77" s="14">
        <v>-1.5043834621569774E-3</v>
      </c>
      <c r="C77" s="12">
        <v>1.6792611251050804E-3</v>
      </c>
      <c r="D77" s="12">
        <v>3.3021366766731397E-2</v>
      </c>
      <c r="E77" s="12">
        <v>1.2198841110094616E-2</v>
      </c>
      <c r="F77" s="12">
        <v>-1.3513124982030389E-2</v>
      </c>
      <c r="G77" s="12">
        <v>2.7111700204843991E-2</v>
      </c>
      <c r="H77" s="12">
        <v>5.1248880485621484E-3</v>
      </c>
      <c r="I77" s="12">
        <v>-4.1271151465125833E-2</v>
      </c>
      <c r="J77" s="12">
        <v>-6.3926042486232015E-3</v>
      </c>
      <c r="K77" s="12">
        <v>9.0293453724605843E-3</v>
      </c>
      <c r="L77" s="12">
        <v>-6.9392548307889435E-4</v>
      </c>
      <c r="M77" s="13">
        <f t="shared" si="12"/>
        <v>4.7186185424262575E-3</v>
      </c>
      <c r="N77" s="32">
        <f t="shared" si="17"/>
        <v>111.9813513178337</v>
      </c>
      <c r="O77" s="32">
        <f t="shared" si="13"/>
        <v>113.1902381652455</v>
      </c>
      <c r="P77" s="12" t="str">
        <f t="shared" si="14"/>
        <v/>
      </c>
      <c r="Q77" s="13">
        <f t="shared" si="15"/>
        <v>6.2230020045832349E-3</v>
      </c>
      <c r="R77" s="49">
        <f t="shared" si="16"/>
        <v>1</v>
      </c>
    </row>
    <row r="78" spans="1:18" x14ac:dyDescent="0.35">
      <c r="A78" s="64" t="s">
        <v>77</v>
      </c>
      <c r="B78" s="14">
        <v>-2.5665004156275928E-2</v>
      </c>
      <c r="C78" s="12">
        <v>-7.683710533668564E-3</v>
      </c>
      <c r="D78" s="12">
        <v>-1.7094017094010372E-4</v>
      </c>
      <c r="E78" s="12">
        <v>2.4534067920629621E-3</v>
      </c>
      <c r="F78" s="12">
        <v>-2.9494914167468189E-2</v>
      </c>
      <c r="G78" s="12">
        <v>-1.5251055842327554E-2</v>
      </c>
      <c r="H78" s="12">
        <v>-3.4849759912875533E-2</v>
      </c>
      <c r="I78" s="12">
        <v>-1.7735686612139534E-2</v>
      </c>
      <c r="J78" s="12">
        <v>-3.9740671087795665E-2</v>
      </c>
      <c r="K78" s="12">
        <v>-2.481187716087041E-2</v>
      </c>
      <c r="L78" s="12">
        <v>-3.5147695101757415E-2</v>
      </c>
      <c r="M78" s="13">
        <f t="shared" si="12"/>
        <v>-1.4653214364494942E-2</v>
      </c>
      <c r="N78" s="32">
        <f t="shared" si="17"/>
        <v>110.34046457214767</v>
      </c>
      <c r="O78" s="32">
        <f t="shared" si="13"/>
        <v>110.28521023228461</v>
      </c>
      <c r="P78" s="12">
        <f t="shared" si="14"/>
        <v>-1.4653214364494942E-2</v>
      </c>
      <c r="Q78" s="13">
        <f t="shared" si="15"/>
        <v>1.1011789791780986E-2</v>
      </c>
      <c r="R78" s="49" t="str">
        <f t="shared" si="16"/>
        <v/>
      </c>
    </row>
    <row r="79" spans="1:18" x14ac:dyDescent="0.35">
      <c r="A79" s="64" t="s">
        <v>77</v>
      </c>
      <c r="B79" s="14">
        <v>9.7579183107603384E-3</v>
      </c>
      <c r="C79" s="12">
        <v>-3.498521751372663E-2</v>
      </c>
      <c r="D79" s="12">
        <v>-1.949051119849543E-2</v>
      </c>
      <c r="E79" s="12">
        <v>2.589094031773298E-2</v>
      </c>
      <c r="F79" s="12">
        <v>1.5495960839664757E-2</v>
      </c>
      <c r="G79" s="12">
        <v>7.6244936859661827E-3</v>
      </c>
      <c r="H79" s="12">
        <v>1.6669231163768838E-2</v>
      </c>
      <c r="I79" s="12">
        <v>4.2773249189236529E-2</v>
      </c>
      <c r="J79" s="12">
        <v>1.6492295005926749E-2</v>
      </c>
      <c r="K79" s="12">
        <v>-6.2565172054229734E-4</v>
      </c>
      <c r="L79" s="12">
        <v>2.0539223827714226E-2</v>
      </c>
      <c r="M79" s="13">
        <f t="shared" si="12"/>
        <v>9.8349683628304492E-3</v>
      </c>
      <c r="N79" s="32">
        <f t="shared" si="17"/>
        <v>111.42565955035475</v>
      </c>
      <c r="O79" s="32">
        <f t="shared" si="13"/>
        <v>111.36136430461627</v>
      </c>
      <c r="P79" s="12" t="str">
        <f t="shared" si="14"/>
        <v/>
      </c>
      <c r="Q79" s="13">
        <f t="shared" si="15"/>
        <v>7.7050052070110758E-5</v>
      </c>
      <c r="R79" s="49">
        <f t="shared" si="16"/>
        <v>1</v>
      </c>
    </row>
    <row r="80" spans="1:18" x14ac:dyDescent="0.35">
      <c r="A80" s="64" t="s">
        <v>77</v>
      </c>
      <c r="B80" s="14">
        <v>-1.9327242963510627E-2</v>
      </c>
      <c r="C80" s="12">
        <v>-3.7420672550878997E-2</v>
      </c>
      <c r="D80" s="12">
        <v>-8.1081081081081363E-3</v>
      </c>
      <c r="E80" s="12">
        <v>-2.9171723935880745E-2</v>
      </c>
      <c r="F80" s="12">
        <v>-1.3514712405737095E-2</v>
      </c>
      <c r="G80" s="12">
        <v>-3.5646724994088497E-2</v>
      </c>
      <c r="H80" s="12">
        <v>-2.5073151044294195E-2</v>
      </c>
      <c r="I80" s="12">
        <v>-2.2778851811380951E-2</v>
      </c>
      <c r="J80" s="12">
        <v>-1.5413476651624958E-2</v>
      </c>
      <c r="K80" s="12">
        <v>-2.2746243739566019E-2</v>
      </c>
      <c r="L80" s="12">
        <v>-8.1371378973635888E-3</v>
      </c>
      <c r="M80" s="13">
        <f t="shared" si="12"/>
        <v>-1.7139793098945946E-2</v>
      </c>
      <c r="N80" s="32">
        <f t="shared" si="17"/>
        <v>109.51584679974808</v>
      </c>
      <c r="O80" s="32">
        <f t="shared" si="13"/>
        <v>109.20905615995294</v>
      </c>
      <c r="P80" s="12">
        <f t="shared" si="14"/>
        <v>-1.7139793098945946E-2</v>
      </c>
      <c r="Q80" s="13">
        <f t="shared" si="15"/>
        <v>2.1874498645646813E-3</v>
      </c>
      <c r="R80" s="49" t="str">
        <f t="shared" si="16"/>
        <v/>
      </c>
    </row>
    <row r="81" spans="1:18" x14ac:dyDescent="0.35">
      <c r="A81" s="64" t="s">
        <v>77</v>
      </c>
      <c r="B81" s="14">
        <v>1.6073447848796496E-2</v>
      </c>
      <c r="C81" s="12">
        <v>1.6520157623522103E-2</v>
      </c>
      <c r="D81" s="12">
        <v>1.2041838797574034E-2</v>
      </c>
      <c r="E81" s="12">
        <v>3.3152267632350352E-2</v>
      </c>
      <c r="F81" s="12">
        <v>1.259068289465759E-3</v>
      </c>
      <c r="G81" s="12">
        <v>-2.574633727701725E-3</v>
      </c>
      <c r="H81" s="12">
        <v>2.6442432082794287E-2</v>
      </c>
      <c r="I81" s="12">
        <v>6.623086186134497E-3</v>
      </c>
      <c r="J81" s="12">
        <v>8.4968329986097046E-3</v>
      </c>
      <c r="K81" s="12">
        <v>-8.7550715353404973E-3</v>
      </c>
      <c r="L81" s="12">
        <v>1.0282213957558461E-2</v>
      </c>
      <c r="M81" s="13">
        <f t="shared" ref="M81:M144" si="19">SUMPRODUCT($C$2:$L$2,C81:L81)</f>
        <v>8.9780894418701428E-3</v>
      </c>
      <c r="N81" s="32">
        <f t="shared" ref="N81:N144" si="20">+(N80*(1+M81))</f>
        <v>110.49908986761835</v>
      </c>
      <c r="O81" s="32">
        <f t="shared" ref="O81:O144" si="21">+(O80*(1+B81))</f>
        <v>110.96442222875623</v>
      </c>
      <c r="P81" s="12" t="str">
        <f t="shared" ref="P81:P144" si="22">+IF(M81&lt;0,M81,"")</f>
        <v/>
      </c>
      <c r="Q81" s="13">
        <f t="shared" ref="Q81:Q144" si="23">M81-B81</f>
        <v>-7.0953584069263533E-3</v>
      </c>
      <c r="R81" s="49">
        <f t="shared" ref="R81:R144" si="24">+IF(M81&gt;0,1,"")</f>
        <v>1</v>
      </c>
    </row>
    <row r="82" spans="1:18" x14ac:dyDescent="0.35">
      <c r="A82" s="64">
        <v>5.27</v>
      </c>
      <c r="B82" s="14">
        <v>1.3884840615808525E-2</v>
      </c>
      <c r="C82" s="12">
        <v>6.3366631877144197E-3</v>
      </c>
      <c r="D82" s="12">
        <v>-9.2061837762723586E-3</v>
      </c>
      <c r="E82" s="12">
        <v>-5.8418527018577748E-4</v>
      </c>
      <c r="F82" s="12">
        <v>1.4131736526946215E-2</v>
      </c>
      <c r="G82" s="12">
        <v>-8.9730194825149434E-3</v>
      </c>
      <c r="H82" s="12">
        <v>2.1425690663440244E-2</v>
      </c>
      <c r="I82" s="12">
        <v>3.135948047509185E-2</v>
      </c>
      <c r="J82" s="12">
        <v>2.6041666666666741E-2</v>
      </c>
      <c r="K82" s="12">
        <v>1.077121930202507E-2</v>
      </c>
      <c r="L82" s="12">
        <v>4.2117799913382381E-2</v>
      </c>
      <c r="M82" s="13">
        <f t="shared" si="19"/>
        <v>1.3005004996499914E-2</v>
      </c>
      <c r="N82" s="32">
        <f t="shared" si="20"/>
        <v>111.93613108345541</v>
      </c>
      <c r="O82" s="32">
        <f t="shared" si="21"/>
        <v>112.50514554542779</v>
      </c>
      <c r="P82" s="12" t="str">
        <f t="shared" si="22"/>
        <v/>
      </c>
      <c r="Q82" s="13">
        <f t="shared" si="23"/>
        <v>-8.7983561930861029E-4</v>
      </c>
      <c r="R82" s="49">
        <f t="shared" si="24"/>
        <v>1</v>
      </c>
    </row>
    <row r="83" spans="1:18" x14ac:dyDescent="0.35">
      <c r="A83" s="64" t="s">
        <v>77</v>
      </c>
      <c r="B83" s="14">
        <v>1.0192614274886491E-3</v>
      </c>
      <c r="C83" s="12">
        <v>-7.7783539521446565E-3</v>
      </c>
      <c r="D83" s="12">
        <v>-2.6297335203365746E-3</v>
      </c>
      <c r="E83" s="12">
        <v>1.457141664231143E-2</v>
      </c>
      <c r="F83" s="12">
        <v>-2.4504015115730526E-3</v>
      </c>
      <c r="G83" s="12">
        <v>-4.6511627906976605E-3</v>
      </c>
      <c r="H83" s="12">
        <v>-6.1694881792606626E-3</v>
      </c>
      <c r="I83" s="12">
        <v>-2.1541010770506075E-3</v>
      </c>
      <c r="J83" s="12">
        <v>3.2099134069871527E-2</v>
      </c>
      <c r="K83" s="12">
        <v>3.1969309462915874E-3</v>
      </c>
      <c r="L83" s="12">
        <v>-5.4545454545454897E-3</v>
      </c>
      <c r="M83" s="13">
        <f t="shared" si="19"/>
        <v>6.7478069265567374E-4</v>
      </c>
      <c r="N83" s="32">
        <f t="shared" si="20"/>
        <v>112.0116634235211</v>
      </c>
      <c r="O83" s="32">
        <f t="shared" si="21"/>
        <v>112.61981770067625</v>
      </c>
      <c r="P83" s="12" t="str">
        <f t="shared" si="22"/>
        <v/>
      </c>
      <c r="Q83" s="13">
        <f t="shared" si="23"/>
        <v>-3.4448073483297537E-4</v>
      </c>
      <c r="R83" s="49">
        <f t="shared" si="24"/>
        <v>1</v>
      </c>
    </row>
    <row r="84" spans="1:18" x14ac:dyDescent="0.35">
      <c r="A84" s="64" t="s">
        <v>77</v>
      </c>
      <c r="B84" s="14">
        <v>1.0834943344995018E-2</v>
      </c>
      <c r="C84" s="12">
        <v>2.5757802000895946E-2</v>
      </c>
      <c r="D84" s="12">
        <v>1.5907892423976167E-2</v>
      </c>
      <c r="E84" s="12">
        <v>-4.0740740740741188E-3</v>
      </c>
      <c r="F84" s="12">
        <v>-2.5363283908964473E-2</v>
      </c>
      <c r="G84" s="12">
        <v>9.283489096573172E-3</v>
      </c>
      <c r="H84" s="12">
        <v>3.918355184743727E-2</v>
      </c>
      <c r="I84" s="12">
        <v>3.7030886748588676E-2</v>
      </c>
      <c r="J84" s="12">
        <v>1.5670958098269017E-2</v>
      </c>
      <c r="K84" s="12">
        <v>9.3477799022732011E-3</v>
      </c>
      <c r="L84" s="12">
        <v>1.0446591799426752E-3</v>
      </c>
      <c r="M84" s="13">
        <f t="shared" si="19"/>
        <v>1.3202363621518724E-2</v>
      </c>
      <c r="N84" s="32">
        <f t="shared" si="20"/>
        <v>113.4904821338896</v>
      </c>
      <c r="O84" s="32">
        <f t="shared" si="21"/>
        <v>113.84004704498675</v>
      </c>
      <c r="P84" s="12" t="str">
        <f t="shared" si="22"/>
        <v/>
      </c>
      <c r="Q84" s="13">
        <f t="shared" si="23"/>
        <v>2.3674202765237053E-3</v>
      </c>
      <c r="R84" s="49">
        <f t="shared" si="24"/>
        <v>1</v>
      </c>
    </row>
    <row r="85" spans="1:18" x14ac:dyDescent="0.35">
      <c r="A85" s="64" t="s">
        <v>77</v>
      </c>
      <c r="B85" s="14">
        <v>3.9000955652557234E-3</v>
      </c>
      <c r="C85" s="12">
        <v>-4.5854865710750481E-3</v>
      </c>
      <c r="D85" s="12">
        <v>6.4019378838999774E-3</v>
      </c>
      <c r="E85" s="12">
        <v>7.8509152514349978E-4</v>
      </c>
      <c r="F85" s="12">
        <v>-1.4605854488035974E-2</v>
      </c>
      <c r="G85" s="12">
        <v>1.518612260016039E-2</v>
      </c>
      <c r="H85" s="12">
        <v>-2.2939068100358284E-3</v>
      </c>
      <c r="I85" s="12">
        <v>1.1048839071256866E-2</v>
      </c>
      <c r="J85" s="12">
        <v>-1.2865552601595054E-2</v>
      </c>
      <c r="K85" s="12">
        <v>1.2839402231109132E-2</v>
      </c>
      <c r="L85" s="12">
        <v>7.0440907905033878E-3</v>
      </c>
      <c r="M85" s="13">
        <f t="shared" si="19"/>
        <v>8.0661541796881731E-3</v>
      </c>
      <c r="N85" s="32">
        <f t="shared" si="20"/>
        <v>114.40591386070871</v>
      </c>
      <c r="O85" s="32">
        <f t="shared" si="21"/>
        <v>114.2840341076154</v>
      </c>
      <c r="P85" s="12" t="str">
        <f t="shared" si="22"/>
        <v/>
      </c>
      <c r="Q85" s="13">
        <f t="shared" si="23"/>
        <v>4.1660586144324496E-3</v>
      </c>
      <c r="R85" s="49">
        <f t="shared" si="24"/>
        <v>1</v>
      </c>
    </row>
    <row r="86" spans="1:18" x14ac:dyDescent="0.35">
      <c r="A86" s="64" t="s">
        <v>77</v>
      </c>
      <c r="B86" s="14">
        <v>7.4096943501080759E-3</v>
      </c>
      <c r="C86" s="12">
        <v>1.0968119333139015E-3</v>
      </c>
      <c r="D86" s="12">
        <v>1.4957448637496817E-2</v>
      </c>
      <c r="E86" s="12">
        <v>1.1147811725846779E-3</v>
      </c>
      <c r="F86" s="12">
        <v>-5.2386675295068574E-4</v>
      </c>
      <c r="G86" s="12">
        <v>2.8580115536638306E-3</v>
      </c>
      <c r="H86" s="12">
        <v>-9.0051252574604446E-3</v>
      </c>
      <c r="I86" s="12">
        <v>1.3541336712068475E-2</v>
      </c>
      <c r="J86" s="12">
        <v>1.933342951954975E-2</v>
      </c>
      <c r="K86" s="12">
        <v>4.5719035743974068E-3</v>
      </c>
      <c r="L86" s="12">
        <v>2.3056994818652754E-2</v>
      </c>
      <c r="M86" s="13">
        <f t="shared" si="19"/>
        <v>1.1815695216435686E-2</v>
      </c>
      <c r="N86" s="32">
        <f t="shared" si="20"/>
        <v>115.75769926984464</v>
      </c>
      <c r="O86" s="32">
        <f t="shared" si="21"/>
        <v>115.13084386945016</v>
      </c>
      <c r="P86" s="12" t="str">
        <f t="shared" si="22"/>
        <v/>
      </c>
      <c r="Q86" s="13">
        <f t="shared" si="23"/>
        <v>4.4060008663276105E-3</v>
      </c>
      <c r="R86" s="49">
        <f t="shared" si="24"/>
        <v>1</v>
      </c>
    </row>
    <row r="87" spans="1:18" x14ac:dyDescent="0.35">
      <c r="A87" s="64">
        <v>5.15</v>
      </c>
      <c r="B87" s="14">
        <v>-1.1237102870569338E-3</v>
      </c>
      <c r="C87" s="12">
        <v>-6.5736615294719192E-3</v>
      </c>
      <c r="D87" s="12">
        <v>-1.2196154823409855E-2</v>
      </c>
      <c r="E87" s="12">
        <v>5.3614880191363845E-3</v>
      </c>
      <c r="F87" s="12">
        <v>1.631004501449107E-2</v>
      </c>
      <c r="G87" s="12">
        <v>8.1857870482660022E-3</v>
      </c>
      <c r="H87" s="12">
        <v>-1.7883899656820912E-3</v>
      </c>
      <c r="I87" s="12">
        <v>-1.0235174623017373E-2</v>
      </c>
      <c r="J87" s="12">
        <v>1.4956357631517037E-2</v>
      </c>
      <c r="K87" s="12">
        <v>5.5854364915184362E-3</v>
      </c>
      <c r="L87" s="12">
        <v>-8.6097746264868213E-4</v>
      </c>
      <c r="M87" s="13">
        <f t="shared" si="19"/>
        <v>-3.471800831364948E-3</v>
      </c>
      <c r="N87" s="32">
        <f t="shared" si="20"/>
        <v>115.3558115932827</v>
      </c>
      <c r="O87" s="32">
        <f t="shared" si="21"/>
        <v>115.00147015583651</v>
      </c>
      <c r="P87" s="12">
        <f t="shared" si="22"/>
        <v>-3.471800831364948E-3</v>
      </c>
      <c r="Q87" s="13">
        <f t="shared" si="23"/>
        <v>-2.3480905443080142E-3</v>
      </c>
      <c r="R87" s="49" t="str">
        <f t="shared" si="24"/>
        <v/>
      </c>
    </row>
    <row r="88" spans="1:18" x14ac:dyDescent="0.35">
      <c r="A88" s="64" t="s">
        <v>77</v>
      </c>
      <c r="B88" s="14">
        <v>-3.3237880957248667E-4</v>
      </c>
      <c r="C88" s="12">
        <v>-4.558488346445122E-3</v>
      </c>
      <c r="D88" s="12">
        <v>1.114636028466176E-3</v>
      </c>
      <c r="E88" s="12">
        <v>-3.8971161340608518E-3</v>
      </c>
      <c r="F88" s="12">
        <v>1.143706580104964E-2</v>
      </c>
      <c r="G88" s="12">
        <v>3.2477295964394859E-3</v>
      </c>
      <c r="H88" s="12">
        <v>-3.8737168313007775E-4</v>
      </c>
      <c r="I88" s="12">
        <v>1.223555415219435E-2</v>
      </c>
      <c r="J88" s="12">
        <v>-1.4875418371141813E-2</v>
      </c>
      <c r="K88" s="12">
        <v>-1.1725982308167016E-2</v>
      </c>
      <c r="L88" s="12">
        <v>2.2303325223034243E-3</v>
      </c>
      <c r="M88" s="13">
        <f t="shared" si="19"/>
        <v>-1.2385354535977887E-4</v>
      </c>
      <c r="N88" s="32">
        <f t="shared" si="20"/>
        <v>115.34152436703901</v>
      </c>
      <c r="O88" s="32">
        <f t="shared" si="21"/>
        <v>114.96324610408703</v>
      </c>
      <c r="P88" s="12">
        <f t="shared" si="22"/>
        <v>-1.2385354535977887E-4</v>
      </c>
      <c r="Q88" s="13">
        <f t="shared" si="23"/>
        <v>2.085252642127078E-4</v>
      </c>
      <c r="R88" s="49" t="str">
        <f t="shared" si="24"/>
        <v/>
      </c>
    </row>
    <row r="89" spans="1:18" x14ac:dyDescent="0.35">
      <c r="A89" s="64" t="s">
        <v>77</v>
      </c>
      <c r="B89" s="14">
        <v>1.662446609887791E-3</v>
      </c>
      <c r="C89" s="12">
        <v>-1.9203781667773701E-3</v>
      </c>
      <c r="D89" s="12">
        <v>-1.0877012675573949E-2</v>
      </c>
      <c r="E89" s="12">
        <v>6.8775224446091521E-3</v>
      </c>
      <c r="F89" s="12">
        <v>-9.8980203959198043E-4</v>
      </c>
      <c r="G89" s="12">
        <v>-4.496133325340157E-3</v>
      </c>
      <c r="H89" s="12">
        <v>2.0441774849835337E-2</v>
      </c>
      <c r="I89" s="12">
        <v>6.2387896748039573E-4</v>
      </c>
      <c r="J89" s="12">
        <v>-5.9456398640995722E-3</v>
      </c>
      <c r="K89" s="12">
        <v>-6.2447960033307215E-4</v>
      </c>
      <c r="L89" s="12">
        <v>3.1863240946792271E-3</v>
      </c>
      <c r="M89" s="13">
        <f t="shared" si="19"/>
        <v>-1.5090353554625393E-3</v>
      </c>
      <c r="N89" s="32">
        <f t="shared" si="20"/>
        <v>115.1674699288162</v>
      </c>
      <c r="O89" s="32">
        <f t="shared" si="21"/>
        <v>115.15436636283447</v>
      </c>
      <c r="P89" s="12">
        <f t="shared" si="22"/>
        <v>-1.5090353554625393E-3</v>
      </c>
      <c r="Q89" s="13">
        <f t="shared" si="23"/>
        <v>-3.1714819653503304E-3</v>
      </c>
      <c r="R89" s="49" t="str">
        <f t="shared" si="24"/>
        <v/>
      </c>
    </row>
    <row r="90" spans="1:18" x14ac:dyDescent="0.35">
      <c r="A90" s="64" t="s">
        <v>77</v>
      </c>
      <c r="B90" s="14">
        <v>4.6981922173425783E-3</v>
      </c>
      <c r="C90" s="12">
        <v>1.7760674905646923E-3</v>
      </c>
      <c r="D90" s="12">
        <v>-9.5246341674604107E-4</v>
      </c>
      <c r="E90" s="12">
        <v>2.0450734181356456E-3</v>
      </c>
      <c r="F90" s="12">
        <v>-1.4501456150358694E-2</v>
      </c>
      <c r="G90" s="12">
        <v>3.1313982897749337E-3</v>
      </c>
      <c r="H90" s="12">
        <v>-3.3228899648722887E-3</v>
      </c>
      <c r="I90" s="12">
        <v>1.020964850752093E-2</v>
      </c>
      <c r="J90" s="12">
        <v>1.5190354125129701E-3</v>
      </c>
      <c r="K90" s="12">
        <v>3.1243490939387719E-3</v>
      </c>
      <c r="L90" s="12">
        <v>-1.814973531635955E-3</v>
      </c>
      <c r="M90" s="13">
        <f t="shared" si="19"/>
        <v>2.3787703504959314E-3</v>
      </c>
      <c r="N90" s="32">
        <f t="shared" si="20"/>
        <v>115.44142689162449</v>
      </c>
      <c r="O90" s="32">
        <f t="shared" si="21"/>
        <v>115.69538371067335</v>
      </c>
      <c r="P90" s="12" t="str">
        <f t="shared" si="22"/>
        <v/>
      </c>
      <c r="Q90" s="13">
        <f t="shared" si="23"/>
        <v>-2.3194218668466469E-3</v>
      </c>
      <c r="R90" s="49">
        <f t="shared" si="24"/>
        <v>1</v>
      </c>
    </row>
    <row r="91" spans="1:18" x14ac:dyDescent="0.35">
      <c r="A91" s="64" t="s">
        <v>77</v>
      </c>
      <c r="B91" s="14">
        <v>-5.5911355087945314E-4</v>
      </c>
      <c r="C91" s="12">
        <v>-1.6104011228484927E-2</v>
      </c>
      <c r="D91" s="12">
        <v>-5.980239209568361E-3</v>
      </c>
      <c r="E91" s="12">
        <v>-5.2655210416752141E-3</v>
      </c>
      <c r="F91" s="12">
        <v>-1.102851572020469E-2</v>
      </c>
      <c r="G91" s="12">
        <v>-9.0647136510987325E-3</v>
      </c>
      <c r="H91" s="12">
        <v>-9.811392646218331E-3</v>
      </c>
      <c r="I91" s="12">
        <v>8.1777503471687218E-3</v>
      </c>
      <c r="J91" s="12">
        <v>2.9386671722438251E-2</v>
      </c>
      <c r="K91" s="12">
        <v>8.0980066445182075E-3</v>
      </c>
      <c r="L91" s="12">
        <v>2.2172837011970259E-2</v>
      </c>
      <c r="M91" s="13">
        <f t="shared" si="19"/>
        <v>4.7853522138592286E-3</v>
      </c>
      <c r="N91" s="32">
        <f t="shared" si="20"/>
        <v>115.99385477937139</v>
      </c>
      <c r="O91" s="32">
        <f t="shared" si="21"/>
        <v>115.63069685386652</v>
      </c>
      <c r="P91" s="12" t="str">
        <f t="shared" si="22"/>
        <v/>
      </c>
      <c r="Q91" s="13">
        <f t="shared" si="23"/>
        <v>5.3444657647386817E-3</v>
      </c>
      <c r="R91" s="49">
        <f t="shared" si="24"/>
        <v>1</v>
      </c>
    </row>
    <row r="92" spans="1:18" x14ac:dyDescent="0.35">
      <c r="A92" s="64">
        <v>4.9800000000000004</v>
      </c>
      <c r="B92" s="14">
        <v>-3.30570106290895E-4</v>
      </c>
      <c r="C92" s="12">
        <v>-1.7643967264809657E-2</v>
      </c>
      <c r="D92" s="12">
        <v>-8.7191559857002776E-4</v>
      </c>
      <c r="E92" s="12">
        <v>2.051702913418163E-3</v>
      </c>
      <c r="F92" s="12">
        <v>6.9003758240404611E-3</v>
      </c>
      <c r="G92" s="12">
        <v>3.574241230992925E-3</v>
      </c>
      <c r="H92" s="12">
        <v>-1.8759018759019197E-3</v>
      </c>
      <c r="I92" s="12">
        <v>-1.6222834404652664E-2</v>
      </c>
      <c r="J92" s="12">
        <v>-7.6434294133898018E-3</v>
      </c>
      <c r="K92" s="12">
        <v>1.0710607621009283E-2</v>
      </c>
      <c r="L92" s="12">
        <v>-3.9529597786336357E-4</v>
      </c>
      <c r="M92" s="13">
        <f t="shared" si="19"/>
        <v>-7.4862486857069153E-4</v>
      </c>
      <c r="N92" s="32">
        <f t="shared" si="20"/>
        <v>115.90701889508217</v>
      </c>
      <c r="O92" s="32">
        <f t="shared" si="21"/>
        <v>115.59247280211706</v>
      </c>
      <c r="P92" s="12">
        <f t="shared" si="22"/>
        <v>-7.4862486857069153E-4</v>
      </c>
      <c r="Q92" s="13">
        <f t="shared" si="23"/>
        <v>-4.1805476227979653E-4</v>
      </c>
      <c r="R92" s="49" t="str">
        <f t="shared" si="24"/>
        <v/>
      </c>
    </row>
    <row r="93" spans="1:18" x14ac:dyDescent="0.35">
      <c r="A93" s="64" t="s">
        <v>77</v>
      </c>
      <c r="B93" s="14">
        <v>-4.4005799608272111E-3</v>
      </c>
      <c r="C93" s="12">
        <v>-8.6365025985937205E-3</v>
      </c>
      <c r="D93" s="12">
        <v>6.3705384413996757E-3</v>
      </c>
      <c r="E93" s="12">
        <v>-1.6789516789517123E-3</v>
      </c>
      <c r="F93" s="12">
        <v>4.7420914152849214E-3</v>
      </c>
      <c r="G93" s="12">
        <v>4.8291681757817173E-4</v>
      </c>
      <c r="H93" s="12">
        <v>8.8670425521661933E-3</v>
      </c>
      <c r="I93" s="12">
        <v>-5.4449284380830854E-4</v>
      </c>
      <c r="J93" s="12">
        <v>-3.2665181885671912E-2</v>
      </c>
      <c r="K93" s="12">
        <v>-6.480538006928882E-2</v>
      </c>
      <c r="L93" s="12">
        <v>-1.176470588235301E-2</v>
      </c>
      <c r="M93" s="13">
        <f t="shared" si="19"/>
        <v>-1.5091913875254227E-2</v>
      </c>
      <c r="N93" s="32">
        <f t="shared" si="20"/>
        <v>114.15776014838013</v>
      </c>
      <c r="O93" s="32">
        <f t="shared" si="21"/>
        <v>115.08379888268159</v>
      </c>
      <c r="P93" s="12">
        <f t="shared" si="22"/>
        <v>-1.5091913875254227E-2</v>
      </c>
      <c r="Q93" s="13">
        <f t="shared" si="23"/>
        <v>-1.0691333914427016E-2</v>
      </c>
      <c r="R93" s="49" t="str">
        <f t="shared" si="24"/>
        <v/>
      </c>
    </row>
    <row r="94" spans="1:18" x14ac:dyDescent="0.35">
      <c r="A94" s="64" t="s">
        <v>77</v>
      </c>
      <c r="B94" s="14">
        <v>-1.8650996423097421E-3</v>
      </c>
      <c r="C94" s="12">
        <v>1.2335209313083517E-3</v>
      </c>
      <c r="D94" s="12">
        <v>-1.4481442941380429E-2</v>
      </c>
      <c r="E94" s="12">
        <v>-1.1567332540301067E-2</v>
      </c>
      <c r="F94" s="12">
        <v>-1.166225145397537E-2</v>
      </c>
      <c r="G94" s="12">
        <v>-1.6652588391456669E-2</v>
      </c>
      <c r="H94" s="12">
        <v>-2.2068306663482251E-2</v>
      </c>
      <c r="I94" s="12">
        <v>2.5060315977897041E-2</v>
      </c>
      <c r="J94" s="12">
        <v>4.3121642363775914E-2</v>
      </c>
      <c r="K94" s="12">
        <v>4.7940727827413543E-3</v>
      </c>
      <c r="L94" s="12">
        <v>4.9969987995198029E-2</v>
      </c>
      <c r="M94" s="13">
        <f t="shared" si="19"/>
        <v>8.8160083720415991E-3</v>
      </c>
      <c r="N94" s="32">
        <f t="shared" si="20"/>
        <v>115.16417591758177</v>
      </c>
      <c r="O94" s="32">
        <f t="shared" si="21"/>
        <v>114.86915613054985</v>
      </c>
      <c r="P94" s="12" t="str">
        <f t="shared" si="22"/>
        <v/>
      </c>
      <c r="Q94" s="13">
        <f t="shared" si="23"/>
        <v>1.0681108014351341E-2</v>
      </c>
      <c r="R94" s="49">
        <f t="shared" si="24"/>
        <v>1</v>
      </c>
    </row>
    <row r="95" spans="1:18" x14ac:dyDescent="0.35">
      <c r="A95" s="64" t="s">
        <v>77</v>
      </c>
      <c r="B95" s="14">
        <v>-7.7303094683491835E-3</v>
      </c>
      <c r="C95" s="12">
        <v>-2.9799029799029819E-2</v>
      </c>
      <c r="D95" s="12">
        <v>1.5750109986801597E-2</v>
      </c>
      <c r="E95" s="12">
        <v>-2.680831638793213E-2</v>
      </c>
      <c r="F95" s="12">
        <v>9.4275679339455021E-3</v>
      </c>
      <c r="G95" s="12">
        <v>-6.8106516136948736E-3</v>
      </c>
      <c r="H95" s="12">
        <v>1.7535290382455049E-2</v>
      </c>
      <c r="I95" s="12">
        <v>3.2191936830916257E-2</v>
      </c>
      <c r="J95" s="12">
        <v>-2.1106359497861771E-2</v>
      </c>
      <c r="K95" s="12">
        <v>-4.5543266102797686E-3</v>
      </c>
      <c r="L95" s="12">
        <v>3.8826163593921326E-2</v>
      </c>
      <c r="M95" s="13">
        <f t="shared" si="19"/>
        <v>1.2386004745636699E-2</v>
      </c>
      <c r="N95" s="32">
        <f t="shared" si="20"/>
        <v>116.59059994702429</v>
      </c>
      <c r="O95" s="32">
        <f t="shared" si="21"/>
        <v>113.98118200529258</v>
      </c>
      <c r="P95" s="12" t="str">
        <f t="shared" si="22"/>
        <v/>
      </c>
      <c r="Q95" s="13">
        <f t="shared" si="23"/>
        <v>2.0116314213985881E-2</v>
      </c>
      <c r="R95" s="49">
        <f t="shared" si="24"/>
        <v>1</v>
      </c>
    </row>
    <row r="96" spans="1:18" x14ac:dyDescent="0.35">
      <c r="A96" s="64" t="s">
        <v>77</v>
      </c>
      <c r="B96" s="14">
        <v>1.2640268283246048E-3</v>
      </c>
      <c r="C96" s="12">
        <v>-1.1111111111110628E-3</v>
      </c>
      <c r="D96" s="12">
        <v>-1.2127512127512174E-3</v>
      </c>
      <c r="E96" s="12">
        <v>-5.2876209969723309E-3</v>
      </c>
      <c r="F96" s="12">
        <v>5.7074838237090031E-3</v>
      </c>
      <c r="G96" s="12">
        <v>-8.8342497065546643E-3</v>
      </c>
      <c r="H96" s="12">
        <v>1.8193164362519276E-2</v>
      </c>
      <c r="I96" s="12">
        <v>7.282089003310066E-3</v>
      </c>
      <c r="J96" s="12">
        <v>-3.5700864336715155E-3</v>
      </c>
      <c r="K96" s="12">
        <v>-1.6122004357298492E-2</v>
      </c>
      <c r="L96" s="12">
        <v>9.7220948362837234E-3</v>
      </c>
      <c r="M96" s="13">
        <f t="shared" si="19"/>
        <v>-1.6190469433442327E-3</v>
      </c>
      <c r="N96" s="32">
        <f t="shared" si="20"/>
        <v>116.40183429255738</v>
      </c>
      <c r="O96" s="32">
        <f t="shared" si="21"/>
        <v>114.12525727727142</v>
      </c>
      <c r="P96" s="12">
        <f t="shared" si="22"/>
        <v>-1.6190469433442327E-3</v>
      </c>
      <c r="Q96" s="13">
        <f t="shared" si="23"/>
        <v>-2.8830737716688372E-3</v>
      </c>
      <c r="R96" s="49" t="str">
        <f t="shared" si="24"/>
        <v/>
      </c>
    </row>
    <row r="97" spans="1:18" x14ac:dyDescent="0.35">
      <c r="A97" s="64">
        <v>4.8499999999999996</v>
      </c>
      <c r="B97" s="14">
        <v>1.1336115834492677E-2</v>
      </c>
      <c r="C97" s="12">
        <v>-4.0521214047354315E-3</v>
      </c>
      <c r="D97" s="12">
        <v>2.0728534258456222E-2</v>
      </c>
      <c r="E97" s="12">
        <v>5.4872036695674531E-3</v>
      </c>
      <c r="F97" s="12">
        <v>8.1939850080421373E-3</v>
      </c>
      <c r="G97" s="12">
        <v>1.3400648217402278E-2</v>
      </c>
      <c r="H97" s="12">
        <v>3.4510395549478989E-2</v>
      </c>
      <c r="I97" s="12">
        <v>2.1542281291076382E-2</v>
      </c>
      <c r="J97" s="12">
        <v>8.1180463888365084E-2</v>
      </c>
      <c r="K97" s="12">
        <v>-1.6829052258635957E-2</v>
      </c>
      <c r="L97" s="12">
        <v>1.0400581342537851E-2</v>
      </c>
      <c r="M97" s="13">
        <f t="shared" si="19"/>
        <v>8.6062882211798628E-3</v>
      </c>
      <c r="N97" s="32">
        <f t="shared" si="20"/>
        <v>117.40362202795316</v>
      </c>
      <c r="O97" s="32">
        <f t="shared" si="21"/>
        <v>115.41899441340784</v>
      </c>
      <c r="P97" s="12" t="str">
        <f t="shared" si="22"/>
        <v/>
      </c>
      <c r="Q97" s="13">
        <f t="shared" si="23"/>
        <v>-2.7298276133128144E-3</v>
      </c>
      <c r="R97" s="49">
        <f t="shared" si="24"/>
        <v>1</v>
      </c>
    </row>
    <row r="98" spans="1:18" x14ac:dyDescent="0.35">
      <c r="A98" s="64" t="s">
        <v>77</v>
      </c>
      <c r="B98" s="14">
        <v>-2.4481581494879445E-2</v>
      </c>
      <c r="C98" s="12">
        <v>-3.4782608695652195E-2</v>
      </c>
      <c r="D98" s="12">
        <v>-6.0327980287194771E-3</v>
      </c>
      <c r="E98" s="12">
        <v>-2.3704966958004725E-2</v>
      </c>
      <c r="F98" s="12">
        <v>-1.0053881580927682E-2</v>
      </c>
      <c r="G98" s="12">
        <v>1.0455747585951247E-3</v>
      </c>
      <c r="H98" s="12">
        <v>-2.5885248142915818E-2</v>
      </c>
      <c r="I98" s="12">
        <v>-2.0087211380370062E-2</v>
      </c>
      <c r="J98" s="12">
        <v>-5.6204761489491606E-2</v>
      </c>
      <c r="K98" s="12">
        <v>-9.4594594594594739E-3</v>
      </c>
      <c r="L98" s="12">
        <v>-2.9217422573830643E-3</v>
      </c>
      <c r="M98" s="13">
        <f t="shared" si="19"/>
        <v>-1.1431586047175488E-2</v>
      </c>
      <c r="N98" s="32">
        <f t="shared" si="20"/>
        <v>116.06151242049054</v>
      </c>
      <c r="O98" s="32">
        <f t="shared" si="21"/>
        <v>112.59335489561896</v>
      </c>
      <c r="P98" s="12">
        <f t="shared" si="22"/>
        <v>-1.1431586047175488E-2</v>
      </c>
      <c r="Q98" s="13">
        <f t="shared" si="23"/>
        <v>1.3049995447703957E-2</v>
      </c>
      <c r="R98" s="49" t="str">
        <f t="shared" si="24"/>
        <v/>
      </c>
    </row>
    <row r="99" spans="1:18" x14ac:dyDescent="0.35">
      <c r="A99" s="64" t="s">
        <v>77</v>
      </c>
      <c r="B99" s="14">
        <v>-4.7267124539733807E-3</v>
      </c>
      <c r="C99" s="12">
        <v>2.231589387552857E-3</v>
      </c>
      <c r="D99" s="12">
        <v>-2.8893828004787236E-2</v>
      </c>
      <c r="E99" s="12">
        <v>1.4804139918773718E-2</v>
      </c>
      <c r="F99" s="12">
        <v>1.0186395840301676E-2</v>
      </c>
      <c r="G99" s="12">
        <v>-2.6419267633325028E-2</v>
      </c>
      <c r="H99" s="12">
        <v>-6.3625730994152363E-3</v>
      </c>
      <c r="I99" s="12">
        <v>-1.3276918587686204E-2</v>
      </c>
      <c r="J99" s="12">
        <v>-2.0512820512820551E-2</v>
      </c>
      <c r="K99" s="12">
        <v>-1.5234197362437363E-2</v>
      </c>
      <c r="L99" s="12">
        <v>-2.6778469028942431E-2</v>
      </c>
      <c r="M99" s="13">
        <f t="shared" si="19"/>
        <v>-1.6399463260457568E-2</v>
      </c>
      <c r="N99" s="32">
        <f t="shared" si="20"/>
        <v>114.15816591159756</v>
      </c>
      <c r="O99" s="32">
        <f t="shared" si="21"/>
        <v>112.06115848279919</v>
      </c>
      <c r="P99" s="12">
        <f t="shared" si="22"/>
        <v>-1.6399463260457568E-2</v>
      </c>
      <c r="Q99" s="13">
        <f t="shared" si="23"/>
        <v>-1.1672750806484188E-2</v>
      </c>
      <c r="R99" s="49" t="str">
        <f t="shared" si="24"/>
        <v/>
      </c>
    </row>
    <row r="100" spans="1:18" x14ac:dyDescent="0.35">
      <c r="A100" s="64" t="s">
        <v>77</v>
      </c>
      <c r="B100" s="14">
        <v>2.3772040302267206E-2</v>
      </c>
      <c r="C100" s="12">
        <v>5.3851228764637993E-2</v>
      </c>
      <c r="D100" s="12">
        <v>1.5228873239436558E-2</v>
      </c>
      <c r="E100" s="12">
        <v>1.9623031241931432E-2</v>
      </c>
      <c r="F100" s="12">
        <v>7.3144301968572911E-3</v>
      </c>
      <c r="G100" s="12">
        <v>5.4272371576422618E-3</v>
      </c>
      <c r="H100" s="12">
        <v>1.9963275107114375E-2</v>
      </c>
      <c r="I100" s="12">
        <v>2.5506432056779715E-2</v>
      </c>
      <c r="J100" s="12">
        <v>5.8393472006037506E-2</v>
      </c>
      <c r="K100" s="12">
        <v>1.1082890787347033E-2</v>
      </c>
      <c r="L100" s="12">
        <v>1.7972947934037364E-2</v>
      </c>
      <c r="M100" s="13">
        <f t="shared" si="19"/>
        <v>1.7357386865045715E-2</v>
      </c>
      <c r="N100" s="32">
        <f t="shared" si="20"/>
        <v>116.13965336112922</v>
      </c>
      <c r="O100" s="32">
        <f t="shared" si="21"/>
        <v>114.72508085857105</v>
      </c>
      <c r="P100" s="12" t="str">
        <f t="shared" si="22"/>
        <v/>
      </c>
      <c r="Q100" s="13">
        <f t="shared" si="23"/>
        <v>-6.414653437221491E-3</v>
      </c>
      <c r="R100" s="49">
        <f t="shared" si="24"/>
        <v>1</v>
      </c>
    </row>
    <row r="101" spans="1:18" x14ac:dyDescent="0.35">
      <c r="A101" s="64" t="s">
        <v>77</v>
      </c>
      <c r="B101" s="14">
        <v>-8.0731969860065034E-3</v>
      </c>
      <c r="C101" s="12">
        <v>-2.0893653650520427E-2</v>
      </c>
      <c r="D101" s="12">
        <v>-3.4683083326106923E-3</v>
      </c>
      <c r="E101" s="12">
        <v>-1.2956866717312332E-2</v>
      </c>
      <c r="F101" s="12">
        <v>-2.9881966233324952E-5</v>
      </c>
      <c r="G101" s="12">
        <v>-1.8830027617372513E-3</v>
      </c>
      <c r="H101" s="12">
        <v>-3.969902598901287E-3</v>
      </c>
      <c r="I101" s="12">
        <v>3.8930142022925995E-3</v>
      </c>
      <c r="J101" s="12">
        <v>-5.5706582289762885E-3</v>
      </c>
      <c r="K101" s="12">
        <v>-9.5912308746289865E-3</v>
      </c>
      <c r="L101" s="12">
        <v>-1.7928649435748123E-2</v>
      </c>
      <c r="M101" s="13">
        <f t="shared" si="19"/>
        <v>-7.1994611354706667E-3</v>
      </c>
      <c r="N101" s="32">
        <f t="shared" si="20"/>
        <v>115.30351044046874</v>
      </c>
      <c r="O101" s="32">
        <f t="shared" si="21"/>
        <v>113.79888268156428</v>
      </c>
      <c r="P101" s="12">
        <f t="shared" si="22"/>
        <v>-7.1994611354706667E-3</v>
      </c>
      <c r="Q101" s="13">
        <f t="shared" si="23"/>
        <v>8.7373585053583669E-4</v>
      </c>
      <c r="R101" s="49" t="str">
        <f t="shared" si="24"/>
        <v/>
      </c>
    </row>
    <row r="102" spans="1:18" x14ac:dyDescent="0.35">
      <c r="A102" s="64">
        <v>4.8099999999999996</v>
      </c>
      <c r="B102" s="14">
        <v>-1.3073921918197673E-2</v>
      </c>
      <c r="C102" s="12">
        <v>-2.4456521739130488E-2</v>
      </c>
      <c r="D102" s="12">
        <v>1.6879839902549376E-2</v>
      </c>
      <c r="E102" s="12">
        <v>-2.6980801299867463E-2</v>
      </c>
      <c r="F102" s="12">
        <v>-5.2892660769782163E-3</v>
      </c>
      <c r="G102" s="12">
        <v>-1.760784806942528E-2</v>
      </c>
      <c r="H102" s="12">
        <v>-4.2637994160449333E-3</v>
      </c>
      <c r="I102" s="12">
        <v>2.3985637342908372E-2</v>
      </c>
      <c r="J102" s="12">
        <v>2.428968360670436E-2</v>
      </c>
      <c r="K102" s="12">
        <v>-1.936822688494344E-2</v>
      </c>
      <c r="L102" s="12">
        <v>-4.2164766935408604E-3</v>
      </c>
      <c r="M102" s="13">
        <f t="shared" si="19"/>
        <v>4.5411112221727394E-4</v>
      </c>
      <c r="N102" s="32">
        <f t="shared" si="20"/>
        <v>115.35587104699047</v>
      </c>
      <c r="O102" s="32">
        <f t="shared" si="21"/>
        <v>112.31108497500738</v>
      </c>
      <c r="P102" s="12" t="str">
        <f t="shared" si="22"/>
        <v/>
      </c>
      <c r="Q102" s="13">
        <f t="shared" si="23"/>
        <v>1.3528033040414948E-2</v>
      </c>
      <c r="R102" s="49">
        <f t="shared" si="24"/>
        <v>1</v>
      </c>
    </row>
    <row r="103" spans="1:18" x14ac:dyDescent="0.35">
      <c r="A103" s="64" t="s">
        <v>77</v>
      </c>
      <c r="B103" s="14">
        <v>-1.3404194046652829E-2</v>
      </c>
      <c r="C103" s="12">
        <v>-1.5811895788956254E-2</v>
      </c>
      <c r="D103" s="12">
        <v>-1.8396508941559087E-2</v>
      </c>
      <c r="E103" s="12">
        <v>-3.6473896994200228E-3</v>
      </c>
      <c r="F103" s="12">
        <v>2.8239252561059747E-3</v>
      </c>
      <c r="G103" s="12">
        <v>-2.0163871463320993E-2</v>
      </c>
      <c r="H103" s="12">
        <v>-1.5592273679311153E-2</v>
      </c>
      <c r="I103" s="12">
        <v>6.3118030717435047E-4</v>
      </c>
      <c r="J103" s="12">
        <v>-1.6844592229611433E-2</v>
      </c>
      <c r="K103" s="12">
        <v>-4.7025628967789501E-4</v>
      </c>
      <c r="L103" s="12">
        <v>-9.9576566934995725E-3</v>
      </c>
      <c r="M103" s="13">
        <f t="shared" si="19"/>
        <v>-7.236537042007652E-3</v>
      </c>
      <c r="N103" s="32">
        <f t="shared" si="20"/>
        <v>114.52109401314587</v>
      </c>
      <c r="O103" s="32">
        <f t="shared" si="21"/>
        <v>110.80564539841227</v>
      </c>
      <c r="P103" s="12">
        <f t="shared" si="22"/>
        <v>-7.236537042007652E-3</v>
      </c>
      <c r="Q103" s="13">
        <f t="shared" si="23"/>
        <v>6.1676570046451766E-3</v>
      </c>
      <c r="R103" s="49" t="str">
        <f t="shared" si="24"/>
        <v/>
      </c>
    </row>
    <row r="104" spans="1:18" x14ac:dyDescent="0.35">
      <c r="A104" s="64" t="s">
        <v>77</v>
      </c>
      <c r="B104" s="14">
        <v>1.9477245588430447E-2</v>
      </c>
      <c r="C104" s="12">
        <v>1.0738366769333263E-2</v>
      </c>
      <c r="D104" s="12">
        <v>2.2663877266387633E-2</v>
      </c>
      <c r="E104" s="12">
        <v>2.1479292550610873E-2</v>
      </c>
      <c r="F104" s="12">
        <v>3.9813067313741346E-2</v>
      </c>
      <c r="G104" s="12">
        <v>1.9794865094401315E-2</v>
      </c>
      <c r="H104" s="12">
        <v>1.8486997635933866E-2</v>
      </c>
      <c r="I104" s="12">
        <v>3.2590412111017653E-2</v>
      </c>
      <c r="J104" s="12">
        <v>-6.6307685461262089E-3</v>
      </c>
      <c r="K104" s="12">
        <v>1.2467654669489514E-2</v>
      </c>
      <c r="L104" s="12">
        <v>3.4732340085538382E-2</v>
      </c>
      <c r="M104" s="13">
        <f t="shared" si="19"/>
        <v>2.4182305760881158E-2</v>
      </c>
      <c r="N104" s="32">
        <f t="shared" si="20"/>
        <v>117.29047812464239</v>
      </c>
      <c r="O104" s="32">
        <f t="shared" si="21"/>
        <v>112.96383416642168</v>
      </c>
      <c r="P104" s="12" t="str">
        <f t="shared" si="22"/>
        <v/>
      </c>
      <c r="Q104" s="13">
        <f t="shared" si="23"/>
        <v>4.7050601724507105E-3</v>
      </c>
      <c r="R104" s="49">
        <f t="shared" si="24"/>
        <v>1</v>
      </c>
    </row>
    <row r="105" spans="1:18" x14ac:dyDescent="0.35">
      <c r="A105" s="64" t="s">
        <v>77</v>
      </c>
      <c r="B105" s="14">
        <v>-5.3619302949061698E-3</v>
      </c>
      <c r="C105" s="12">
        <v>-4.1673529896227968E-2</v>
      </c>
      <c r="D105" s="12">
        <v>1.6109785202863991E-2</v>
      </c>
      <c r="E105" s="12">
        <v>-1.8177892918825544E-2</v>
      </c>
      <c r="F105" s="12">
        <v>8.8447133390954225E-3</v>
      </c>
      <c r="G105" s="12">
        <v>8.3279948750800692E-3</v>
      </c>
      <c r="H105" s="12">
        <v>2.2561626665428713E-2</v>
      </c>
      <c r="I105" s="12">
        <v>1.9955202606393829E-2</v>
      </c>
      <c r="J105" s="12">
        <v>3.6287071050982167E-3</v>
      </c>
      <c r="K105" s="12">
        <v>-9.526022304832682E-3</v>
      </c>
      <c r="L105" s="12">
        <v>6.4498546511628785E-3</v>
      </c>
      <c r="M105" s="13">
        <f t="shared" si="19"/>
        <v>4.7066780945576097E-3</v>
      </c>
      <c r="N105" s="32">
        <f t="shared" si="20"/>
        <v>117.84252664873185</v>
      </c>
      <c r="O105" s="32">
        <f t="shared" si="21"/>
        <v>112.35812996177599</v>
      </c>
      <c r="P105" s="12" t="str">
        <f t="shared" si="22"/>
        <v/>
      </c>
      <c r="Q105" s="13">
        <f t="shared" si="23"/>
        <v>1.006860838946378E-2</v>
      </c>
      <c r="R105" s="49">
        <f t="shared" si="24"/>
        <v>1</v>
      </c>
    </row>
    <row r="106" spans="1:18" x14ac:dyDescent="0.35">
      <c r="A106" s="64" t="s">
        <v>77</v>
      </c>
      <c r="B106" s="14">
        <v>1.4157485672415149E-2</v>
      </c>
      <c r="C106" s="12">
        <v>4.0563767617737945E-2</v>
      </c>
      <c r="D106" s="12">
        <v>-5.0331348041271484E-3</v>
      </c>
      <c r="E106" s="12">
        <v>2.8101499626193016E-2</v>
      </c>
      <c r="F106" s="12">
        <v>5.1689179541365426E-3</v>
      </c>
      <c r="G106" s="12">
        <v>1.9059720457432761E-3</v>
      </c>
      <c r="H106" s="12">
        <v>4.0858945839206129E-4</v>
      </c>
      <c r="I106" s="12">
        <v>-3.4404738138018365E-2</v>
      </c>
      <c r="J106" s="12">
        <v>2.9371066375039057E-2</v>
      </c>
      <c r="K106" s="12">
        <v>7.7410274454610128E-3</v>
      </c>
      <c r="L106" s="12">
        <v>-2.1572344074374916E-2</v>
      </c>
      <c r="M106" s="13">
        <f t="shared" si="19"/>
        <v>-6.0407817657380314E-3</v>
      </c>
      <c r="N106" s="32">
        <f t="shared" si="20"/>
        <v>117.13066566252368</v>
      </c>
      <c r="O106" s="32">
        <f t="shared" si="21"/>
        <v>113.94883857688919</v>
      </c>
      <c r="P106" s="12">
        <f t="shared" si="22"/>
        <v>-6.0407817657380314E-3</v>
      </c>
      <c r="Q106" s="13">
        <f t="shared" si="23"/>
        <v>-2.0198267438153179E-2</v>
      </c>
      <c r="R106" s="49" t="str">
        <f t="shared" si="24"/>
        <v/>
      </c>
    </row>
    <row r="107" spans="1:18" x14ac:dyDescent="0.35">
      <c r="A107" s="64">
        <v>4.95</v>
      </c>
      <c r="B107" s="14">
        <v>6.0380863910822757E-3</v>
      </c>
      <c r="C107" s="12">
        <v>-9.0849025437726993E-3</v>
      </c>
      <c r="D107" s="12">
        <v>2.976140291712337E-2</v>
      </c>
      <c r="E107" s="12">
        <v>-5.8174351954829451E-3</v>
      </c>
      <c r="F107" s="12">
        <v>-6.7617478265810105E-3</v>
      </c>
      <c r="G107" s="12">
        <v>9.1946734305645705E-3</v>
      </c>
      <c r="H107" s="12">
        <v>1.2751860591758923E-2</v>
      </c>
      <c r="I107" s="12">
        <v>1.1371467953135816E-2</v>
      </c>
      <c r="J107" s="12">
        <v>6.3874073110446128E-2</v>
      </c>
      <c r="K107" s="12">
        <v>2.5605214152700118E-2</v>
      </c>
      <c r="L107" s="12">
        <v>1.9649446494464984E-2</v>
      </c>
      <c r="M107" s="13">
        <f t="shared" si="19"/>
        <v>1.8627150589793955E-2</v>
      </c>
      <c r="N107" s="32">
        <f t="shared" si="20"/>
        <v>119.31247621050231</v>
      </c>
      <c r="O107" s="32">
        <f t="shared" si="21"/>
        <v>114.63687150837994</v>
      </c>
      <c r="P107" s="12" t="str">
        <f t="shared" si="22"/>
        <v/>
      </c>
      <c r="Q107" s="13">
        <f t="shared" si="23"/>
        <v>1.258906419871168E-2</v>
      </c>
      <c r="R107" s="49">
        <f t="shared" si="24"/>
        <v>1</v>
      </c>
    </row>
    <row r="108" spans="1:18" x14ac:dyDescent="0.35">
      <c r="A108" s="64" t="s">
        <v>77</v>
      </c>
      <c r="B108" s="14">
        <v>1.0387811634348987E-2</v>
      </c>
      <c r="C108" s="12">
        <v>1.6502750458409654E-2</v>
      </c>
      <c r="D108" s="12">
        <v>-5.7311282135255048E-3</v>
      </c>
      <c r="E108" s="12">
        <v>2.0265037432234845E-2</v>
      </c>
      <c r="F108" s="12">
        <v>1.0011441647597152E-2</v>
      </c>
      <c r="G108" s="12">
        <v>-6.2833804586936992E-5</v>
      </c>
      <c r="H108" s="12">
        <v>1.3353049244970272E-2</v>
      </c>
      <c r="I108" s="12">
        <v>6.8143100511073307E-3</v>
      </c>
      <c r="J108" s="12">
        <v>2.7146001467351466E-2</v>
      </c>
      <c r="K108" s="12">
        <v>-4.5392646391295699E-4</v>
      </c>
      <c r="L108" s="12">
        <v>-5.8807563557405906E-3</v>
      </c>
      <c r="M108" s="13">
        <f t="shared" si="19"/>
        <v>1.4514717179679084E-3</v>
      </c>
      <c r="N108" s="32">
        <f t="shared" si="20"/>
        <v>119.48565489532257</v>
      </c>
      <c r="O108" s="32">
        <f t="shared" si="21"/>
        <v>115.82769773596006</v>
      </c>
      <c r="P108" s="12" t="str">
        <f t="shared" si="22"/>
        <v/>
      </c>
      <c r="Q108" s="13">
        <f t="shared" si="23"/>
        <v>-8.9363399163810784E-3</v>
      </c>
      <c r="R108" s="49">
        <f t="shared" si="24"/>
        <v>1</v>
      </c>
    </row>
    <row r="109" spans="1:18" x14ac:dyDescent="0.35">
      <c r="A109" s="64" t="s">
        <v>77</v>
      </c>
      <c r="B109" s="14">
        <v>1.0154088289797691E-3</v>
      </c>
      <c r="C109" s="12">
        <v>-7.6254509675303117E-3</v>
      </c>
      <c r="D109" s="12">
        <v>3.7055335968378955E-3</v>
      </c>
      <c r="E109" s="12">
        <v>-5.8195926285159461E-3</v>
      </c>
      <c r="F109" s="12">
        <v>8.2696120079297497E-3</v>
      </c>
      <c r="G109" s="12">
        <v>2.8905366344100791E-3</v>
      </c>
      <c r="H109" s="12">
        <v>-7.9151005969488875E-3</v>
      </c>
      <c r="I109" s="12">
        <v>5.346869712351987E-3</v>
      </c>
      <c r="J109" s="12">
        <v>6.8214285714285783E-2</v>
      </c>
      <c r="K109" s="12">
        <v>1.5213442325159088E-2</v>
      </c>
      <c r="L109" s="12">
        <v>4.2045868219876326E-2</v>
      </c>
      <c r="M109" s="13">
        <f t="shared" si="19"/>
        <v>1.1796514005833241E-2</v>
      </c>
      <c r="N109" s="32">
        <f t="shared" si="20"/>
        <v>120.89516909679139</v>
      </c>
      <c r="O109" s="32">
        <f t="shared" si="21"/>
        <v>115.94531020288156</v>
      </c>
      <c r="P109" s="12" t="str">
        <f t="shared" si="22"/>
        <v/>
      </c>
      <c r="Q109" s="13">
        <f t="shared" si="23"/>
        <v>1.0781105176853472E-2</v>
      </c>
      <c r="R109" s="49">
        <f t="shared" si="24"/>
        <v>1</v>
      </c>
    </row>
    <row r="110" spans="1:18" x14ac:dyDescent="0.35">
      <c r="A110" s="64" t="s">
        <v>77</v>
      </c>
      <c r="B110" s="14">
        <v>6.4920244465296317E-3</v>
      </c>
      <c r="C110" s="12">
        <v>2.4456746261257489E-2</v>
      </c>
      <c r="D110" s="12">
        <v>7.5477889900730233E-3</v>
      </c>
      <c r="E110" s="12">
        <v>-3.9872746553551996E-3</v>
      </c>
      <c r="F110" s="12">
        <v>-6.0108982641424724E-3</v>
      </c>
      <c r="G110" s="12">
        <v>5.1378446115288856E-3</v>
      </c>
      <c r="H110" s="12">
        <v>-4.8582635050811174E-3</v>
      </c>
      <c r="I110" s="12">
        <v>-1.0434899690318966E-2</v>
      </c>
      <c r="J110" s="12">
        <v>-1.3224859764478625E-2</v>
      </c>
      <c r="K110" s="12">
        <v>-5.1442630284053159E-3</v>
      </c>
      <c r="L110" s="12">
        <v>7.5982532751091014E-3</v>
      </c>
      <c r="M110" s="13">
        <f t="shared" si="19"/>
        <v>-3.4884280958194427E-4</v>
      </c>
      <c r="N110" s="32">
        <f t="shared" si="20"/>
        <v>120.85299568633879</v>
      </c>
      <c r="O110" s="32">
        <f t="shared" si="21"/>
        <v>116.69802999117913</v>
      </c>
      <c r="P110" s="12">
        <f t="shared" si="22"/>
        <v>-3.4884280958194427E-4</v>
      </c>
      <c r="Q110" s="13">
        <f t="shared" si="23"/>
        <v>-6.840867256111576E-3</v>
      </c>
      <c r="R110" s="49" t="str">
        <f t="shared" si="24"/>
        <v/>
      </c>
    </row>
    <row r="111" spans="1:18" x14ac:dyDescent="0.35">
      <c r="A111" s="64" t="s">
        <v>77</v>
      </c>
      <c r="B111" s="14">
        <v>-1.5621456826829805E-3</v>
      </c>
      <c r="C111" s="12">
        <v>1.2742963142188923E-2</v>
      </c>
      <c r="D111" s="12">
        <v>-2.6056510056184923E-3</v>
      </c>
      <c r="E111" s="12">
        <v>1.2350410970571879E-2</v>
      </c>
      <c r="F111" s="12">
        <v>2.0345879959309254E-3</v>
      </c>
      <c r="G111" s="12">
        <v>5.9219548684703582E-3</v>
      </c>
      <c r="H111" s="12">
        <v>6.4048013615800592E-3</v>
      </c>
      <c r="I111" s="12">
        <v>-2.5103748554323402E-2</v>
      </c>
      <c r="J111" s="12">
        <v>-3.9227496894176039E-2</v>
      </c>
      <c r="K111" s="12">
        <v>-4.4964028776972587E-4</v>
      </c>
      <c r="L111" s="12">
        <v>-1.8549016208719737E-2</v>
      </c>
      <c r="M111" s="13">
        <f t="shared" si="19"/>
        <v>-7.0899572748348008E-3</v>
      </c>
      <c r="N111" s="32">
        <f t="shared" si="20"/>
        <v>119.99615311038686</v>
      </c>
      <c r="O111" s="32">
        <f t="shared" si="21"/>
        <v>116.5157306674508</v>
      </c>
      <c r="P111" s="12">
        <f t="shared" si="22"/>
        <v>-7.0899572748348008E-3</v>
      </c>
      <c r="Q111" s="13">
        <f t="shared" si="23"/>
        <v>-5.5278115921518203E-3</v>
      </c>
      <c r="R111" s="49" t="str">
        <f t="shared" si="24"/>
        <v/>
      </c>
    </row>
    <row r="112" spans="1:18" x14ac:dyDescent="0.35">
      <c r="A112" s="64">
        <v>4.9000000000000004</v>
      </c>
      <c r="B112" s="14">
        <v>2.8768264062382087E-3</v>
      </c>
      <c r="C112" s="12">
        <v>-6.4505853308910455E-3</v>
      </c>
      <c r="D112" s="12">
        <v>6.1229488121479214E-3</v>
      </c>
      <c r="E112" s="12">
        <v>-2.8185604307771062E-3</v>
      </c>
      <c r="F112" s="12">
        <v>-6.8245910885504912E-3</v>
      </c>
      <c r="G112" s="12">
        <v>-3.7181632273656229E-3</v>
      </c>
      <c r="H112" s="12">
        <v>-7.4766355140185592E-3</v>
      </c>
      <c r="I112" s="12">
        <v>9.6301465457082625E-3</v>
      </c>
      <c r="J112" s="12">
        <v>3.2835703930096605E-2</v>
      </c>
      <c r="K112" s="12">
        <v>-8.3220872694556025E-3</v>
      </c>
      <c r="L112" s="12">
        <v>3.1661220524595857E-2</v>
      </c>
      <c r="M112" s="13">
        <f t="shared" si="19"/>
        <v>6.6686290631503683E-3</v>
      </c>
      <c r="N112" s="32">
        <f t="shared" si="20"/>
        <v>120.79636294448503</v>
      </c>
      <c r="O112" s="32">
        <f t="shared" si="21"/>
        <v>116.85092619817706</v>
      </c>
      <c r="P112" s="12" t="str">
        <f t="shared" si="22"/>
        <v/>
      </c>
      <c r="Q112" s="13">
        <f t="shared" si="23"/>
        <v>3.7918026569121596E-3</v>
      </c>
      <c r="R112" s="49">
        <f t="shared" si="24"/>
        <v>1</v>
      </c>
    </row>
    <row r="113" spans="1:18" x14ac:dyDescent="0.35">
      <c r="A113" s="64" t="s">
        <v>77</v>
      </c>
      <c r="B113" s="14">
        <v>-1.4745476963337611E-2</v>
      </c>
      <c r="C113" s="12">
        <v>-3.3905097787752525E-2</v>
      </c>
      <c r="D113" s="12">
        <v>8.0331061343721366E-3</v>
      </c>
      <c r="E113" s="12">
        <v>-2.6662166722915881E-2</v>
      </c>
      <c r="F113" s="12">
        <v>2.802544153557851E-2</v>
      </c>
      <c r="G113" s="12">
        <v>-1.8660197798097133E-3</v>
      </c>
      <c r="H113" s="12">
        <v>-1.0582010582010692E-2</v>
      </c>
      <c r="I113" s="12">
        <v>-1.4514791263477989E-2</v>
      </c>
      <c r="J113" s="12">
        <v>-2.8567092833567176E-2</v>
      </c>
      <c r="K113" s="12">
        <v>-1.7010660013608514E-2</v>
      </c>
      <c r="L113" s="12">
        <v>-1.2626803064674896E-2</v>
      </c>
      <c r="M113" s="13">
        <f t="shared" si="19"/>
        <v>-1.0247666137556396E-2</v>
      </c>
      <c r="N113" s="32">
        <f t="shared" si="20"/>
        <v>119.55848214639886</v>
      </c>
      <c r="O113" s="32">
        <f t="shared" si="21"/>
        <v>115.12790355777717</v>
      </c>
      <c r="P113" s="12">
        <f t="shared" si="22"/>
        <v>-1.0247666137556396E-2</v>
      </c>
      <c r="Q113" s="13">
        <f t="shared" si="23"/>
        <v>4.4978108257812156E-3</v>
      </c>
      <c r="R113" s="49" t="str">
        <f t="shared" si="24"/>
        <v/>
      </c>
    </row>
    <row r="114" spans="1:18" x14ac:dyDescent="0.35">
      <c r="A114" s="64" t="s">
        <v>77</v>
      </c>
      <c r="B114" s="14">
        <v>-6.1294853786231229E-4</v>
      </c>
      <c r="C114" s="12">
        <v>-4.4802123952543127E-3</v>
      </c>
      <c r="D114" s="12">
        <v>-8.9350398454479674E-3</v>
      </c>
      <c r="E114" s="12">
        <v>-1.6036754507628981E-3</v>
      </c>
      <c r="F114" s="12">
        <v>9.7500345256178456E-3</v>
      </c>
      <c r="G114" s="12">
        <v>-2.6796285910138939E-3</v>
      </c>
      <c r="H114" s="12">
        <v>-6.2358379407232767E-2</v>
      </c>
      <c r="I114" s="12">
        <v>-1.3115443961284945E-2</v>
      </c>
      <c r="J114" s="12">
        <v>-9.3728032492390589E-4</v>
      </c>
      <c r="K114" s="12">
        <v>1.3151822796492629E-2</v>
      </c>
      <c r="L114" s="12">
        <v>-2.3365701404543193E-2</v>
      </c>
      <c r="M114" s="13">
        <f t="shared" si="19"/>
        <v>-6.2342001491181558E-3</v>
      </c>
      <c r="N114" s="32">
        <f t="shared" si="20"/>
        <v>118.81313063917344</v>
      </c>
      <c r="O114" s="32">
        <f t="shared" si="21"/>
        <v>115.05733607762429</v>
      </c>
      <c r="P114" s="12">
        <f t="shared" si="22"/>
        <v>-6.2342001491181558E-3</v>
      </c>
      <c r="Q114" s="13">
        <f t="shared" si="23"/>
        <v>-5.6212516112558435E-3</v>
      </c>
      <c r="R114" s="49" t="str">
        <f t="shared" si="24"/>
        <v/>
      </c>
    </row>
    <row r="115" spans="1:18" x14ac:dyDescent="0.35">
      <c r="A115" s="64" t="s">
        <v>77</v>
      </c>
      <c r="B115" s="14">
        <v>7.027676266898375E-3</v>
      </c>
      <c r="C115" s="12">
        <v>2.8335694641220099E-2</v>
      </c>
      <c r="D115" s="12">
        <v>1.2833008447043603E-2</v>
      </c>
      <c r="E115" s="12">
        <v>2.4484480138919018E-2</v>
      </c>
      <c r="F115" s="12">
        <v>3.5012856283167526E-3</v>
      </c>
      <c r="G115" s="12">
        <v>2.8742814296427444E-3</v>
      </c>
      <c r="H115" s="12">
        <v>5.3165780570323395E-3</v>
      </c>
      <c r="I115" s="12">
        <v>-5.4011797313625598E-3</v>
      </c>
      <c r="J115" s="12">
        <v>-1.7942303181924801E-2</v>
      </c>
      <c r="K115" s="12">
        <v>4.7825096788887134E-3</v>
      </c>
      <c r="L115" s="12">
        <v>3.2402680988947719E-3</v>
      </c>
      <c r="M115" s="13">
        <f t="shared" si="19"/>
        <v>7.5071568677210088E-3</v>
      </c>
      <c r="N115" s="32">
        <f t="shared" si="20"/>
        <v>119.70507944882674</v>
      </c>
      <c r="O115" s="32">
        <f t="shared" si="21"/>
        <v>115.86592178770955</v>
      </c>
      <c r="P115" s="12" t="str">
        <f t="shared" si="22"/>
        <v/>
      </c>
      <c r="Q115" s="13">
        <f t="shared" si="23"/>
        <v>4.7948060082263384E-4</v>
      </c>
      <c r="R115" s="49">
        <f t="shared" si="24"/>
        <v>1</v>
      </c>
    </row>
    <row r="116" spans="1:18" x14ac:dyDescent="0.35">
      <c r="A116" s="64" t="s">
        <v>77</v>
      </c>
      <c r="B116" s="14">
        <v>-7.6384306958331427E-3</v>
      </c>
      <c r="C116" s="12">
        <v>-6.8887268011994518E-3</v>
      </c>
      <c r="D116" s="12">
        <v>-7.2173215717730166E-4</v>
      </c>
      <c r="E116" s="12">
        <v>6.7375736260011365E-3</v>
      </c>
      <c r="F116" s="12">
        <v>4.4703701684565278E-3</v>
      </c>
      <c r="G116" s="12">
        <v>-9.3457943925234765E-4</v>
      </c>
      <c r="H116" s="12">
        <v>7.2115384615378808E-4</v>
      </c>
      <c r="I116" s="12">
        <v>-2.7652733118970874E-2</v>
      </c>
      <c r="J116" s="12">
        <v>-3.9724555188472621E-2</v>
      </c>
      <c r="K116" s="12">
        <v>1.201269265639171E-2</v>
      </c>
      <c r="L116" s="12">
        <v>-3.4377488717812654E-2</v>
      </c>
      <c r="M116" s="13">
        <f t="shared" si="19"/>
        <v>-7.747444108341774E-3</v>
      </c>
      <c r="N116" s="32">
        <f t="shared" si="20"/>
        <v>118.77767103631233</v>
      </c>
      <c r="O116" s="32">
        <f t="shared" si="21"/>
        <v>114.98088797412531</v>
      </c>
      <c r="P116" s="12">
        <f t="shared" si="22"/>
        <v>-7.747444108341774E-3</v>
      </c>
      <c r="Q116" s="13">
        <f t="shared" si="23"/>
        <v>-1.0901341250863124E-4</v>
      </c>
      <c r="R116" s="49" t="str">
        <f t="shared" si="24"/>
        <v/>
      </c>
    </row>
    <row r="117" spans="1:18" x14ac:dyDescent="0.35">
      <c r="A117" s="64">
        <v>4.8</v>
      </c>
      <c r="B117" s="14">
        <v>-5.4724459787751645E-3</v>
      </c>
      <c r="C117" s="12">
        <v>-1.9993471519503814E-2</v>
      </c>
      <c r="D117" s="12">
        <v>1.2037557178397051E-3</v>
      </c>
      <c r="E117" s="12">
        <v>-8.9233100429328971E-3</v>
      </c>
      <c r="F117" s="12">
        <v>5.6987788331073208E-3</v>
      </c>
      <c r="G117" s="12">
        <v>9.7287184284378103E-3</v>
      </c>
      <c r="H117" s="12">
        <v>-3.8433821763161902E-4</v>
      </c>
      <c r="I117" s="12">
        <v>1.7195767195766987E-2</v>
      </c>
      <c r="J117" s="12">
        <v>-8.3316062176165273E-3</v>
      </c>
      <c r="K117" s="12">
        <v>-6.2709966405375406E-3</v>
      </c>
      <c r="L117" s="12">
        <v>1.3654066437571499E-2</v>
      </c>
      <c r="M117" s="13">
        <f t="shared" si="19"/>
        <v>3.3217053937092495E-3</v>
      </c>
      <c r="N117" s="32">
        <f t="shared" si="20"/>
        <v>119.17221546684588</v>
      </c>
      <c r="O117" s="32">
        <f t="shared" si="21"/>
        <v>114.35166127609531</v>
      </c>
      <c r="P117" s="12" t="str">
        <f t="shared" si="22"/>
        <v/>
      </c>
      <c r="Q117" s="13">
        <f t="shared" si="23"/>
        <v>8.7941513724844149E-3</v>
      </c>
      <c r="R117" s="49">
        <f t="shared" si="24"/>
        <v>1</v>
      </c>
    </row>
    <row r="118" spans="1:18" x14ac:dyDescent="0.35">
      <c r="A118" s="64" t="s">
        <v>77</v>
      </c>
      <c r="B118" s="14">
        <v>5.2454295338253409E-3</v>
      </c>
      <c r="C118" s="12">
        <v>4.1635440086602582E-3</v>
      </c>
      <c r="D118" s="12">
        <v>1.8756011542160778E-2</v>
      </c>
      <c r="E118" s="12">
        <v>-1.3250658285908434E-2</v>
      </c>
      <c r="F118" s="12">
        <v>1.3221802482459299E-3</v>
      </c>
      <c r="G118" s="12">
        <v>3.7057624606262607E-4</v>
      </c>
      <c r="H118" s="12">
        <v>-4.8060748786460383E-4</v>
      </c>
      <c r="I118" s="12">
        <v>2.7886143620864168E-2</v>
      </c>
      <c r="J118" s="12">
        <v>3.3230229058685889E-2</v>
      </c>
      <c r="K118" s="12">
        <v>6.7613252197431528E-3</v>
      </c>
      <c r="L118" s="12">
        <v>1.3650951498440644E-2</v>
      </c>
      <c r="M118" s="13">
        <f t="shared" si="19"/>
        <v>1.251482392232285E-2</v>
      </c>
      <c r="N118" s="32">
        <f t="shared" si="20"/>
        <v>120.66363475984659</v>
      </c>
      <c r="O118" s="32">
        <f t="shared" si="21"/>
        <v>114.95148485739493</v>
      </c>
      <c r="P118" s="12" t="str">
        <f t="shared" si="22"/>
        <v/>
      </c>
      <c r="Q118" s="13">
        <f t="shared" si="23"/>
        <v>7.2693943884975087E-3</v>
      </c>
      <c r="R118" s="49">
        <f t="shared" si="24"/>
        <v>1</v>
      </c>
    </row>
    <row r="119" spans="1:18" x14ac:dyDescent="0.35">
      <c r="A119" s="64" t="s">
        <v>77</v>
      </c>
      <c r="B119" s="14">
        <v>1.6626167029031746E-2</v>
      </c>
      <c r="C119" s="12">
        <v>5.1413881748070267E-3</v>
      </c>
      <c r="D119" s="12">
        <v>2.4940991345397512E-2</v>
      </c>
      <c r="E119" s="12">
        <v>1.7818713953688503E-2</v>
      </c>
      <c r="F119" s="12">
        <v>1.4524778355655021E-2</v>
      </c>
      <c r="G119" s="12">
        <v>1.8274989195530056E-2</v>
      </c>
      <c r="H119" s="12">
        <v>2.6734625186324967E-2</v>
      </c>
      <c r="I119" s="12">
        <v>1.019117233623823E-2</v>
      </c>
      <c r="J119" s="12">
        <v>-9.3854929406529397E-3</v>
      </c>
      <c r="K119" s="12">
        <v>8.2829639579136138E-3</v>
      </c>
      <c r="L119" s="12">
        <v>2.3411371237458178E-2</v>
      </c>
      <c r="M119" s="13">
        <f t="shared" si="19"/>
        <v>1.7123592379503949E-2</v>
      </c>
      <c r="N119" s="32">
        <f t="shared" si="20"/>
        <v>122.72982965650354</v>
      </c>
      <c r="O119" s="32">
        <f t="shared" si="21"/>
        <v>116.8626874448692</v>
      </c>
      <c r="P119" s="12" t="str">
        <f t="shared" si="22"/>
        <v/>
      </c>
      <c r="Q119" s="13">
        <f t="shared" si="23"/>
        <v>4.974253504722026E-4</v>
      </c>
      <c r="R119" s="49">
        <f t="shared" si="24"/>
        <v>1</v>
      </c>
    </row>
    <row r="120" spans="1:18" x14ac:dyDescent="0.35">
      <c r="A120" s="64" t="s">
        <v>77</v>
      </c>
      <c r="B120" s="14">
        <v>-8.5545351616556076E-4</v>
      </c>
      <c r="C120" s="12">
        <v>1.4850259879548577E-3</v>
      </c>
      <c r="D120" s="12">
        <v>-3.8381822368925844E-3</v>
      </c>
      <c r="E120" s="12">
        <v>-5.2435723951285151E-3</v>
      </c>
      <c r="F120" s="12">
        <v>6.8529536761581245E-3</v>
      </c>
      <c r="G120" s="12">
        <v>6.7301279330624908E-3</v>
      </c>
      <c r="H120" s="12">
        <v>4.5895190371376682E-3</v>
      </c>
      <c r="I120" s="12">
        <v>-9.4621860432755334E-3</v>
      </c>
      <c r="J120" s="12">
        <v>2.3073467554212357E-2</v>
      </c>
      <c r="K120" s="12">
        <v>1.1545293072824148E-2</v>
      </c>
      <c r="L120" s="12">
        <v>3.1372549019608176E-3</v>
      </c>
      <c r="M120" s="13">
        <f t="shared" si="19"/>
        <v>-4.8715452627272739E-4</v>
      </c>
      <c r="N120" s="32">
        <f t="shared" si="20"/>
        <v>122.6700412644777</v>
      </c>
      <c r="O120" s="32">
        <f t="shared" si="21"/>
        <v>116.76271684798593</v>
      </c>
      <c r="P120" s="12">
        <f t="shared" si="22"/>
        <v>-4.8715452627272739E-4</v>
      </c>
      <c r="Q120" s="13">
        <f t="shared" si="23"/>
        <v>3.6829898989283337E-4</v>
      </c>
      <c r="R120" s="49" t="str">
        <f t="shared" si="24"/>
        <v/>
      </c>
    </row>
    <row r="121" spans="1:18" x14ac:dyDescent="0.35">
      <c r="A121" s="64" t="s">
        <v>77</v>
      </c>
      <c r="B121" s="14">
        <v>-3.1477424391226361E-3</v>
      </c>
      <c r="C121" s="12">
        <v>-1.2274487190048533E-2</v>
      </c>
      <c r="D121" s="12">
        <v>-8.3994759959928889E-3</v>
      </c>
      <c r="E121" s="12">
        <v>-1.4410814487332169E-2</v>
      </c>
      <c r="F121" s="12">
        <v>-1.450957632037142E-2</v>
      </c>
      <c r="G121" s="12">
        <v>-6.2033245001205106E-3</v>
      </c>
      <c r="H121" s="12">
        <v>-1.2167264929373811E-2</v>
      </c>
      <c r="I121" s="12">
        <v>7.8668258762379928E-3</v>
      </c>
      <c r="J121" s="12">
        <v>5.947628931821658E-3</v>
      </c>
      <c r="K121" s="12">
        <v>-6.8042142230027025E-3</v>
      </c>
      <c r="L121" s="12">
        <v>1.2422899834940493E-2</v>
      </c>
      <c r="M121" s="13">
        <f t="shared" si="19"/>
        <v>-2.2029194522204419E-3</v>
      </c>
      <c r="N121" s="32">
        <f t="shared" si="20"/>
        <v>122.39980904437151</v>
      </c>
      <c r="O121" s="32">
        <f t="shared" si="21"/>
        <v>116.39517788885627</v>
      </c>
      <c r="P121" s="12">
        <f t="shared" si="22"/>
        <v>-2.2029194522204419E-3</v>
      </c>
      <c r="Q121" s="13">
        <f t="shared" si="23"/>
        <v>9.4482298690219419E-4</v>
      </c>
      <c r="R121" s="49" t="str">
        <f t="shared" si="24"/>
        <v/>
      </c>
    </row>
    <row r="122" spans="1:18" x14ac:dyDescent="0.35">
      <c r="A122" s="64">
        <v>4.63</v>
      </c>
      <c r="B122" s="14">
        <v>3.6123882180569833E-3</v>
      </c>
      <c r="C122" s="12">
        <v>1.8765638031693177E-2</v>
      </c>
      <c r="D122" s="12">
        <v>-1.0801989431147074E-2</v>
      </c>
      <c r="E122" s="12">
        <v>1.6907483286607849E-2</v>
      </c>
      <c r="F122" s="12">
        <v>-3.9886497483671013E-3</v>
      </c>
      <c r="G122" s="12">
        <v>-3.9997575904490157E-3</v>
      </c>
      <c r="H122" s="12">
        <v>-8.0226521944315454E-4</v>
      </c>
      <c r="I122" s="12">
        <v>-1.4286709875252712E-2</v>
      </c>
      <c r="J122" s="12">
        <v>1.0753541526129951E-2</v>
      </c>
      <c r="K122" s="12">
        <v>6.6298342541437627E-4</v>
      </c>
      <c r="L122" s="12">
        <v>-5.1913506092329254E-3</v>
      </c>
      <c r="M122" s="13">
        <f t="shared" si="19"/>
        <v>-4.103288834224195E-3</v>
      </c>
      <c r="N122" s="32">
        <f t="shared" si="20"/>
        <v>121.89756727460856</v>
      </c>
      <c r="O122" s="32">
        <f t="shared" si="21"/>
        <v>116.81564245810061</v>
      </c>
      <c r="P122" s="12">
        <f t="shared" si="22"/>
        <v>-4.103288834224195E-3</v>
      </c>
      <c r="Q122" s="13">
        <f t="shared" si="23"/>
        <v>-7.7156770522811783E-3</v>
      </c>
      <c r="R122" s="49" t="str">
        <f t="shared" si="24"/>
        <v/>
      </c>
    </row>
    <row r="123" spans="1:18" x14ac:dyDescent="0.35">
      <c r="A123" s="64" t="s">
        <v>77</v>
      </c>
      <c r="B123" s="14">
        <v>1.1830149261244927E-2</v>
      </c>
      <c r="C123" s="12">
        <v>6.9586573884568015E-3</v>
      </c>
      <c r="D123" s="12">
        <v>-2.3568230025927672E-4</v>
      </c>
      <c r="E123" s="12">
        <v>2.7908554947618347E-2</v>
      </c>
      <c r="F123" s="12">
        <v>-1.3438331496761324E-2</v>
      </c>
      <c r="G123" s="12">
        <v>-9.248554913294682E-3</v>
      </c>
      <c r="H123" s="12">
        <v>2.4228970859113241E-2</v>
      </c>
      <c r="I123" s="12">
        <v>2.2129524886877805E-2</v>
      </c>
      <c r="J123" s="12">
        <v>-6.9095477386934556E-3</v>
      </c>
      <c r="K123" s="12">
        <v>-1.5459363957597283E-3</v>
      </c>
      <c r="L123" s="12">
        <v>3.7521024712123818E-3</v>
      </c>
      <c r="M123" s="13">
        <f t="shared" si="19"/>
        <v>8.3659664991112773E-3</v>
      </c>
      <c r="N123" s="32">
        <f t="shared" si="20"/>
        <v>122.91735823875111</v>
      </c>
      <c r="O123" s="32">
        <f t="shared" si="21"/>
        <v>118.19758894442816</v>
      </c>
      <c r="P123" s="12" t="str">
        <f t="shared" si="22"/>
        <v/>
      </c>
      <c r="Q123" s="13">
        <f t="shared" si="23"/>
        <v>-3.4641827621336493E-3</v>
      </c>
      <c r="R123" s="49">
        <f t="shared" si="24"/>
        <v>1</v>
      </c>
    </row>
    <row r="124" spans="1:18" x14ac:dyDescent="0.35">
      <c r="A124" s="64" t="s">
        <v>77</v>
      </c>
      <c r="B124" s="14">
        <v>1.4428219607452997E-2</v>
      </c>
      <c r="C124" s="12">
        <v>2.3577235772357819E-2</v>
      </c>
      <c r="D124" s="12">
        <v>2.0273455917020344E-2</v>
      </c>
      <c r="E124" s="12">
        <v>2.7728491850629311E-2</v>
      </c>
      <c r="F124" s="12">
        <v>8.4724984335413644E-3</v>
      </c>
      <c r="G124" s="12">
        <v>3.6848246637597448E-3</v>
      </c>
      <c r="H124" s="12">
        <v>1.005256847735847E-2</v>
      </c>
      <c r="I124" s="12">
        <v>1.0306425952825604E-2</v>
      </c>
      <c r="J124" s="12">
        <v>2.5300442757748343E-2</v>
      </c>
      <c r="K124" s="12">
        <v>2.8091130280911258E-2</v>
      </c>
      <c r="L124" s="12">
        <v>4.1677408266735938E-3</v>
      </c>
      <c r="M124" s="13">
        <f t="shared" si="19"/>
        <v>1.8399221756192689E-2</v>
      </c>
      <c r="N124" s="32">
        <f t="shared" si="20"/>
        <v>125.17894197067127</v>
      </c>
      <c r="O124" s="32">
        <f t="shared" si="21"/>
        <v>119.90296971478983</v>
      </c>
      <c r="P124" s="12" t="str">
        <f t="shared" si="22"/>
        <v/>
      </c>
      <c r="Q124" s="13">
        <f t="shared" si="23"/>
        <v>3.971002148739692E-3</v>
      </c>
      <c r="R124" s="49">
        <f t="shared" si="24"/>
        <v>1</v>
      </c>
    </row>
    <row r="125" spans="1:18" x14ac:dyDescent="0.35">
      <c r="A125" s="64" t="s">
        <v>77</v>
      </c>
      <c r="B125" s="14">
        <v>-9.8089703033421571E-4</v>
      </c>
      <c r="C125" s="12">
        <v>2.4622716441620174E-3</v>
      </c>
      <c r="D125" s="12">
        <v>-1.2630930375847282E-2</v>
      </c>
      <c r="E125" s="12">
        <v>-4.8580720279438605E-3</v>
      </c>
      <c r="F125" s="12">
        <v>-1.5695067264574036E-2</v>
      </c>
      <c r="G125" s="12">
        <v>-2.4475310530513994E-4</v>
      </c>
      <c r="H125" s="12">
        <v>-1.7804967129291249E-3</v>
      </c>
      <c r="I125" s="12">
        <v>6.1618512939887182E-4</v>
      </c>
      <c r="J125" s="12">
        <v>-1.6155151141270974E-2</v>
      </c>
      <c r="K125" s="12">
        <v>4.7332185886403977E-3</v>
      </c>
      <c r="L125" s="12">
        <v>-1.31359377005692E-2</v>
      </c>
      <c r="M125" s="13">
        <f t="shared" si="19"/>
        <v>-5.2006471376417522E-3</v>
      </c>
      <c r="N125" s="32">
        <f t="shared" si="20"/>
        <v>124.52793046441847</v>
      </c>
      <c r="O125" s="32">
        <f t="shared" si="21"/>
        <v>119.78535724786835</v>
      </c>
      <c r="P125" s="12">
        <f t="shared" si="22"/>
        <v>-5.2006471376417522E-3</v>
      </c>
      <c r="Q125" s="13">
        <f t="shared" si="23"/>
        <v>-4.2197501073075365E-3</v>
      </c>
      <c r="R125" s="49" t="str">
        <f t="shared" si="24"/>
        <v/>
      </c>
    </row>
    <row r="126" spans="1:18" x14ac:dyDescent="0.35">
      <c r="A126" s="64" t="s">
        <v>77</v>
      </c>
      <c r="B126" s="14">
        <v>1.4727902010358562E-3</v>
      </c>
      <c r="C126" s="12">
        <v>1.3390381110847116E-2</v>
      </c>
      <c r="D126" s="12">
        <v>5.3042121684867549E-3</v>
      </c>
      <c r="E126" s="12">
        <v>8.2304526748970819E-3</v>
      </c>
      <c r="F126" s="12">
        <v>3.4854680681724037E-3</v>
      </c>
      <c r="G126" s="12">
        <v>1.3464716322910686E-3</v>
      </c>
      <c r="H126" s="12">
        <v>2.8355819803338456E-3</v>
      </c>
      <c r="I126" s="12">
        <v>6.7054396168320096E-3</v>
      </c>
      <c r="J126" s="12">
        <v>-1.0150096014421628E-2</v>
      </c>
      <c r="K126" s="12">
        <v>-2.1413276231263545E-3</v>
      </c>
      <c r="L126" s="12">
        <v>-9.9722511272970493E-4</v>
      </c>
      <c r="M126" s="13">
        <f t="shared" si="19"/>
        <v>3.2423392681913098E-3</v>
      </c>
      <c r="N126" s="32">
        <f t="shared" si="20"/>
        <v>124.93169226334986</v>
      </c>
      <c r="O126" s="32">
        <f t="shared" si="21"/>
        <v>119.96177594825059</v>
      </c>
      <c r="P126" s="12" t="str">
        <f t="shared" si="22"/>
        <v/>
      </c>
      <c r="Q126" s="13">
        <f t="shared" si="23"/>
        <v>1.7695490671554535E-3</v>
      </c>
      <c r="R126" s="49">
        <f t="shared" si="24"/>
        <v>1</v>
      </c>
    </row>
    <row r="127" spans="1:18" x14ac:dyDescent="0.35">
      <c r="A127" s="64">
        <v>4.53</v>
      </c>
      <c r="B127" s="14">
        <v>4.2403000073529817E-3</v>
      </c>
      <c r="C127" s="12">
        <v>1.9233776387802992E-2</v>
      </c>
      <c r="D127" s="12">
        <v>1.3966480446927498E-3</v>
      </c>
      <c r="E127" s="12">
        <v>1.3405362144857991E-2</v>
      </c>
      <c r="F127" s="12">
        <v>-2.0511978995733093E-3</v>
      </c>
      <c r="G127" s="12">
        <v>-3.9117413361042797E-3</v>
      </c>
      <c r="H127" s="12">
        <v>6.521639987230321E-3</v>
      </c>
      <c r="I127" s="12">
        <v>-6.1170393529530465E-4</v>
      </c>
      <c r="J127" s="12">
        <v>9.3831657296696847E-3</v>
      </c>
      <c r="K127" s="12">
        <v>-6.4377682403438108E-4</v>
      </c>
      <c r="L127" s="12">
        <v>3.0380625840886744E-4</v>
      </c>
      <c r="M127" s="13">
        <f t="shared" si="19"/>
        <v>2.0357387304332617E-3</v>
      </c>
      <c r="N127" s="32">
        <f t="shared" si="20"/>
        <v>125.18602054794893</v>
      </c>
      <c r="O127" s="32">
        <f t="shared" si="21"/>
        <v>120.47044986768603</v>
      </c>
      <c r="P127" s="12" t="str">
        <f t="shared" si="22"/>
        <v/>
      </c>
      <c r="Q127" s="13">
        <f t="shared" si="23"/>
        <v>-2.2045612769197201E-3</v>
      </c>
      <c r="R127" s="49">
        <f t="shared" si="24"/>
        <v>1</v>
      </c>
    </row>
    <row r="128" spans="1:18" x14ac:dyDescent="0.35">
      <c r="A128" s="64" t="s">
        <v>77</v>
      </c>
      <c r="B128" s="14">
        <v>7.7125842038465731E-3</v>
      </c>
      <c r="C128" s="12">
        <v>2.0251610923596175E-2</v>
      </c>
      <c r="D128" s="12">
        <v>4.4940337827366061E-3</v>
      </c>
      <c r="E128" s="12">
        <v>1.0266535044422431E-2</v>
      </c>
      <c r="F128" s="12">
        <v>3.1269697717120293E-2</v>
      </c>
      <c r="G128" s="12">
        <v>-1.0554089709762571E-2</v>
      </c>
      <c r="H128" s="12">
        <v>8.2464884458541832E-3</v>
      </c>
      <c r="I128" s="12">
        <v>5.032644178454948E-3</v>
      </c>
      <c r="J128" s="12">
        <v>-1.0158854677387641E-2</v>
      </c>
      <c r="K128" s="12">
        <v>4.2946102641194805E-4</v>
      </c>
      <c r="L128" s="12">
        <v>1.1714682401944287E-3</v>
      </c>
      <c r="M128" s="13">
        <f t="shared" si="19"/>
        <v>3.9248648340254252E-3</v>
      </c>
      <c r="N128" s="32">
        <f t="shared" si="20"/>
        <v>125.67735875770914</v>
      </c>
      <c r="O128" s="32">
        <f t="shared" si="21"/>
        <v>121.39958835636584</v>
      </c>
      <c r="P128" s="12" t="str">
        <f t="shared" si="22"/>
        <v/>
      </c>
      <c r="Q128" s="13">
        <f t="shared" si="23"/>
        <v>-3.7877193698211478E-3</v>
      </c>
      <c r="R128" s="49">
        <f t="shared" si="24"/>
        <v>1</v>
      </c>
    </row>
    <row r="129" spans="1:18" x14ac:dyDescent="0.35">
      <c r="A129" s="64" t="s">
        <v>77</v>
      </c>
      <c r="B129" s="14">
        <v>-1.9376089905065452E-4</v>
      </c>
      <c r="C129" s="12">
        <v>-1.3233082706766819E-2</v>
      </c>
      <c r="D129" s="12">
        <v>-8.3307621104595775E-3</v>
      </c>
      <c r="E129" s="12">
        <v>2.3451240961502862E-4</v>
      </c>
      <c r="F129" s="12">
        <v>-5.3149083178438694E-5</v>
      </c>
      <c r="G129" s="12">
        <v>2.4186046511627257E-3</v>
      </c>
      <c r="H129" s="12">
        <v>-4.7186769728564393E-3</v>
      </c>
      <c r="I129" s="12">
        <v>-1.4210312626878885E-3</v>
      </c>
      <c r="J129" s="12">
        <v>-1.1253764463464933E-2</v>
      </c>
      <c r="K129" s="12">
        <v>2.1463833440638069E-4</v>
      </c>
      <c r="L129" s="12">
        <v>7.8006500541705215E-4</v>
      </c>
      <c r="M129" s="13">
        <f t="shared" si="19"/>
        <v>-2.3480487240731631E-3</v>
      </c>
      <c r="N129" s="32">
        <f t="shared" si="20"/>
        <v>125.38226219583322</v>
      </c>
      <c r="O129" s="32">
        <f t="shared" si="21"/>
        <v>121.37606586298153</v>
      </c>
      <c r="P129" s="12">
        <f t="shared" si="22"/>
        <v>-2.3480487240731631E-3</v>
      </c>
      <c r="Q129" s="13">
        <f t="shared" si="23"/>
        <v>-2.1542878250225086E-3</v>
      </c>
      <c r="R129" s="49" t="str">
        <f t="shared" si="24"/>
        <v/>
      </c>
    </row>
    <row r="130" spans="1:18" x14ac:dyDescent="0.35">
      <c r="A130" s="64" t="s">
        <v>77</v>
      </c>
      <c r="B130" s="14">
        <v>3.294573643410903E-3</v>
      </c>
      <c r="C130" s="12">
        <v>2.430661383724475E-2</v>
      </c>
      <c r="D130" s="12">
        <v>-2.5357809583074098E-2</v>
      </c>
      <c r="E130" s="12">
        <v>1.0081669336876375E-2</v>
      </c>
      <c r="F130" s="12">
        <v>-4.7305198256616388E-3</v>
      </c>
      <c r="G130" s="12">
        <v>-1.3363028953229383E-2</v>
      </c>
      <c r="H130" s="12">
        <v>-2.031877906714219E-3</v>
      </c>
      <c r="I130" s="12">
        <v>-1.0706783221521854E-2</v>
      </c>
      <c r="J130" s="12">
        <v>1.5028855402372532E-2</v>
      </c>
      <c r="K130" s="12">
        <v>-3.0042918454935563E-3</v>
      </c>
      <c r="L130" s="12">
        <v>-6.8419001429005366E-3</v>
      </c>
      <c r="M130" s="13">
        <f t="shared" si="19"/>
        <v>-9.4609647803206298E-3</v>
      </c>
      <c r="N130" s="32">
        <f t="shared" si="20"/>
        <v>124.19602502912151</v>
      </c>
      <c r="O130" s="32">
        <f t="shared" si="21"/>
        <v>121.77594825051462</v>
      </c>
      <c r="P130" s="12">
        <f t="shared" si="22"/>
        <v>-9.4609647803206298E-3</v>
      </c>
      <c r="Q130" s="13">
        <f t="shared" si="23"/>
        <v>-1.2755538423731533E-2</v>
      </c>
      <c r="R130" s="49" t="str">
        <f t="shared" si="24"/>
        <v/>
      </c>
    </row>
    <row r="131" spans="1:18" x14ac:dyDescent="0.35">
      <c r="A131" s="64" t="s">
        <v>77</v>
      </c>
      <c r="B131" s="14">
        <v>-4.0805485802589692E-3</v>
      </c>
      <c r="C131" s="12">
        <v>-1.7853157777281914E-2</v>
      </c>
      <c r="D131" s="12">
        <v>1.101356743814863E-2</v>
      </c>
      <c r="E131" s="12">
        <v>-1.1219002669348943E-2</v>
      </c>
      <c r="F131" s="12">
        <v>3.0173564753004367E-3</v>
      </c>
      <c r="G131" s="12">
        <v>2.7589666415850367E-3</v>
      </c>
      <c r="H131" s="12">
        <v>4.3434983259431625E-3</v>
      </c>
      <c r="I131" s="12">
        <v>9.7951914514691207E-3</v>
      </c>
      <c r="J131" s="12">
        <v>-3.3166186283413168E-3</v>
      </c>
      <c r="K131" s="12">
        <v>-4.3047783039185106E-4</v>
      </c>
      <c r="L131" s="12">
        <v>1.4083278831480417E-2</v>
      </c>
      <c r="M131" s="13">
        <f t="shared" si="19"/>
        <v>5.6516935230957526E-3</v>
      </c>
      <c r="N131" s="32">
        <f t="shared" si="20"/>
        <v>124.89794289937284</v>
      </c>
      <c r="O131" s="32">
        <f t="shared" si="21"/>
        <v>121.2790355777713</v>
      </c>
      <c r="P131" s="12" t="str">
        <f t="shared" si="22"/>
        <v/>
      </c>
      <c r="Q131" s="13">
        <f t="shared" si="23"/>
        <v>9.7322421033547227E-3</v>
      </c>
      <c r="R131" s="49">
        <f t="shared" si="24"/>
        <v>1</v>
      </c>
    </row>
    <row r="132" spans="1:18" x14ac:dyDescent="0.35">
      <c r="A132" s="64">
        <v>4.4800000000000004</v>
      </c>
      <c r="B132" s="14">
        <v>1.1079593667418175E-2</v>
      </c>
      <c r="C132" s="12">
        <v>1.8707869423615797E-2</v>
      </c>
      <c r="D132" s="12">
        <v>-3.15756236185738E-4</v>
      </c>
      <c r="E132" s="12">
        <v>1.5297938103994602E-2</v>
      </c>
      <c r="F132" s="12">
        <v>3.8282352314777723E-2</v>
      </c>
      <c r="G132" s="12">
        <v>2.9389694847423709E-3</v>
      </c>
      <c r="H132" s="12">
        <v>1.9371114514821208E-2</v>
      </c>
      <c r="I132" s="12">
        <v>7.5295075295076508E-3</v>
      </c>
      <c r="J132" s="12">
        <v>-5.2291724438457976E-3</v>
      </c>
      <c r="K132" s="12">
        <v>6.0292850990526503E-3</v>
      </c>
      <c r="L132" s="12">
        <v>-2.5797575027952657E-4</v>
      </c>
      <c r="M132" s="13">
        <f t="shared" si="19"/>
        <v>4.7936722350488533E-3</v>
      </c>
      <c r="N132" s="32">
        <f t="shared" si="20"/>
        <v>125.49666270046427</v>
      </c>
      <c r="O132" s="32">
        <f t="shared" si="21"/>
        <v>122.62275801234935</v>
      </c>
      <c r="P132" s="12" t="str">
        <f t="shared" si="22"/>
        <v/>
      </c>
      <c r="Q132" s="13">
        <f t="shared" si="23"/>
        <v>-6.2859214323693216E-3</v>
      </c>
      <c r="R132" s="49">
        <f t="shared" si="24"/>
        <v>1</v>
      </c>
    </row>
    <row r="133" spans="1:18" x14ac:dyDescent="0.35">
      <c r="A133" s="64" t="s">
        <v>77</v>
      </c>
      <c r="B133" s="14">
        <v>3.6207558028007458E-3</v>
      </c>
      <c r="C133" s="12">
        <v>-2.5278810408921881E-3</v>
      </c>
      <c r="D133" s="12">
        <v>7.580543272267759E-3</v>
      </c>
      <c r="E133" s="12">
        <v>4.7784200385356801E-3</v>
      </c>
      <c r="F133" s="12">
        <v>2.564036819568738E-3</v>
      </c>
      <c r="G133" s="12">
        <v>1.1534384936716879E-2</v>
      </c>
      <c r="H133" s="12">
        <v>5.7450945730952441E-4</v>
      </c>
      <c r="I133" s="12">
        <v>9.8296640409345493E-3</v>
      </c>
      <c r="J133" s="12">
        <v>-1.1668193222093892E-2</v>
      </c>
      <c r="K133" s="12">
        <v>3.2106164383560731E-3</v>
      </c>
      <c r="L133" s="12">
        <v>3.6125924651642105E-3</v>
      </c>
      <c r="M133" s="13">
        <f t="shared" si="19"/>
        <v>5.9713620804951895E-3</v>
      </c>
      <c r="N133" s="32">
        <f t="shared" si="20"/>
        <v>126.2460487133425</v>
      </c>
      <c r="O133" s="32">
        <f t="shared" si="21"/>
        <v>123.066745074978</v>
      </c>
      <c r="P133" s="12" t="str">
        <f t="shared" si="22"/>
        <v/>
      </c>
      <c r="Q133" s="13">
        <f t="shared" si="23"/>
        <v>2.3506062776944437E-3</v>
      </c>
      <c r="R133" s="49">
        <f t="shared" si="24"/>
        <v>1</v>
      </c>
    </row>
    <row r="134" spans="1:18" x14ac:dyDescent="0.35">
      <c r="A134" s="64" t="s">
        <v>77</v>
      </c>
      <c r="B134" s="14">
        <v>-5.3040258033687504E-3</v>
      </c>
      <c r="C134" s="12">
        <v>5.0685748360166372E-3</v>
      </c>
      <c r="D134" s="12">
        <v>-3.5266457680249719E-3</v>
      </c>
      <c r="E134" s="12">
        <v>-7.6704763365804673E-3</v>
      </c>
      <c r="F134" s="12">
        <v>-2.9922508375744838E-3</v>
      </c>
      <c r="G134" s="12">
        <v>2.7736686390531506E-3</v>
      </c>
      <c r="H134" s="12">
        <v>-2.7383949472196134E-3</v>
      </c>
      <c r="I134" s="12">
        <v>-9.6673111540770407E-3</v>
      </c>
      <c r="J134" s="12">
        <v>-1.6238214199371437E-2</v>
      </c>
      <c r="K134" s="12">
        <v>-6.4006827394921251E-3</v>
      </c>
      <c r="L134" s="12">
        <v>-4.1566678093932774E-3</v>
      </c>
      <c r="M134" s="13">
        <f t="shared" si="19"/>
        <v>-6.035035809256001E-3</v>
      </c>
      <c r="N134" s="32">
        <f t="shared" si="20"/>
        <v>125.4841492885804</v>
      </c>
      <c r="O134" s="32">
        <f t="shared" si="21"/>
        <v>122.41399588356371</v>
      </c>
      <c r="P134" s="12">
        <f t="shared" si="22"/>
        <v>-6.035035809256001E-3</v>
      </c>
      <c r="Q134" s="13">
        <f t="shared" si="23"/>
        <v>-7.3101000588725058E-4</v>
      </c>
      <c r="R134" s="49" t="str">
        <f t="shared" si="24"/>
        <v/>
      </c>
    </row>
    <row r="135" spans="1:18" x14ac:dyDescent="0.35">
      <c r="A135" s="64" t="s">
        <v>77</v>
      </c>
      <c r="B135" s="14">
        <v>-6.8215117815195736E-3</v>
      </c>
      <c r="C135" s="12">
        <v>-1.2830020765351446E-2</v>
      </c>
      <c r="D135" s="12">
        <v>3.7907982697601206E-2</v>
      </c>
      <c r="E135" s="12">
        <v>-1.8551441601608598E-3</v>
      </c>
      <c r="F135" s="12">
        <v>1.7160886517545659E-2</v>
      </c>
      <c r="G135" s="12">
        <v>2.3295838711660188E-2</v>
      </c>
      <c r="H135" s="12">
        <v>-1.1116524203906297E-2</v>
      </c>
      <c r="I135" s="12">
        <v>-2.3158745119159829E-2</v>
      </c>
      <c r="J135" s="12">
        <v>-4.1327053041163242E-2</v>
      </c>
      <c r="K135" s="12">
        <v>7.7302984754132886E-3</v>
      </c>
      <c r="L135" s="12">
        <v>-2.048280907095823E-2</v>
      </c>
      <c r="M135" s="13">
        <f t="shared" si="19"/>
        <v>3.9381440833256643E-3</v>
      </c>
      <c r="N135" s="32">
        <f t="shared" si="20"/>
        <v>125.97832394865237</v>
      </c>
      <c r="O135" s="32">
        <f t="shared" si="21"/>
        <v>121.5789473684211</v>
      </c>
      <c r="P135" s="12" t="str">
        <f t="shared" si="22"/>
        <v/>
      </c>
      <c r="Q135" s="13">
        <f t="shared" si="23"/>
        <v>1.0759655864845237E-2</v>
      </c>
      <c r="R135" s="49">
        <f t="shared" si="24"/>
        <v>1</v>
      </c>
    </row>
    <row r="136" spans="1:18" x14ac:dyDescent="0.35">
      <c r="A136" s="64" t="s">
        <v>77</v>
      </c>
      <c r="B136" s="14">
        <v>9.3109869646181842E-3</v>
      </c>
      <c r="C136" s="12">
        <v>2.9299075952218256E-3</v>
      </c>
      <c r="D136" s="12">
        <v>3.8948245813442472E-2</v>
      </c>
      <c r="E136" s="12">
        <v>8.9831952296135498E-3</v>
      </c>
      <c r="F136" s="12">
        <v>5.7498802108291169E-3</v>
      </c>
      <c r="G136" s="12">
        <v>6.6074002883231842E-4</v>
      </c>
      <c r="H136" s="12">
        <v>1.867610175564316E-2</v>
      </c>
      <c r="I136" s="12">
        <v>1.4334941419710701E-2</v>
      </c>
      <c r="J136" s="12">
        <v>7.9466803383747564E-3</v>
      </c>
      <c r="K136" s="12">
        <v>2.983166418069505E-3</v>
      </c>
      <c r="L136" s="12">
        <v>2.1218644291174371E-2</v>
      </c>
      <c r="M136" s="13">
        <f t="shared" si="19"/>
        <v>1.898158995871408E-2</v>
      </c>
      <c r="N136" s="32">
        <f t="shared" si="20"/>
        <v>128.36959283753174</v>
      </c>
      <c r="O136" s="32">
        <f t="shared" si="21"/>
        <v>122.71096736254047</v>
      </c>
      <c r="P136" s="12" t="str">
        <f t="shared" si="22"/>
        <v/>
      </c>
      <c r="Q136" s="13">
        <f t="shared" si="23"/>
        <v>9.6706029940958962E-3</v>
      </c>
      <c r="R136" s="49">
        <f t="shared" si="24"/>
        <v>1</v>
      </c>
    </row>
    <row r="137" spans="1:18" x14ac:dyDescent="0.35">
      <c r="A137" s="64">
        <v>4.43</v>
      </c>
      <c r="B137" s="14">
        <v>-9.2011309723486479E-3</v>
      </c>
      <c r="C137" s="12">
        <v>-1.168539325842699E-2</v>
      </c>
      <c r="D137" s="12">
        <v>-1.5753774341769611E-2</v>
      </c>
      <c r="E137" s="12">
        <v>-1.3086192340164171E-2</v>
      </c>
      <c r="F137" s="12">
        <v>-5.6919335021688999E-3</v>
      </c>
      <c r="G137" s="12">
        <v>-8.4638933909598757E-3</v>
      </c>
      <c r="H137" s="12">
        <v>5.2758848098477529E-4</v>
      </c>
      <c r="I137" s="12">
        <v>-1.3588802826480784E-4</v>
      </c>
      <c r="J137" s="12">
        <v>-6.7395727365207048E-3</v>
      </c>
      <c r="K137" s="12">
        <v>-1.0834926704907488E-2</v>
      </c>
      <c r="L137" s="12">
        <v>-1.5357480856921679E-2</v>
      </c>
      <c r="M137" s="13">
        <f t="shared" si="19"/>
        <v>-1.1207828641329725E-2</v>
      </c>
      <c r="N137" s="32">
        <f t="shared" si="20"/>
        <v>126.93084843825142</v>
      </c>
      <c r="O137" s="32">
        <f t="shared" si="21"/>
        <v>121.58188768009414</v>
      </c>
      <c r="P137" s="12">
        <f t="shared" si="22"/>
        <v>-1.1207828641329725E-2</v>
      </c>
      <c r="Q137" s="13">
        <f t="shared" si="23"/>
        <v>-2.0066976689810771E-3</v>
      </c>
      <c r="R137" s="49" t="str">
        <f t="shared" si="24"/>
        <v/>
      </c>
    </row>
    <row r="138" spans="1:18" x14ac:dyDescent="0.35">
      <c r="A138" s="64" t="s">
        <v>77</v>
      </c>
      <c r="B138" s="14">
        <v>1.0931076178960053E-2</v>
      </c>
      <c r="C138" s="12">
        <v>1.8038502349552843E-2</v>
      </c>
      <c r="D138" s="12">
        <v>8.0770655798443336E-3</v>
      </c>
      <c r="E138" s="12">
        <v>1.5476144184780383E-2</v>
      </c>
      <c r="F138" s="12">
        <v>9.5072376052856011E-3</v>
      </c>
      <c r="G138" s="12">
        <v>2.0583605763409007E-3</v>
      </c>
      <c r="H138" s="12">
        <v>1.0678033132662579E-2</v>
      </c>
      <c r="I138" s="12">
        <v>-1.9230769230769162E-2</v>
      </c>
      <c r="J138" s="12">
        <v>1.7283318397132152E-2</v>
      </c>
      <c r="K138" s="12">
        <v>1.5034364261168331E-3</v>
      </c>
      <c r="L138" s="12">
        <v>5.3300712132466899E-3</v>
      </c>
      <c r="M138" s="13">
        <f t="shared" si="19"/>
        <v>1.9085081348729827E-3</v>
      </c>
      <c r="N138" s="32">
        <f t="shared" si="20"/>
        <v>127.17309699506217</v>
      </c>
      <c r="O138" s="32">
        <f t="shared" si="21"/>
        <v>122.91090855630702</v>
      </c>
      <c r="P138" s="12" t="str">
        <f t="shared" si="22"/>
        <v/>
      </c>
      <c r="Q138" s="13">
        <f t="shared" si="23"/>
        <v>-9.0225680440870707E-3</v>
      </c>
      <c r="R138" s="49">
        <f t="shared" si="24"/>
        <v>1</v>
      </c>
    </row>
    <row r="139" spans="1:18" x14ac:dyDescent="0.35">
      <c r="A139" s="64" t="s">
        <v>77</v>
      </c>
      <c r="B139" s="14">
        <v>1.7702502272620713E-3</v>
      </c>
      <c r="C139" s="12">
        <v>2.9779630732580387E-3</v>
      </c>
      <c r="D139" s="12">
        <v>-6.0276389297264643E-3</v>
      </c>
      <c r="E139" s="12">
        <v>1.5316867700556624E-3</v>
      </c>
      <c r="F139" s="12">
        <v>-1.1116384801778567E-2</v>
      </c>
      <c r="G139" s="12">
        <v>-8.4581923634606815E-3</v>
      </c>
      <c r="H139" s="12">
        <v>1.4782608695651511E-3</v>
      </c>
      <c r="I139" s="12">
        <v>4.1640684542368023E-2</v>
      </c>
      <c r="J139" s="12">
        <v>1.2836647369745879E-2</v>
      </c>
      <c r="K139" s="12">
        <v>-1.4153978125670208E-2</v>
      </c>
      <c r="L139" s="12">
        <v>1.9555864586502381E-3</v>
      </c>
      <c r="M139" s="13">
        <f t="shared" si="19"/>
        <v>3.7408592635441679E-3</v>
      </c>
      <c r="N139" s="32">
        <f t="shared" si="20"/>
        <v>127.64883365302974</v>
      </c>
      <c r="O139" s="32">
        <f t="shared" si="21"/>
        <v>123.12849162011182</v>
      </c>
      <c r="P139" s="12" t="str">
        <f t="shared" si="22"/>
        <v/>
      </c>
      <c r="Q139" s="13">
        <f t="shared" si="23"/>
        <v>1.9706090362820966E-3</v>
      </c>
      <c r="R139" s="49">
        <f t="shared" si="24"/>
        <v>1</v>
      </c>
    </row>
    <row r="140" spans="1:18" x14ac:dyDescent="0.35">
      <c r="A140" s="64" t="s">
        <v>77</v>
      </c>
      <c r="B140" s="14">
        <v>-2.1492024071079197E-4</v>
      </c>
      <c r="C140" s="12">
        <v>-2.4495249406176756E-3</v>
      </c>
      <c r="D140" s="12">
        <v>3.1060494009760298E-3</v>
      </c>
      <c r="E140" s="12">
        <v>1.6058115083159574E-3</v>
      </c>
      <c r="F140" s="12">
        <v>-3.4355580255646112E-3</v>
      </c>
      <c r="G140" s="12">
        <v>-5.7275164513770349E-3</v>
      </c>
      <c r="H140" s="12">
        <v>-1.8668055917340221E-3</v>
      </c>
      <c r="I140" s="12">
        <v>1.3303179459889236E-4</v>
      </c>
      <c r="J140" s="12">
        <v>4.2660702451955412E-3</v>
      </c>
      <c r="K140" s="12">
        <v>3.4805307809442354E-3</v>
      </c>
      <c r="L140" s="12">
        <v>-9.5419847328248597E-4</v>
      </c>
      <c r="M140" s="13">
        <f t="shared" si="19"/>
        <v>1.7181774022820456E-3</v>
      </c>
      <c r="N140" s="32">
        <f t="shared" si="20"/>
        <v>127.86815699444004</v>
      </c>
      <c r="O140" s="32">
        <f t="shared" si="21"/>
        <v>123.10202881505447</v>
      </c>
      <c r="P140" s="12" t="str">
        <f t="shared" si="22"/>
        <v/>
      </c>
      <c r="Q140" s="13">
        <f t="shared" si="23"/>
        <v>1.9330976429928375E-3</v>
      </c>
      <c r="R140" s="49">
        <f t="shared" si="24"/>
        <v>1</v>
      </c>
    </row>
    <row r="141" spans="1:18" x14ac:dyDescent="0.35">
      <c r="A141" s="64" t="s">
        <v>77</v>
      </c>
      <c r="B141" s="14">
        <v>-8.3598060524991968E-4</v>
      </c>
      <c r="C141" s="12">
        <v>-6.0272341692088061E-3</v>
      </c>
      <c r="D141" s="12">
        <v>7.0038336773814436E-3</v>
      </c>
      <c r="E141" s="12">
        <v>-2.8285681566591725E-2</v>
      </c>
      <c r="F141" s="12">
        <v>2.2813688212930394E-4</v>
      </c>
      <c r="G141" s="12">
        <v>-7.3538423826450261E-3</v>
      </c>
      <c r="H141" s="12">
        <v>1.5397329389761127E-2</v>
      </c>
      <c r="I141" s="12">
        <v>1.4498536844905319E-2</v>
      </c>
      <c r="J141" s="12">
        <v>-2.8910793087804643E-2</v>
      </c>
      <c r="K141" s="12">
        <v>-3.6852373726425913E-3</v>
      </c>
      <c r="L141" s="12">
        <v>8.5091603716245245E-3</v>
      </c>
      <c r="M141" s="13">
        <f t="shared" si="19"/>
        <v>1.4084983040992143E-3</v>
      </c>
      <c r="N141" s="32">
        <f t="shared" si="20"/>
        <v>128.048259076715</v>
      </c>
      <c r="O141" s="32">
        <f t="shared" si="21"/>
        <v>122.99911790649817</v>
      </c>
      <c r="P141" s="12" t="str">
        <f t="shared" si="22"/>
        <v/>
      </c>
      <c r="Q141" s="13">
        <f t="shared" si="23"/>
        <v>2.244478909349134E-3</v>
      </c>
      <c r="R141" s="49">
        <f t="shared" si="24"/>
        <v>1</v>
      </c>
    </row>
    <row r="142" spans="1:18" x14ac:dyDescent="0.35">
      <c r="A142" s="64">
        <v>4.5</v>
      </c>
      <c r="B142" s="14">
        <v>6.7651558615413609E-3</v>
      </c>
      <c r="C142" s="12">
        <v>-7.4861506213519391E-4</v>
      </c>
      <c r="D142" s="12">
        <v>8.6389926056080757E-3</v>
      </c>
      <c r="E142" s="12">
        <v>-8.0531112507856717E-3</v>
      </c>
      <c r="F142" s="12">
        <v>1.7638561544894849E-2</v>
      </c>
      <c r="G142" s="12">
        <v>1.3705395727867664E-2</v>
      </c>
      <c r="H142" s="12">
        <v>1.4606982223174247E-2</v>
      </c>
      <c r="I142" s="12">
        <v>1.3701324242821666E-2</v>
      </c>
      <c r="J142" s="12">
        <v>2.0385628132166822E-3</v>
      </c>
      <c r="K142" s="12">
        <v>1.2619669277632584E-2</v>
      </c>
      <c r="L142" s="12">
        <v>-2.0792079207920811E-2</v>
      </c>
      <c r="M142" s="13">
        <f t="shared" si="19"/>
        <v>3.1782579452778259E-3</v>
      </c>
      <c r="N142" s="32">
        <f t="shared" si="20"/>
        <v>128.45522947350457</v>
      </c>
      <c r="O142" s="32">
        <f t="shared" si="21"/>
        <v>123.83122610996773</v>
      </c>
      <c r="P142" s="12" t="str">
        <f t="shared" si="22"/>
        <v/>
      </c>
      <c r="Q142" s="13">
        <f t="shared" si="23"/>
        <v>-3.586897916263535E-3</v>
      </c>
      <c r="R142" s="49">
        <f t="shared" si="24"/>
        <v>1</v>
      </c>
    </row>
    <row r="143" spans="1:18" x14ac:dyDescent="0.35">
      <c r="A143" s="64" t="s">
        <v>77</v>
      </c>
      <c r="B143" s="14">
        <v>-7.194586251929258E-3</v>
      </c>
      <c r="C143" s="12">
        <v>-1.5133353311357345E-2</v>
      </c>
      <c r="D143" s="12">
        <v>-1.6331567104594602E-2</v>
      </c>
      <c r="E143" s="12">
        <v>-1.3068789354876431E-3</v>
      </c>
      <c r="F143" s="12">
        <v>-6.8484622089403091E-3</v>
      </c>
      <c r="G143" s="12">
        <v>-8.9524969549330535E-3</v>
      </c>
      <c r="H143" s="12">
        <v>-1.393228067212704E-2</v>
      </c>
      <c r="I143" s="12">
        <v>-8.2778244842527382E-3</v>
      </c>
      <c r="J143" s="12">
        <v>-6.908536068491955E-3</v>
      </c>
      <c r="K143" s="12">
        <v>2.1486892995272733E-3</v>
      </c>
      <c r="L143" s="12">
        <v>2.8135578318020382E-3</v>
      </c>
      <c r="M143" s="13">
        <f t="shared" si="19"/>
        <v>-5.3008496954625719E-3</v>
      </c>
      <c r="N143" s="32">
        <f t="shared" si="20"/>
        <v>127.77430760946937</v>
      </c>
      <c r="O143" s="32">
        <f t="shared" si="21"/>
        <v>122.94031167303741</v>
      </c>
      <c r="P143" s="12">
        <f t="shared" si="22"/>
        <v>-5.3008496954625719E-3</v>
      </c>
      <c r="Q143" s="13">
        <f t="shared" si="23"/>
        <v>1.8937365564666861E-3</v>
      </c>
      <c r="R143" s="49" t="str">
        <f t="shared" si="24"/>
        <v/>
      </c>
    </row>
    <row r="144" spans="1:18" x14ac:dyDescent="0.35">
      <c r="A144" s="64" t="s">
        <v>77</v>
      </c>
      <c r="B144" s="14">
        <v>2.7504065818424461E-3</v>
      </c>
      <c r="C144" s="12">
        <v>8.2154267457781316E-3</v>
      </c>
      <c r="D144" s="12">
        <v>2.021841794569057E-2</v>
      </c>
      <c r="E144" s="12">
        <v>-1.2689348877785722E-3</v>
      </c>
      <c r="F144" s="12">
        <v>1.7803410230692096E-2</v>
      </c>
      <c r="G144" s="12">
        <v>1.5239968045228425E-2</v>
      </c>
      <c r="H144" s="12">
        <v>-4.0674773077581383E-3</v>
      </c>
      <c r="I144" s="12">
        <v>9.4554939680471239E-3</v>
      </c>
      <c r="J144" s="12">
        <v>3.7557082497545746E-3</v>
      </c>
      <c r="K144" s="12">
        <v>1.5651801029159529E-2</v>
      </c>
      <c r="L144" s="12">
        <v>2.6303099381874695E-4</v>
      </c>
      <c r="M144" s="13">
        <f t="shared" si="19"/>
        <v>1.0743853193964814E-2</v>
      </c>
      <c r="N144" s="32">
        <f t="shared" si="20"/>
        <v>129.14709601238602</v>
      </c>
      <c r="O144" s="32">
        <f t="shared" si="21"/>
        <v>123.2784475154367</v>
      </c>
      <c r="P144" s="12" t="str">
        <f t="shared" si="22"/>
        <v/>
      </c>
      <c r="Q144" s="13">
        <f t="shared" si="23"/>
        <v>7.993446612122368E-3</v>
      </c>
      <c r="R144" s="49">
        <f t="shared" si="24"/>
        <v>1</v>
      </c>
    </row>
    <row r="145" spans="1:18" x14ac:dyDescent="0.35">
      <c r="A145" s="64" t="s">
        <v>77</v>
      </c>
      <c r="B145" s="14">
        <v>-6.6782741431535841E-3</v>
      </c>
      <c r="C145" s="12">
        <v>-3.5385543986721002E-2</v>
      </c>
      <c r="D145" s="12">
        <v>6.9434398958485577E-3</v>
      </c>
      <c r="E145" s="12">
        <v>-1.6159771301516801E-2</v>
      </c>
      <c r="F145" s="12">
        <v>1.3402315841340329E-2</v>
      </c>
      <c r="G145" s="12">
        <v>1.5495430058713122E-2</v>
      </c>
      <c r="H145" s="12">
        <v>-2.4934439619965776E-3</v>
      </c>
      <c r="I145" s="12">
        <v>-1.7441860465117198E-3</v>
      </c>
      <c r="J145" s="12">
        <v>-6.6329350737701631E-3</v>
      </c>
      <c r="K145" s="12">
        <v>-9.7107874181971976E-3</v>
      </c>
      <c r="L145" s="12">
        <v>2.2965332865845678E-2</v>
      </c>
      <c r="M145" s="13">
        <f t="shared" ref="M145:M208" si="25">SUMPRODUCT($C$2:$L$2,C145:L145)</f>
        <v>1.0601452605823918E-3</v>
      </c>
      <c r="N145" s="32">
        <f t="shared" ref="N145:N208" si="26">+(N144*(1+M145))</f>
        <v>129.2840106941415</v>
      </c>
      <c r="O145" s="32">
        <f t="shared" ref="O145:O208" si="27">+(O144*(1+B145))</f>
        <v>122.45516024698624</v>
      </c>
      <c r="P145" s="12" t="str">
        <f t="shared" ref="P145:P208" si="28">+IF(M145&lt;0,M145,"")</f>
        <v/>
      </c>
      <c r="Q145" s="13">
        <f t="shared" ref="Q145:Q208" si="29">M145-B145</f>
        <v>7.7384194037359759E-3</v>
      </c>
      <c r="R145" s="49">
        <f t="shared" ref="R145:R208" si="30">+IF(M145&gt;0,1,"")</f>
        <v>1</v>
      </c>
    </row>
    <row r="146" spans="1:18" x14ac:dyDescent="0.35">
      <c r="A146" s="64" t="s">
        <v>77</v>
      </c>
      <c r="B146" s="14">
        <v>6.9632866713109642E-4</v>
      </c>
      <c r="C146" s="12">
        <v>1.9554165037152238E-3</v>
      </c>
      <c r="D146" s="12">
        <v>-3.6632667720154499E-3</v>
      </c>
      <c r="E146" s="12">
        <v>-5.3270914887606491E-3</v>
      </c>
      <c r="F146" s="12">
        <v>2.8200515388729919E-3</v>
      </c>
      <c r="G146" s="12">
        <v>-4.1723788519998362E-3</v>
      </c>
      <c r="H146" s="12">
        <v>-1.2153600827479183E-2</v>
      </c>
      <c r="I146" s="12">
        <v>1.203649776742366E-2</v>
      </c>
      <c r="J146" s="12">
        <v>-2.3327483627958667E-2</v>
      </c>
      <c r="K146" s="12">
        <v>-8.5269665316556331E-4</v>
      </c>
      <c r="L146" s="12">
        <v>1.9150850434857203E-2</v>
      </c>
      <c r="M146" s="13">
        <f t="shared" si="25"/>
        <v>3.6390051463966152E-3</v>
      </c>
      <c r="N146" s="32">
        <f t="shared" si="26"/>
        <v>129.75447587440428</v>
      </c>
      <c r="O146" s="32">
        <f t="shared" si="27"/>
        <v>122.54042928550435</v>
      </c>
      <c r="P146" s="12" t="str">
        <f t="shared" si="28"/>
        <v/>
      </c>
      <c r="Q146" s="13">
        <f t="shared" si="29"/>
        <v>2.9426764792655187E-3</v>
      </c>
      <c r="R146" s="49">
        <f t="shared" si="30"/>
        <v>1</v>
      </c>
    </row>
    <row r="147" spans="1:18" x14ac:dyDescent="0.35">
      <c r="A147" s="64">
        <v>4.42</v>
      </c>
      <c r="B147" s="14">
        <v>8.1581725693444795E-3</v>
      </c>
      <c r="C147" s="12">
        <v>1.2802498048399835E-2</v>
      </c>
      <c r="D147" s="12">
        <v>2.2060413812991175E-2</v>
      </c>
      <c r="E147" s="12">
        <v>1.3226761877713322E-2</v>
      </c>
      <c r="F147" s="12">
        <v>5.9878787878788753E-3</v>
      </c>
      <c r="G147" s="12">
        <v>4.0102950858922348E-3</v>
      </c>
      <c r="H147" s="12">
        <v>9.2055320448496403E-3</v>
      </c>
      <c r="I147" s="12">
        <v>3.1331926593771708E-3</v>
      </c>
      <c r="J147" s="12">
        <v>7.1434832150056859E-3</v>
      </c>
      <c r="K147" s="12">
        <v>3.200341369746118E-3</v>
      </c>
      <c r="L147" s="12">
        <v>-3.405078190684363E-3</v>
      </c>
      <c r="M147" s="13">
        <f t="shared" si="25"/>
        <v>8.6357900757527712E-3</v>
      </c>
      <c r="N147" s="32">
        <f t="shared" si="26"/>
        <v>130.87500828944496</v>
      </c>
      <c r="O147" s="32">
        <f t="shared" si="27"/>
        <v>123.54013525433705</v>
      </c>
      <c r="P147" s="12" t="str">
        <f t="shared" si="28"/>
        <v/>
      </c>
      <c r="Q147" s="13">
        <f t="shared" si="29"/>
        <v>4.7761750640829166E-4</v>
      </c>
      <c r="R147" s="49">
        <f t="shared" si="30"/>
        <v>1</v>
      </c>
    </row>
    <row r="148" spans="1:18" x14ac:dyDescent="0.35">
      <c r="A148" s="64" t="s">
        <v>77</v>
      </c>
      <c r="B148" s="14">
        <v>7.3781416603198036E-3</v>
      </c>
      <c r="C148" s="12">
        <v>3.6226298751349528E-3</v>
      </c>
      <c r="D148" s="12">
        <v>-1.996191013613613E-2</v>
      </c>
      <c r="E148" s="12">
        <v>1.0931806350858997E-2</v>
      </c>
      <c r="F148" s="12">
        <v>6.4582981902305825E-3</v>
      </c>
      <c r="G148" s="12">
        <v>4.5308215094788107E-3</v>
      </c>
      <c r="H148" s="12">
        <v>3.4584125886218953E-3</v>
      </c>
      <c r="I148" s="12">
        <v>1.3386027536970824E-2</v>
      </c>
      <c r="J148" s="12">
        <v>2.4629041382011163E-2</v>
      </c>
      <c r="K148" s="12">
        <v>-6.1675882603149379E-3</v>
      </c>
      <c r="L148" s="12">
        <v>1.6535200573670306E-2</v>
      </c>
      <c r="M148" s="13">
        <f t="shared" si="25"/>
        <v>4.7435257773611669E-5</v>
      </c>
      <c r="N148" s="32">
        <f t="shared" si="26"/>
        <v>130.88121637919929</v>
      </c>
      <c r="O148" s="32">
        <f t="shared" si="27"/>
        <v>124.45163187297861</v>
      </c>
      <c r="P148" s="12" t="str">
        <f t="shared" si="28"/>
        <v/>
      </c>
      <c r="Q148" s="13">
        <f t="shared" si="29"/>
        <v>-7.3307064025461919E-3</v>
      </c>
      <c r="R148" s="49">
        <f t="shared" si="30"/>
        <v>1</v>
      </c>
    </row>
    <row r="149" spans="1:18" x14ac:dyDescent="0.35">
      <c r="A149" s="64" t="s">
        <v>77</v>
      </c>
      <c r="B149" s="14">
        <v>-1.0442753862874077E-2</v>
      </c>
      <c r="C149" s="12">
        <v>-2.5804469702787936E-2</v>
      </c>
      <c r="D149" s="12">
        <v>4.8941989347921488E-3</v>
      </c>
      <c r="E149" s="12">
        <v>-2.0914204230373157E-2</v>
      </c>
      <c r="F149" s="12">
        <v>7.757691847240622E-3</v>
      </c>
      <c r="G149" s="12">
        <v>1.0504451038575668E-2</v>
      </c>
      <c r="H149" s="12">
        <v>-2.6494916422540093E-2</v>
      </c>
      <c r="I149" s="12">
        <v>-1.8870298150709397E-3</v>
      </c>
      <c r="J149" s="12">
        <v>-1.0786936764768273E-2</v>
      </c>
      <c r="K149" s="12">
        <v>4.4939011341751378E-3</v>
      </c>
      <c r="L149" s="12">
        <v>6.7222706336362847E-3</v>
      </c>
      <c r="M149" s="13">
        <f t="shared" si="25"/>
        <v>2.2446326158083994E-4</v>
      </c>
      <c r="N149" s="32">
        <f t="shared" si="26"/>
        <v>130.91059440390742</v>
      </c>
      <c r="O149" s="32">
        <f t="shared" si="27"/>
        <v>123.15201411349608</v>
      </c>
      <c r="P149" s="12" t="str">
        <f t="shared" si="28"/>
        <v/>
      </c>
      <c r="Q149" s="13">
        <f t="shared" si="29"/>
        <v>1.0667217124454917E-2</v>
      </c>
      <c r="R149" s="49">
        <f t="shared" si="30"/>
        <v>1</v>
      </c>
    </row>
    <row r="150" spans="1:18" x14ac:dyDescent="0.35">
      <c r="A150" s="64" t="s">
        <v>77</v>
      </c>
      <c r="B150" s="14">
        <v>-8.6667940024828249E-3</v>
      </c>
      <c r="C150" s="12">
        <v>-7.41032715806067E-3</v>
      </c>
      <c r="D150" s="12">
        <v>-1.3393496633720137E-2</v>
      </c>
      <c r="E150" s="12">
        <v>-3.8433530220892687E-3</v>
      </c>
      <c r="F150" s="12">
        <v>-2.1834683646558495E-2</v>
      </c>
      <c r="G150" s="12">
        <v>-8.1635050214365901E-3</v>
      </c>
      <c r="H150" s="12">
        <v>-2.1684294375360347E-3</v>
      </c>
      <c r="I150" s="12">
        <v>-2.6783463574489574E-2</v>
      </c>
      <c r="J150" s="12">
        <v>-1.7387197870604942E-2</v>
      </c>
      <c r="K150" s="12">
        <v>-8.9475926714953635E-3</v>
      </c>
      <c r="L150" s="12">
        <v>-1.3643295824574464E-2</v>
      </c>
      <c r="M150" s="13">
        <f t="shared" si="25"/>
        <v>-1.3692598731479579E-2</v>
      </c>
      <c r="N150" s="32">
        <f t="shared" si="26"/>
        <v>129.11808816503526</v>
      </c>
      <c r="O150" s="32">
        <f t="shared" si="27"/>
        <v>122.08468097618355</v>
      </c>
      <c r="P150" s="12">
        <f t="shared" si="28"/>
        <v>-1.3692598731479579E-2</v>
      </c>
      <c r="Q150" s="13">
        <f t="shared" si="29"/>
        <v>-5.0258047289967536E-3</v>
      </c>
      <c r="R150" s="49" t="str">
        <f t="shared" si="30"/>
        <v/>
      </c>
    </row>
    <row r="151" spans="1:18" x14ac:dyDescent="0.35">
      <c r="A151" s="64" t="s">
        <v>77</v>
      </c>
      <c r="B151" s="14">
        <v>-2.145902073649486E-2</v>
      </c>
      <c r="C151" s="12">
        <v>-2.4938448097847621E-2</v>
      </c>
      <c r="D151" s="12">
        <v>-2.0254083484573471E-2</v>
      </c>
      <c r="E151" s="12">
        <v>-2.9362790886569456E-2</v>
      </c>
      <c r="F151" s="12">
        <v>-1.5375273257226096E-2</v>
      </c>
      <c r="G151" s="12">
        <v>-4.0265277119848619E-3</v>
      </c>
      <c r="H151" s="12">
        <v>-2.1509668263260617E-2</v>
      </c>
      <c r="I151" s="12">
        <v>-1.3792656867189002E-2</v>
      </c>
      <c r="J151" s="12">
        <v>-3.5389723872771728E-2</v>
      </c>
      <c r="K151" s="12">
        <v>-2.6010318142734357E-2</v>
      </c>
      <c r="L151" s="12">
        <v>-8.2741328875888254E-3</v>
      </c>
      <c r="M151" s="13">
        <f t="shared" si="25"/>
        <v>-1.9525238160125264E-2</v>
      </c>
      <c r="N151" s="32">
        <f t="shared" si="26"/>
        <v>126.5970267428329</v>
      </c>
      <c r="O151" s="32">
        <f t="shared" si="27"/>
        <v>119.46486327550727</v>
      </c>
      <c r="P151" s="12">
        <f t="shared" si="28"/>
        <v>-1.9525238160125264E-2</v>
      </c>
      <c r="Q151" s="13">
        <f t="shared" si="29"/>
        <v>1.9337825763695964E-3</v>
      </c>
      <c r="R151" s="49" t="str">
        <f t="shared" si="30"/>
        <v/>
      </c>
    </row>
    <row r="152" spans="1:18" x14ac:dyDescent="0.35">
      <c r="A152" s="64">
        <v>4.41</v>
      </c>
      <c r="B152" s="14">
        <v>1.2183115924193855E-2</v>
      </c>
      <c r="C152" s="12">
        <v>1.7919687220004921E-2</v>
      </c>
      <c r="D152" s="12">
        <v>2.0376407824540532E-2</v>
      </c>
      <c r="E152" s="12">
        <v>1.686192468619252E-2</v>
      </c>
      <c r="F152" s="12">
        <v>7.8693539235759058E-3</v>
      </c>
      <c r="G152" s="12">
        <v>1.0463733650416307E-2</v>
      </c>
      <c r="H152" s="12">
        <v>1.4095997824411954E-2</v>
      </c>
      <c r="I152" s="12">
        <v>1.1687458962573949E-2</v>
      </c>
      <c r="J152" s="12">
        <v>8.4246761482018595E-3</v>
      </c>
      <c r="K152" s="12">
        <v>1.6994041050540698E-2</v>
      </c>
      <c r="L152" s="12">
        <v>1.1587729647732914E-2</v>
      </c>
      <c r="M152" s="13">
        <f t="shared" si="25"/>
        <v>1.5962946709940494E-2</v>
      </c>
      <c r="N152" s="32">
        <f t="shared" si="26"/>
        <v>128.61788833436566</v>
      </c>
      <c r="O152" s="32">
        <f t="shared" si="27"/>
        <v>120.92031755366074</v>
      </c>
      <c r="P152" s="12" t="str">
        <f t="shared" si="28"/>
        <v/>
      </c>
      <c r="Q152" s="13">
        <f t="shared" si="29"/>
        <v>3.7798307857466393E-3</v>
      </c>
      <c r="R152" s="49">
        <f t="shared" si="30"/>
        <v>1</v>
      </c>
    </row>
    <row r="153" spans="1:18" x14ac:dyDescent="0.35">
      <c r="A153" s="64" t="s">
        <v>77</v>
      </c>
      <c r="B153" s="14">
        <v>1.4930091185410221E-2</v>
      </c>
      <c r="C153" s="12">
        <v>1.9844762743058464E-2</v>
      </c>
      <c r="D153" s="12">
        <v>3.4855856510056515E-3</v>
      </c>
      <c r="E153" s="12">
        <v>2.1067357939348996E-2</v>
      </c>
      <c r="F153" s="12">
        <v>3.0350499314666379E-3</v>
      </c>
      <c r="G153" s="12">
        <v>1.5297717109907794E-3</v>
      </c>
      <c r="H153" s="12">
        <v>1.4302315187270986E-2</v>
      </c>
      <c r="I153" s="12">
        <v>1.9924714434060187E-2</v>
      </c>
      <c r="J153" s="12">
        <v>2.6185770750988269E-2</v>
      </c>
      <c r="K153" s="12">
        <v>9.3315972222223209E-3</v>
      </c>
      <c r="L153" s="12">
        <v>8.9973757654018272E-3</v>
      </c>
      <c r="M153" s="13">
        <f t="shared" si="25"/>
        <v>1.1339433237210355E-2</v>
      </c>
      <c r="N153" s="32">
        <f t="shared" si="26"/>
        <v>130.07634229224416</v>
      </c>
      <c r="O153" s="32">
        <f t="shared" si="27"/>
        <v>122.72566892090565</v>
      </c>
      <c r="P153" s="12" t="str">
        <f t="shared" si="28"/>
        <v/>
      </c>
      <c r="Q153" s="13">
        <f t="shared" si="29"/>
        <v>-3.5906579481998664E-3</v>
      </c>
      <c r="R153" s="49">
        <f t="shared" si="30"/>
        <v>1</v>
      </c>
    </row>
    <row r="154" spans="1:18" x14ac:dyDescent="0.35">
      <c r="A154" s="64" t="s">
        <v>77</v>
      </c>
      <c r="B154" s="14">
        <v>-2.5395912695559408E-3</v>
      </c>
      <c r="C154" s="12">
        <v>-9.2585327579443044E-3</v>
      </c>
      <c r="D154" s="12">
        <v>2.9669295896952441E-3</v>
      </c>
      <c r="E154" s="12">
        <v>-1.196856739875074E-2</v>
      </c>
      <c r="F154" s="12">
        <v>-2.8550512445095766E-3</v>
      </c>
      <c r="G154" s="12">
        <v>9.9870755492892371E-4</v>
      </c>
      <c r="H154" s="12">
        <v>-2.2032255221644537E-3</v>
      </c>
      <c r="I154" s="12">
        <v>-1.8453706649697033E-3</v>
      </c>
      <c r="J154" s="12">
        <v>-2.144701711384478E-3</v>
      </c>
      <c r="K154" s="12">
        <v>-4.5151580305310413E-3</v>
      </c>
      <c r="L154" s="12">
        <v>1.0568467984972907E-2</v>
      </c>
      <c r="M154" s="13">
        <f t="shared" si="25"/>
        <v>-4.1559649413495177E-4</v>
      </c>
      <c r="N154" s="32">
        <f t="shared" si="26"/>
        <v>130.0222830204176</v>
      </c>
      <c r="O154" s="32">
        <f t="shared" si="27"/>
        <v>122.4139958835637</v>
      </c>
      <c r="P154" s="12">
        <f t="shared" si="28"/>
        <v>-4.1559649413495177E-4</v>
      </c>
      <c r="Q154" s="13">
        <f t="shared" si="29"/>
        <v>2.1239947754209893E-3</v>
      </c>
      <c r="R154" s="49" t="str">
        <f t="shared" si="30"/>
        <v/>
      </c>
    </row>
    <row r="155" spans="1:18" x14ac:dyDescent="0.35">
      <c r="A155" s="64" t="s">
        <v>77</v>
      </c>
      <c r="B155" s="14">
        <v>-8.5268897268993005E-3</v>
      </c>
      <c r="C155" s="12">
        <v>-1.1245743248594287E-2</v>
      </c>
      <c r="D155" s="12">
        <v>-8.2251082251081353E-3</v>
      </c>
      <c r="E155" s="12">
        <v>-8.5651358185822035E-3</v>
      </c>
      <c r="F155" s="12">
        <v>4.2826028436482311E-3</v>
      </c>
      <c r="G155" s="12">
        <v>3.5213334115846706E-4</v>
      </c>
      <c r="H155" s="12">
        <v>-3.8420773714891165E-3</v>
      </c>
      <c r="I155" s="12">
        <v>-1.192145862552596E-2</v>
      </c>
      <c r="J155" s="12">
        <v>-1.8861303623124437E-3</v>
      </c>
      <c r="K155" s="12">
        <v>2.1598272138228847E-2</v>
      </c>
      <c r="L155" s="12">
        <v>-2.1732913926222452E-2</v>
      </c>
      <c r="M155" s="13">
        <f t="shared" si="25"/>
        <v>-4.6085872991487552E-3</v>
      </c>
      <c r="N155" s="32">
        <f t="shared" si="26"/>
        <v>129.42306397828338</v>
      </c>
      <c r="O155" s="32">
        <f t="shared" si="27"/>
        <v>121.37018523963545</v>
      </c>
      <c r="P155" s="12">
        <f t="shared" si="28"/>
        <v>-4.6085872991487552E-3</v>
      </c>
      <c r="Q155" s="13">
        <f t="shared" si="29"/>
        <v>3.9183024277505453E-3</v>
      </c>
      <c r="R155" s="49" t="str">
        <f t="shared" si="30"/>
        <v/>
      </c>
    </row>
    <row r="156" spans="1:18" x14ac:dyDescent="0.35">
      <c r="A156" s="64" t="s">
        <v>77</v>
      </c>
      <c r="B156" s="14">
        <v>-2.9313435728476334E-3</v>
      </c>
      <c r="C156" s="12">
        <v>-1.2815378454145154E-3</v>
      </c>
      <c r="D156" s="12">
        <v>-5.019642077695341E-3</v>
      </c>
      <c r="E156" s="12">
        <v>1.6455487905209232E-4</v>
      </c>
      <c r="F156" s="12">
        <v>-2.1443540133534444E-3</v>
      </c>
      <c r="G156" s="12">
        <v>-2.170724552654546E-3</v>
      </c>
      <c r="H156" s="12">
        <v>-4.3445493638337718E-3</v>
      </c>
      <c r="I156" s="12">
        <v>-1.6775275824247871E-3</v>
      </c>
      <c r="J156" s="12">
        <v>-1.3755218633267563E-2</v>
      </c>
      <c r="K156" s="12">
        <v>2.1141649048628253E-4</v>
      </c>
      <c r="L156" s="12">
        <v>-1.0857309892679634E-2</v>
      </c>
      <c r="M156" s="13">
        <f t="shared" si="25"/>
        <v>-3.4785290657615847E-3</v>
      </c>
      <c r="N156" s="32">
        <f t="shared" si="26"/>
        <v>128.972862088455</v>
      </c>
      <c r="O156" s="32">
        <f t="shared" si="27"/>
        <v>121.01440752719792</v>
      </c>
      <c r="P156" s="12">
        <f t="shared" si="28"/>
        <v>-3.4785290657615847E-3</v>
      </c>
      <c r="Q156" s="13">
        <f t="shared" si="29"/>
        <v>-5.4718549291395135E-4</v>
      </c>
      <c r="R156" s="49" t="str">
        <f t="shared" si="30"/>
        <v/>
      </c>
    </row>
    <row r="157" spans="1:18" x14ac:dyDescent="0.35">
      <c r="A157" s="64">
        <v>4.45</v>
      </c>
      <c r="B157" s="14">
        <v>1.0544986272080115E-2</v>
      </c>
      <c r="C157" s="12">
        <v>2.1012110032881504E-2</v>
      </c>
      <c r="D157" s="12">
        <v>4.8256196534326445E-3</v>
      </c>
      <c r="E157" s="12">
        <v>1.382033563672258E-2</v>
      </c>
      <c r="F157" s="12">
        <v>-2.1001221001221149E-3</v>
      </c>
      <c r="G157" s="12">
        <v>5.8207902163687208E-3</v>
      </c>
      <c r="H157" s="12">
        <v>8.2372322899506578E-3</v>
      </c>
      <c r="I157" s="12">
        <v>5.1702966457700672E-3</v>
      </c>
      <c r="J157" s="12">
        <v>1.4392656625969336E-2</v>
      </c>
      <c r="K157" s="12">
        <v>3.3819488480235638E-3</v>
      </c>
      <c r="L157" s="12">
        <v>-7.9368429940473995E-3</v>
      </c>
      <c r="M157" s="13">
        <f t="shared" si="25"/>
        <v>3.6471772279967562E-3</v>
      </c>
      <c r="N157" s="32">
        <f t="shared" si="26"/>
        <v>129.44324897409356</v>
      </c>
      <c r="O157" s="32">
        <f t="shared" si="27"/>
        <v>122.29050279329613</v>
      </c>
      <c r="P157" s="12" t="str">
        <f t="shared" si="28"/>
        <v/>
      </c>
      <c r="Q157" s="13">
        <f t="shared" si="29"/>
        <v>-6.897809044083358E-3</v>
      </c>
      <c r="R157" s="49">
        <f t="shared" si="30"/>
        <v>1</v>
      </c>
    </row>
    <row r="158" spans="1:18" x14ac:dyDescent="0.35">
      <c r="A158" s="64" t="s">
        <v>77</v>
      </c>
      <c r="B158" s="14">
        <v>-7.693972253614012E-4</v>
      </c>
      <c r="C158" s="12">
        <v>-1.4767103919566371E-2</v>
      </c>
      <c r="D158" s="12">
        <v>5.9666739430983551E-3</v>
      </c>
      <c r="E158" s="12">
        <v>-5.3148328464783789E-3</v>
      </c>
      <c r="F158" s="12">
        <v>7.3169537979640431E-3</v>
      </c>
      <c r="G158" s="12">
        <v>-6.4301163266489159E-4</v>
      </c>
      <c r="H158" s="12">
        <v>1.4573396926338411E-3</v>
      </c>
      <c r="I158" s="12">
        <v>8.6157011509033765E-3</v>
      </c>
      <c r="J158" s="12">
        <v>3.1495717109597976E-2</v>
      </c>
      <c r="K158" s="12">
        <v>-4.6345060037918939E-3</v>
      </c>
      <c r="L158" s="12">
        <v>9.5748755266180652E-3</v>
      </c>
      <c r="M158" s="13">
        <f t="shared" si="25"/>
        <v>3.151081379500196E-3</v>
      </c>
      <c r="N158" s="32">
        <f t="shared" si="26"/>
        <v>129.85113518563784</v>
      </c>
      <c r="O158" s="32">
        <f t="shared" si="27"/>
        <v>122.19641281975892</v>
      </c>
      <c r="P158" s="12" t="str">
        <f t="shared" si="28"/>
        <v/>
      </c>
      <c r="Q158" s="13">
        <f t="shared" si="29"/>
        <v>3.9204786048615973E-3</v>
      </c>
      <c r="R158" s="49">
        <f t="shared" si="30"/>
        <v>1</v>
      </c>
    </row>
    <row r="159" spans="1:18" x14ac:dyDescent="0.35">
      <c r="A159" s="64" t="s">
        <v>77</v>
      </c>
      <c r="B159" s="14">
        <v>9.913616785774515E-3</v>
      </c>
      <c r="C159" s="12">
        <v>1.3314199154907058E-2</v>
      </c>
      <c r="D159" s="12">
        <v>-1.4466546112124057E-4</v>
      </c>
      <c r="E159" s="12">
        <v>2.2882081820777556E-2</v>
      </c>
      <c r="F159" s="12">
        <v>-1.651969001287612E-3</v>
      </c>
      <c r="G159" s="12">
        <v>-2.398221806270473E-3</v>
      </c>
      <c r="H159" s="12">
        <v>1.1244873660537058E-2</v>
      </c>
      <c r="I159" s="12">
        <v>1.1283228150697822E-2</v>
      </c>
      <c r="J159" s="12">
        <v>1.1157482326888735E-2</v>
      </c>
      <c r="K159" s="12">
        <v>0</v>
      </c>
      <c r="L159" s="12">
        <v>7.6294048221210442E-3</v>
      </c>
      <c r="M159" s="13">
        <f t="shared" si="25"/>
        <v>6.6098078565618567E-3</v>
      </c>
      <c r="N159" s="32">
        <f t="shared" si="26"/>
        <v>130.70942623917136</v>
      </c>
      <c r="O159" s="32">
        <f t="shared" si="27"/>
        <v>123.40782122905031</v>
      </c>
      <c r="P159" s="12" t="str">
        <f t="shared" si="28"/>
        <v/>
      </c>
      <c r="Q159" s="13">
        <f t="shared" si="29"/>
        <v>-3.3038089292126583E-3</v>
      </c>
      <c r="R159" s="49">
        <f t="shared" si="30"/>
        <v>1</v>
      </c>
    </row>
    <row r="160" spans="1:18" x14ac:dyDescent="0.35">
      <c r="A160" s="64" t="s">
        <v>77</v>
      </c>
      <c r="B160" s="14">
        <v>-2.1443377570227184E-3</v>
      </c>
      <c r="C160" s="12">
        <v>-1.5735641227379027E-3</v>
      </c>
      <c r="D160" s="12">
        <v>-6.4385444548938908E-3</v>
      </c>
      <c r="E160" s="12">
        <v>3.7483052875029177E-3</v>
      </c>
      <c r="F160" s="12">
        <v>5.1101107190656414E-3</v>
      </c>
      <c r="G160" s="12">
        <v>-2.7557900908824484E-3</v>
      </c>
      <c r="H160" s="12">
        <v>-1.3082155939297957E-3</v>
      </c>
      <c r="I160" s="12">
        <v>-3.9712556732223181E-3</v>
      </c>
      <c r="J160" s="12">
        <v>1.389824797843664E-2</v>
      </c>
      <c r="K160" s="12">
        <v>4.2328042328043658E-3</v>
      </c>
      <c r="L160" s="12">
        <v>-7.8644635013596087E-3</v>
      </c>
      <c r="M160" s="13">
        <f t="shared" si="25"/>
        <v>-2.4028953393083826E-3</v>
      </c>
      <c r="N160" s="32">
        <f t="shared" si="26"/>
        <v>130.39534516805759</v>
      </c>
      <c r="O160" s="32">
        <f t="shared" si="27"/>
        <v>123.14319317847695</v>
      </c>
      <c r="P160" s="12">
        <f t="shared" si="28"/>
        <v>-2.4028953393083826E-3</v>
      </c>
      <c r="Q160" s="13">
        <f t="shared" si="29"/>
        <v>-2.585575822856641E-4</v>
      </c>
      <c r="R160" s="49" t="str">
        <f t="shared" si="30"/>
        <v/>
      </c>
    </row>
    <row r="161" spans="1:18" x14ac:dyDescent="0.35">
      <c r="A161" s="64">
        <v>4.25</v>
      </c>
      <c r="B161" s="14">
        <v>1.8862968888038179E-3</v>
      </c>
      <c r="C161" s="12">
        <v>-3.9401103230896073E-4</v>
      </c>
      <c r="D161" s="12">
        <v>-2.8396679772827449E-3</v>
      </c>
      <c r="E161" s="12">
        <v>-9.1371365008741101E-4</v>
      </c>
      <c r="F161" s="12">
        <v>3.8736230480562739E-4</v>
      </c>
      <c r="G161" s="12">
        <v>-5.9383819379116298E-3</v>
      </c>
      <c r="H161" s="12">
        <v>-8.5145402148284477E-3</v>
      </c>
      <c r="I161" s="12">
        <v>3.6073666223657153E-3</v>
      </c>
      <c r="J161" s="12">
        <v>2.6169311290187292E-3</v>
      </c>
      <c r="K161" s="12">
        <v>-1.2644889357218414E-3</v>
      </c>
      <c r="L161" s="12">
        <v>2.276847830670059E-3</v>
      </c>
      <c r="M161" s="13">
        <f t="shared" si="25"/>
        <v>-1.0774151191868134E-4</v>
      </c>
      <c r="N161" s="32">
        <f t="shared" si="26"/>
        <v>130.38129617642201</v>
      </c>
      <c r="O161" s="32">
        <f t="shared" si="27"/>
        <v>123.37547780064688</v>
      </c>
      <c r="P161" s="12">
        <f t="shared" si="28"/>
        <v>-1.0774151191868134E-4</v>
      </c>
      <c r="Q161" s="13">
        <f t="shared" si="29"/>
        <v>-1.9940384007224991E-3</v>
      </c>
      <c r="R161" s="49" t="str">
        <f t="shared" si="30"/>
        <v/>
      </c>
    </row>
    <row r="162" spans="1:18" x14ac:dyDescent="0.35">
      <c r="A162" s="64" t="s">
        <v>77</v>
      </c>
      <c r="B162" s="14">
        <v>1.1677788369874875E-3</v>
      </c>
      <c r="C162" s="12">
        <v>-1.2376823019314087E-2</v>
      </c>
      <c r="D162" s="12">
        <v>3.0668127053670169E-3</v>
      </c>
      <c r="E162" s="12">
        <v>-8.6683367131894506E-3</v>
      </c>
      <c r="F162" s="12">
        <v>-1.2342392488080556E-3</v>
      </c>
      <c r="G162" s="12">
        <v>-1.5378245697047488E-3</v>
      </c>
      <c r="H162" s="12">
        <v>-9.2482494384982239E-4</v>
      </c>
      <c r="I162" s="12">
        <v>7.3149199142388266E-3</v>
      </c>
      <c r="J162" s="12">
        <v>3.8654348096283542E-2</v>
      </c>
      <c r="K162" s="12">
        <v>-3.3762397130197019E-3</v>
      </c>
      <c r="L162" s="12">
        <v>1.5018299608766883E-2</v>
      </c>
      <c r="M162" s="13">
        <f t="shared" si="25"/>
        <v>2.8460688750411873E-3</v>
      </c>
      <c r="N162" s="32">
        <f t="shared" si="26"/>
        <v>130.75237032535725</v>
      </c>
      <c r="O162" s="32">
        <f t="shared" si="27"/>
        <v>123.5195530726257</v>
      </c>
      <c r="P162" s="12" t="str">
        <f t="shared" si="28"/>
        <v/>
      </c>
      <c r="Q162" s="13">
        <f t="shared" si="29"/>
        <v>1.6782900380536998E-3</v>
      </c>
      <c r="R162" s="49">
        <f t="shared" si="30"/>
        <v>1</v>
      </c>
    </row>
    <row r="163" spans="1:18" x14ac:dyDescent="0.35">
      <c r="A163" s="64" t="s">
        <v>77</v>
      </c>
      <c r="B163" s="14">
        <v>7.6174153157682056E-4</v>
      </c>
      <c r="C163" s="12">
        <v>-5.3480204342273296E-3</v>
      </c>
      <c r="D163" s="12">
        <v>-5.095726869038808E-4</v>
      </c>
      <c r="E163" s="12">
        <v>1.4840961052504653E-3</v>
      </c>
      <c r="F163" s="12">
        <v>-1.889992730797152E-3</v>
      </c>
      <c r="G163" s="12">
        <v>2.6064806587287048E-3</v>
      </c>
      <c r="H163" s="12">
        <v>1.9395221722648959E-3</v>
      </c>
      <c r="I163" s="12">
        <v>2.4414673844996848E-3</v>
      </c>
      <c r="J163" s="12">
        <v>-1.4678899082568697E-2</v>
      </c>
      <c r="K163" s="12">
        <v>2.3290281600678586E-3</v>
      </c>
      <c r="L163" s="12">
        <v>-8.2891246684346775E-4</v>
      </c>
      <c r="M163" s="13">
        <f t="shared" si="25"/>
        <v>9.1649192806509663E-4</v>
      </c>
      <c r="N163" s="32">
        <f t="shared" si="26"/>
        <v>130.87220381733582</v>
      </c>
      <c r="O163" s="32">
        <f t="shared" si="27"/>
        <v>123.61364304616292</v>
      </c>
      <c r="P163" s="12" t="str">
        <f t="shared" si="28"/>
        <v/>
      </c>
      <c r="Q163" s="13">
        <f t="shared" si="29"/>
        <v>1.5475039648827607E-4</v>
      </c>
      <c r="R163" s="49">
        <f t="shared" si="30"/>
        <v>1</v>
      </c>
    </row>
    <row r="164" spans="1:18" x14ac:dyDescent="0.35">
      <c r="A164" s="64" t="s">
        <v>77</v>
      </c>
      <c r="B164" s="14">
        <v>-4.9951238077128313E-4</v>
      </c>
      <c r="C164" s="12">
        <v>-2.6482625792472181E-3</v>
      </c>
      <c r="D164" s="12">
        <v>3.1318281136196724E-3</v>
      </c>
      <c r="E164" s="12">
        <v>-9.1316885613585974E-3</v>
      </c>
      <c r="F164" s="12">
        <v>-1.2623810448630812E-2</v>
      </c>
      <c r="G164" s="12">
        <v>-2.1979320531757773E-2</v>
      </c>
      <c r="H164" s="12">
        <v>-2.947646282446148E-3</v>
      </c>
      <c r="I164" s="12">
        <v>2.266908137138568E-2</v>
      </c>
      <c r="J164" s="12">
        <v>3.1212047607481086E-2</v>
      </c>
      <c r="K164" s="12">
        <v>-2.5348542458809575E-3</v>
      </c>
      <c r="L164" s="12">
        <v>6.9686411149825211E-3</v>
      </c>
      <c r="M164" s="13">
        <f t="shared" si="25"/>
        <v>4.5747352541303608E-3</v>
      </c>
      <c r="N164" s="32">
        <f t="shared" si="26"/>
        <v>131.47090950192472</v>
      </c>
      <c r="O164" s="32">
        <f t="shared" si="27"/>
        <v>123.55189650102912</v>
      </c>
      <c r="P164" s="12" t="str">
        <f t="shared" si="28"/>
        <v/>
      </c>
      <c r="Q164" s="13">
        <f t="shared" si="29"/>
        <v>5.0742476349016439E-3</v>
      </c>
      <c r="R164" s="49">
        <f t="shared" si="30"/>
        <v>1</v>
      </c>
    </row>
    <row r="165" spans="1:18" x14ac:dyDescent="0.35">
      <c r="A165" s="64" t="s">
        <v>77</v>
      </c>
      <c r="B165" s="14">
        <v>1.4516896715850436E-3</v>
      </c>
      <c r="C165" s="12">
        <v>6.2761506276149959E-3</v>
      </c>
      <c r="D165" s="12">
        <v>1.0600450156102559E-2</v>
      </c>
      <c r="E165" s="12">
        <v>-4.0420371867422311E-4</v>
      </c>
      <c r="F165" s="12">
        <v>-2.1390637293470238E-3</v>
      </c>
      <c r="G165" s="12">
        <v>4.0476046638071583E-3</v>
      </c>
      <c r="H165" s="12">
        <v>1.3369809822177059E-2</v>
      </c>
      <c r="I165" s="12">
        <v>2.1983390327309227E-3</v>
      </c>
      <c r="J165" s="12">
        <v>3.4938954971932557E-3</v>
      </c>
      <c r="K165" s="12">
        <v>-2.1177467174926523E-3</v>
      </c>
      <c r="L165" s="12">
        <v>2.8835063437140374E-3</v>
      </c>
      <c r="M165" s="13">
        <f t="shared" si="25"/>
        <v>3.2948782997911565E-3</v>
      </c>
      <c r="N165" s="32">
        <f t="shared" si="26"/>
        <v>131.90409014869644</v>
      </c>
      <c r="O165" s="32">
        <f t="shared" si="27"/>
        <v>123.73125551308441</v>
      </c>
      <c r="P165" s="12" t="str">
        <f t="shared" si="28"/>
        <v/>
      </c>
      <c r="Q165" s="13">
        <f t="shared" si="29"/>
        <v>1.8431886282061129E-3</v>
      </c>
      <c r="R165" s="49">
        <f t="shared" si="30"/>
        <v>1</v>
      </c>
    </row>
    <row r="166" spans="1:18" x14ac:dyDescent="0.35">
      <c r="A166" s="64">
        <v>4.18</v>
      </c>
      <c r="B166" s="14">
        <v>-3.6120814619425845E-3</v>
      </c>
      <c r="C166" s="12">
        <v>-1.2154166000319822E-2</v>
      </c>
      <c r="D166" s="12">
        <v>-1.2213521086283929E-3</v>
      </c>
      <c r="E166" s="12">
        <v>-6.4294379296401249E-3</v>
      </c>
      <c r="F166" s="12">
        <v>5.1989651349020338E-3</v>
      </c>
      <c r="G166" s="12">
        <v>-9.6269554753303233E-4</v>
      </c>
      <c r="H166" s="12">
        <v>-6.7491073761211107E-3</v>
      </c>
      <c r="I166" s="12">
        <v>2.4372410431392488E-3</v>
      </c>
      <c r="J166" s="12">
        <v>-2.0733901885611528E-2</v>
      </c>
      <c r="K166" s="12">
        <v>1.6977928692700761E-3</v>
      </c>
      <c r="L166" s="12">
        <v>1.5608313480652836E-3</v>
      </c>
      <c r="M166" s="13">
        <f t="shared" si="25"/>
        <v>-1.1385410145536417E-4</v>
      </c>
      <c r="N166" s="32">
        <f t="shared" si="26"/>
        <v>131.88907232703428</v>
      </c>
      <c r="O166" s="32">
        <f t="shared" si="27"/>
        <v>123.28432813878271</v>
      </c>
      <c r="P166" s="12">
        <f t="shared" si="28"/>
        <v>-1.1385410145536417E-4</v>
      </c>
      <c r="Q166" s="13">
        <f t="shared" si="29"/>
        <v>3.4982273604872204E-3</v>
      </c>
      <c r="R166" s="49" t="str">
        <f t="shared" si="30"/>
        <v/>
      </c>
    </row>
    <row r="167" spans="1:18" x14ac:dyDescent="0.35">
      <c r="A167" s="64" t="s">
        <v>77</v>
      </c>
      <c r="B167" s="14">
        <v>8.8244413174651815E-3</v>
      </c>
      <c r="C167" s="12">
        <v>1.9022179051319421E-2</v>
      </c>
      <c r="D167" s="12">
        <v>1.2875845202129144E-2</v>
      </c>
      <c r="E167" s="12">
        <v>2.0674779211265149E-2</v>
      </c>
      <c r="F167" s="12">
        <v>-5.6868320423570928E-3</v>
      </c>
      <c r="G167" s="12">
        <v>-4.2158516020229797E-4</v>
      </c>
      <c r="H167" s="12">
        <v>8.8992152908682343E-3</v>
      </c>
      <c r="I167" s="12">
        <v>2.9175784099197966E-3</v>
      </c>
      <c r="J167" s="12">
        <v>-1.5979546180888704E-3</v>
      </c>
      <c r="K167" s="12">
        <v>1.6949152542371504E-3</v>
      </c>
      <c r="L167" s="12">
        <v>7.3818897637800696E-4</v>
      </c>
      <c r="M167" s="13">
        <f t="shared" si="25"/>
        <v>7.4748171453035139E-3</v>
      </c>
      <c r="N167" s="32">
        <f t="shared" si="26"/>
        <v>132.87491902614258</v>
      </c>
      <c r="O167" s="32">
        <f t="shared" si="27"/>
        <v>124.37224345780652</v>
      </c>
      <c r="P167" s="12" t="str">
        <f t="shared" si="28"/>
        <v/>
      </c>
      <c r="Q167" s="13">
        <f t="shared" si="29"/>
        <v>-1.3496241721616675E-3</v>
      </c>
      <c r="R167" s="49">
        <f t="shared" si="30"/>
        <v>1</v>
      </c>
    </row>
    <row r="168" spans="1:18" x14ac:dyDescent="0.35">
      <c r="A168" s="64" t="s">
        <v>77</v>
      </c>
      <c r="B168" s="14">
        <v>-8.0380150830983155E-4</v>
      </c>
      <c r="C168" s="12">
        <v>7.9434426880631293E-5</v>
      </c>
      <c r="D168" s="12">
        <v>4.0480079539804148E-3</v>
      </c>
      <c r="E168" s="12">
        <v>1.2041947446070456E-2</v>
      </c>
      <c r="F168" s="12">
        <v>-1.3287644216546712E-2</v>
      </c>
      <c r="G168" s="12">
        <v>-6.8084593601253074E-3</v>
      </c>
      <c r="H168" s="12">
        <v>5.1273138089857895E-3</v>
      </c>
      <c r="I168" s="12">
        <v>5.5757575757575673E-3</v>
      </c>
      <c r="J168" s="12">
        <v>1.0963508322663351E-2</v>
      </c>
      <c r="K168" s="12">
        <v>-6.556683587140455E-3</v>
      </c>
      <c r="L168" s="12">
        <v>-1.7457585443816148E-2</v>
      </c>
      <c r="M168" s="13">
        <f t="shared" si="25"/>
        <v>-5.7917521807671892E-4</v>
      </c>
      <c r="N168" s="32">
        <f t="shared" si="26"/>
        <v>132.79796116593869</v>
      </c>
      <c r="O168" s="32">
        <f t="shared" si="27"/>
        <v>124.27227286092325</v>
      </c>
      <c r="P168" s="12">
        <f t="shared" si="28"/>
        <v>-5.7917521807671892E-4</v>
      </c>
      <c r="Q168" s="13">
        <f t="shared" si="29"/>
        <v>2.2462629023311262E-4</v>
      </c>
      <c r="R168" s="49" t="str">
        <f t="shared" si="30"/>
        <v/>
      </c>
    </row>
    <row r="169" spans="1:18" x14ac:dyDescent="0.35">
      <c r="A169" s="64" t="s">
        <v>77</v>
      </c>
      <c r="B169" s="14">
        <v>1.8928191174727438E-4</v>
      </c>
      <c r="C169" s="12">
        <v>6.6719618745034737E-3</v>
      </c>
      <c r="D169" s="12">
        <v>7.1438675908896965E-3</v>
      </c>
      <c r="E169" s="12">
        <v>-4.885544304794931E-3</v>
      </c>
      <c r="F169" s="12">
        <v>3.7226733291693126E-3</v>
      </c>
      <c r="G169" s="12">
        <v>-8.7964086386800311E-3</v>
      </c>
      <c r="H169" s="12">
        <v>3.1558014871175821E-3</v>
      </c>
      <c r="I169" s="12">
        <v>3.555930568948984E-3</v>
      </c>
      <c r="J169" s="12">
        <v>3.9578880709245645E-4</v>
      </c>
      <c r="K169" s="12">
        <v>-7.6644666808600714E-3</v>
      </c>
      <c r="L169" s="12">
        <v>1.6683350016684084E-3</v>
      </c>
      <c r="M169" s="13">
        <f t="shared" si="25"/>
        <v>5.3652826313718574E-4</v>
      </c>
      <c r="N169" s="32">
        <f t="shared" si="26"/>
        <v>132.86921102539119</v>
      </c>
      <c r="O169" s="32">
        <f t="shared" si="27"/>
        <v>124.29579535430754</v>
      </c>
      <c r="P169" s="12" t="str">
        <f t="shared" si="28"/>
        <v/>
      </c>
      <c r="Q169" s="13">
        <f t="shared" si="29"/>
        <v>3.4724635138991137E-4</v>
      </c>
      <c r="R169" s="49">
        <f t="shared" si="30"/>
        <v>1</v>
      </c>
    </row>
    <row r="170" spans="1:18" x14ac:dyDescent="0.35">
      <c r="A170" s="64" t="s">
        <v>77</v>
      </c>
      <c r="B170" s="14">
        <v>-1.8214936247722413E-3</v>
      </c>
      <c r="C170" s="12">
        <v>3.0771658513493172E-3</v>
      </c>
      <c r="D170" s="12">
        <v>1.0674906945712603E-2</v>
      </c>
      <c r="E170" s="12">
        <v>4.0384843805678639E-3</v>
      </c>
      <c r="F170" s="12">
        <v>-1.5930701448697571E-3</v>
      </c>
      <c r="G170" s="12">
        <v>1.3464716322908465E-2</v>
      </c>
      <c r="H170" s="12">
        <v>1.1204481792717047E-3</v>
      </c>
      <c r="I170" s="12">
        <v>-1.4533661641943363E-2</v>
      </c>
      <c r="J170" s="12">
        <v>-1.8594714353536879E-2</v>
      </c>
      <c r="K170" s="12">
        <v>-5.3636558678394897E-3</v>
      </c>
      <c r="L170" s="12">
        <v>-2.2943037974683556E-2</v>
      </c>
      <c r="M170" s="13">
        <f t="shared" si="25"/>
        <v>-4.4095868140944412E-3</v>
      </c>
      <c r="N170" s="32">
        <f t="shared" si="26"/>
        <v>132.28331270445449</v>
      </c>
      <c r="O170" s="32">
        <f t="shared" si="27"/>
        <v>124.06939135548367</v>
      </c>
      <c r="P170" s="12">
        <f t="shared" si="28"/>
        <v>-4.4095868140944412E-3</v>
      </c>
      <c r="Q170" s="13">
        <f t="shared" si="29"/>
        <v>-2.5880931893221999E-3</v>
      </c>
      <c r="R170" s="49" t="str">
        <f t="shared" si="30"/>
        <v/>
      </c>
    </row>
    <row r="171" spans="1:18" x14ac:dyDescent="0.35">
      <c r="A171" s="64">
        <v>4.26</v>
      </c>
      <c r="B171" s="14">
        <v>4.644990046449804E-3</v>
      </c>
      <c r="C171" s="12">
        <v>-8.0232832533626564E-3</v>
      </c>
      <c r="D171" s="12">
        <v>-8.3385449239115061E-4</v>
      </c>
      <c r="E171" s="12">
        <v>1.43933120391182E-2</v>
      </c>
      <c r="F171" s="12">
        <v>9.7232610321618118E-4</v>
      </c>
      <c r="G171" s="12">
        <v>8.9981279062745223E-3</v>
      </c>
      <c r="H171" s="12">
        <v>7.0595325211999516E-3</v>
      </c>
      <c r="I171" s="12">
        <v>-1.1335242854531136E-2</v>
      </c>
      <c r="J171" s="12">
        <v>1.1287591711681699E-3</v>
      </c>
      <c r="K171" s="12">
        <v>5.8239861949958005E-3</v>
      </c>
      <c r="L171" s="12">
        <v>-3.8014063498828077E-2</v>
      </c>
      <c r="M171" s="13">
        <f t="shared" si="25"/>
        <v>-5.5762990514370185E-3</v>
      </c>
      <c r="N171" s="32">
        <f t="shared" si="26"/>
        <v>131.5456613932997</v>
      </c>
      <c r="O171" s="32">
        <f t="shared" si="27"/>
        <v>124.64569244339899</v>
      </c>
      <c r="P171" s="12">
        <f t="shared" si="28"/>
        <v>-5.5762990514370185E-3</v>
      </c>
      <c r="Q171" s="13">
        <f t="shared" si="29"/>
        <v>-1.0221289097886822E-2</v>
      </c>
      <c r="R171" s="49" t="str">
        <f t="shared" si="30"/>
        <v/>
      </c>
    </row>
    <row r="172" spans="1:18" x14ac:dyDescent="0.35">
      <c r="A172" s="64" t="s">
        <v>77</v>
      </c>
      <c r="B172" s="14">
        <v>1.934327231553068E-3</v>
      </c>
      <c r="C172" s="12">
        <v>9.8326857505353082E-3</v>
      </c>
      <c r="D172" s="12">
        <v>4.9377564503789717E-3</v>
      </c>
      <c r="E172" s="12">
        <v>2.5268232001243174E-3</v>
      </c>
      <c r="F172" s="12">
        <v>-8.9665994171710395E-3</v>
      </c>
      <c r="G172" s="12">
        <v>-1.2688532439549927E-2</v>
      </c>
      <c r="H172" s="12">
        <v>4.3171617867066026E-3</v>
      </c>
      <c r="I172" s="12">
        <v>1.4054120692843508E-2</v>
      </c>
      <c r="J172" s="12">
        <v>-4.2683417894822107E-3</v>
      </c>
      <c r="K172" s="12">
        <v>6.2191722067337363E-3</v>
      </c>
      <c r="L172" s="12">
        <v>-2.2283258760465996E-2</v>
      </c>
      <c r="M172" s="13">
        <f t="shared" si="25"/>
        <v>2.0136396464180738E-3</v>
      </c>
      <c r="N172" s="32">
        <f t="shared" si="26"/>
        <v>131.81054695239553</v>
      </c>
      <c r="O172" s="32">
        <f t="shared" si="27"/>
        <v>124.88679800058804</v>
      </c>
      <c r="P172" s="12" t="str">
        <f t="shared" si="28"/>
        <v/>
      </c>
      <c r="Q172" s="13">
        <f t="shared" si="29"/>
        <v>7.9312414865005849E-5</v>
      </c>
      <c r="R172" s="49">
        <f t="shared" si="30"/>
        <v>1</v>
      </c>
    </row>
    <row r="173" spans="1:18" x14ac:dyDescent="0.35">
      <c r="A173" s="64" t="s">
        <v>77</v>
      </c>
      <c r="B173" s="14">
        <v>1.8128737580638266E-3</v>
      </c>
      <c r="C173" s="12">
        <v>2.4577934825284586E-2</v>
      </c>
      <c r="D173" s="12">
        <v>-8.304498269896099E-3</v>
      </c>
      <c r="E173" s="12">
        <v>7.7552444840822687E-3</v>
      </c>
      <c r="F173" s="12">
        <v>3.1918369398578061E-3</v>
      </c>
      <c r="G173" s="12">
        <v>2.4854510184286749E-3</v>
      </c>
      <c r="H173" s="12">
        <v>-3.7453183520599342E-3</v>
      </c>
      <c r="I173" s="12">
        <v>-4.2550604826453453E-3</v>
      </c>
      <c r="J173" s="12">
        <v>-8.6541572306697567E-3</v>
      </c>
      <c r="K173" s="12">
        <v>-1.4919011082693556E-3</v>
      </c>
      <c r="L173" s="12">
        <v>-7.6574535568645352E-3</v>
      </c>
      <c r="M173" s="13">
        <f t="shared" si="25"/>
        <v>-3.6591065685811037E-3</v>
      </c>
      <c r="N173" s="32">
        <f t="shared" si="26"/>
        <v>131.32823811423376</v>
      </c>
      <c r="O173" s="32">
        <f t="shared" si="27"/>
        <v>125.11320199941193</v>
      </c>
      <c r="P173" s="12">
        <f t="shared" si="28"/>
        <v>-3.6591065685811037E-3</v>
      </c>
      <c r="Q173" s="13">
        <f t="shared" si="29"/>
        <v>-5.4719803266449303E-3</v>
      </c>
      <c r="R173" s="49" t="str">
        <f t="shared" si="30"/>
        <v/>
      </c>
    </row>
    <row r="174" spans="1:18" x14ac:dyDescent="0.35">
      <c r="A174" s="64" t="s">
        <v>77</v>
      </c>
      <c r="B174" s="14">
        <v>-1.9976028765481546E-3</v>
      </c>
      <c r="C174" s="12">
        <v>-6.4377682403433667E-3</v>
      </c>
      <c r="D174" s="12">
        <v>-4.4661549197488881E-3</v>
      </c>
      <c r="E174" s="12">
        <v>-5.8871060833428634E-3</v>
      </c>
      <c r="F174" s="12">
        <v>2.8058923739853192E-3</v>
      </c>
      <c r="G174" s="12">
        <v>-5.3214004958577199E-3</v>
      </c>
      <c r="H174" s="12">
        <v>-4.6992481203008696E-3</v>
      </c>
      <c r="I174" s="12">
        <v>1.5017398205237731E-2</v>
      </c>
      <c r="J174" s="12">
        <v>5.7110222729868099E-3</v>
      </c>
      <c r="K174" s="12">
        <v>-3.8420490928494644E-3</v>
      </c>
      <c r="L174" s="12">
        <v>2.0547006985982552E-3</v>
      </c>
      <c r="M174" s="13">
        <f t="shared" si="25"/>
        <v>3.3708431642505649E-4</v>
      </c>
      <c r="N174" s="32">
        <f t="shared" si="26"/>
        <v>131.3725068036058</v>
      </c>
      <c r="O174" s="32">
        <f t="shared" si="27"/>
        <v>124.86327550720375</v>
      </c>
      <c r="P174" s="12" t="str">
        <f t="shared" si="28"/>
        <v/>
      </c>
      <c r="Q174" s="13">
        <f t="shared" si="29"/>
        <v>2.334687192973211E-3</v>
      </c>
      <c r="R174" s="49">
        <f t="shared" si="30"/>
        <v>1</v>
      </c>
    </row>
    <row r="175" spans="1:18" x14ac:dyDescent="0.35">
      <c r="A175" s="64" t="s">
        <v>77</v>
      </c>
      <c r="B175" s="14">
        <v>-5.3925493335846841E-3</v>
      </c>
      <c r="C175" s="12">
        <v>3.9339709966061953E-3</v>
      </c>
      <c r="D175" s="12">
        <v>-1.0234123089864045E-2</v>
      </c>
      <c r="E175" s="12">
        <v>-3.7931568354234724E-3</v>
      </c>
      <c r="F175" s="12">
        <v>-7.5697012091535676E-3</v>
      </c>
      <c r="G175" s="12">
        <v>-3.6476381542949188E-4</v>
      </c>
      <c r="H175" s="12">
        <v>-1.4507683062923826E-2</v>
      </c>
      <c r="I175" s="12">
        <v>-9.5627593672942268E-3</v>
      </c>
      <c r="J175" s="12">
        <v>-1.7319704713231077E-2</v>
      </c>
      <c r="K175" s="12">
        <v>-2.0355688879365785E-2</v>
      </c>
      <c r="L175" s="12">
        <v>-1.048026975303018E-2</v>
      </c>
      <c r="M175" s="13">
        <f t="shared" si="25"/>
        <v>-1.1516842614003429E-2</v>
      </c>
      <c r="N175" s="32">
        <f t="shared" si="26"/>
        <v>129.85951031894157</v>
      </c>
      <c r="O175" s="32">
        <f t="shared" si="27"/>
        <v>124.18994413407817</v>
      </c>
      <c r="P175" s="12">
        <f t="shared" si="28"/>
        <v>-1.1516842614003429E-2</v>
      </c>
      <c r="Q175" s="13">
        <f t="shared" si="29"/>
        <v>-6.1242932804187449E-3</v>
      </c>
      <c r="R175" s="49" t="str">
        <f t="shared" si="30"/>
        <v/>
      </c>
    </row>
    <row r="176" spans="1:18" x14ac:dyDescent="0.35">
      <c r="A176" s="64">
        <v>4.22</v>
      </c>
      <c r="B176" s="14">
        <v>-4.2616663115280229E-4</v>
      </c>
      <c r="C176" s="12">
        <v>1.2600845178639908E-2</v>
      </c>
      <c r="D176" s="12">
        <v>-1.5084985835694065E-2</v>
      </c>
      <c r="E176" s="12">
        <v>1.3676276322946546E-2</v>
      </c>
      <c r="F176" s="12">
        <v>2.5173064820638302E-4</v>
      </c>
      <c r="G176" s="12">
        <v>4.8044760688439325E-3</v>
      </c>
      <c r="H176" s="12">
        <v>1.1106271777003629E-2</v>
      </c>
      <c r="I176" s="12">
        <v>-1.5484576147680396E-2</v>
      </c>
      <c r="J176" s="12">
        <v>-1.2589259916621964E-2</v>
      </c>
      <c r="K176" s="12">
        <v>4.1557305336832329E-3</v>
      </c>
      <c r="L176" s="12">
        <v>-3.5503776017682842E-2</v>
      </c>
      <c r="M176" s="13">
        <f t="shared" si="25"/>
        <v>-1.0334668849688484E-2</v>
      </c>
      <c r="N176" s="32">
        <f t="shared" si="26"/>
        <v>128.51745528281262</v>
      </c>
      <c r="O176" s="32">
        <f t="shared" si="27"/>
        <v>124.1370185239635</v>
      </c>
      <c r="P176" s="12">
        <f t="shared" si="28"/>
        <v>-1.0334668849688484E-2</v>
      </c>
      <c r="Q176" s="13">
        <f t="shared" si="29"/>
        <v>-9.9085022185356822E-3</v>
      </c>
      <c r="R176" s="49" t="str">
        <f t="shared" si="30"/>
        <v/>
      </c>
    </row>
    <row r="177" spans="1:18" x14ac:dyDescent="0.35">
      <c r="A177" s="64" t="s">
        <v>77</v>
      </c>
      <c r="B177" s="14">
        <v>-1.3145740069636869E-2</v>
      </c>
      <c r="C177" s="12">
        <v>-1.0091812732377137E-2</v>
      </c>
      <c r="D177" s="12">
        <v>-1.7041777522111223E-2</v>
      </c>
      <c r="E177" s="12">
        <v>-5.6343426600229396E-3</v>
      </c>
      <c r="F177" s="12">
        <v>-2.0083050207625575E-2</v>
      </c>
      <c r="G177" s="12">
        <v>-1.9610216680789327E-2</v>
      </c>
      <c r="H177" s="12">
        <v>-7.495153995261683E-3</v>
      </c>
      <c r="I177" s="12">
        <v>-2.44248442607784E-2</v>
      </c>
      <c r="J177" s="12">
        <v>-7.8170721511579E-3</v>
      </c>
      <c r="K177" s="12">
        <v>-1.8514484861685832E-2</v>
      </c>
      <c r="L177" s="12">
        <v>-2.8169014084505895E-3</v>
      </c>
      <c r="M177" s="13">
        <f t="shared" si="25"/>
        <v>-1.4787984828908647E-2</v>
      </c>
      <c r="N177" s="32">
        <f t="shared" si="26"/>
        <v>126.61694110384045</v>
      </c>
      <c r="O177" s="32">
        <f t="shared" si="27"/>
        <v>122.50514554542778</v>
      </c>
      <c r="P177" s="12">
        <f t="shared" si="28"/>
        <v>-1.4787984828908647E-2</v>
      </c>
      <c r="Q177" s="13">
        <f t="shared" si="29"/>
        <v>-1.6422447592717784E-3</v>
      </c>
      <c r="R177" s="49" t="str">
        <f t="shared" si="30"/>
        <v/>
      </c>
    </row>
    <row r="178" spans="1:18" x14ac:dyDescent="0.35">
      <c r="A178" s="64" t="s">
        <v>77</v>
      </c>
      <c r="B178" s="14">
        <v>1.4016897081413404E-2</v>
      </c>
      <c r="C178" s="12">
        <v>1.4103939904951845E-2</v>
      </c>
      <c r="D178" s="12">
        <v>2.4652523774689072E-2</v>
      </c>
      <c r="E178" s="12">
        <v>1.2334733839571399E-2</v>
      </c>
      <c r="F178" s="12">
        <v>2.2343786116033604E-2</v>
      </c>
      <c r="G178" s="12">
        <v>1.1482899123348655E-2</v>
      </c>
      <c r="H178" s="12">
        <v>1.6969749576841275E-2</v>
      </c>
      <c r="I178" s="12">
        <v>4.254915597142328E-2</v>
      </c>
      <c r="J178" s="12">
        <v>3.3410575100063289E-2</v>
      </c>
      <c r="K178" s="12">
        <v>9.0989791389257668E-3</v>
      </c>
      <c r="L178" s="12">
        <v>2.0827348463085205E-2</v>
      </c>
      <c r="M178" s="13">
        <f t="shared" si="25"/>
        <v>2.2255999790554103E-2</v>
      </c>
      <c r="N178" s="32">
        <f t="shared" si="26"/>
        <v>129.43492771852812</v>
      </c>
      <c r="O178" s="32">
        <f t="shared" si="27"/>
        <v>124.22228756248161</v>
      </c>
      <c r="P178" s="12" t="str">
        <f t="shared" si="28"/>
        <v/>
      </c>
      <c r="Q178" s="13">
        <f t="shared" si="29"/>
        <v>8.2391027091406992E-3</v>
      </c>
      <c r="R178" s="49">
        <f t="shared" si="30"/>
        <v>1</v>
      </c>
    </row>
    <row r="179" spans="1:18" x14ac:dyDescent="0.35">
      <c r="A179" s="64" t="s">
        <v>77</v>
      </c>
      <c r="B179" s="14">
        <v>5.1126680552924242E-3</v>
      </c>
      <c r="C179" s="12">
        <v>1.2698412698412431E-2</v>
      </c>
      <c r="D179" s="12">
        <v>-1.9276076247589646E-3</v>
      </c>
      <c r="E179" s="12">
        <v>1.0965997791569926E-2</v>
      </c>
      <c r="F179" s="12">
        <v>1.5575150099229607E-3</v>
      </c>
      <c r="G179" s="12">
        <v>-1.3427734375E-3</v>
      </c>
      <c r="H179" s="12">
        <v>6.8709457152611453E-3</v>
      </c>
      <c r="I179" s="12">
        <v>-2.4257125530624535E-3</v>
      </c>
      <c r="J179" s="12">
        <v>-6.1154598825832185E-3</v>
      </c>
      <c r="K179" s="12">
        <v>4.6184297338904834E-3</v>
      </c>
      <c r="L179" s="12">
        <v>-3.7521692228326131E-4</v>
      </c>
      <c r="M179" s="13">
        <f t="shared" si="25"/>
        <v>1.4966799208214745E-3</v>
      </c>
      <c r="N179" s="32">
        <f t="shared" si="26"/>
        <v>129.62865037589739</v>
      </c>
      <c r="O179" s="32">
        <f t="shared" si="27"/>
        <v>124.85739488385767</v>
      </c>
      <c r="P179" s="12" t="str">
        <f t="shared" si="28"/>
        <v/>
      </c>
      <c r="Q179" s="13">
        <f t="shared" si="29"/>
        <v>-3.6159881344709497E-3</v>
      </c>
      <c r="R179" s="49">
        <f t="shared" si="30"/>
        <v>1</v>
      </c>
    </row>
    <row r="180" spans="1:18" x14ac:dyDescent="0.35">
      <c r="A180" s="64" t="s">
        <v>77</v>
      </c>
      <c r="B180" s="14">
        <v>-1.0832705350413141E-3</v>
      </c>
      <c r="C180" s="12">
        <v>-2.089864158829724E-3</v>
      </c>
      <c r="D180" s="12">
        <v>-1.1945636623748368E-2</v>
      </c>
      <c r="E180" s="12">
        <v>-9.0392075628042967E-4</v>
      </c>
      <c r="F180" s="12">
        <v>-7.8507110787829903E-3</v>
      </c>
      <c r="G180" s="12">
        <v>-6.0506050605061423E-3</v>
      </c>
      <c r="H180" s="12">
        <v>-5.2981816640529367E-3</v>
      </c>
      <c r="I180" s="12">
        <v>9.2401215805471004E-3</v>
      </c>
      <c r="J180" s="12">
        <v>-8.6143243908443079E-4</v>
      </c>
      <c r="K180" s="12">
        <v>-7.8809106830122211E-3</v>
      </c>
      <c r="L180" s="12">
        <v>3.0967015436587086E-3</v>
      </c>
      <c r="M180" s="13">
        <f t="shared" si="25"/>
        <v>-2.8635224536393139E-3</v>
      </c>
      <c r="N180" s="32">
        <f t="shared" si="26"/>
        <v>129.25745582491106</v>
      </c>
      <c r="O180" s="32">
        <f t="shared" si="27"/>
        <v>124.72214054689796</v>
      </c>
      <c r="P180" s="12">
        <f t="shared" si="28"/>
        <v>-2.8635224536393139E-3</v>
      </c>
      <c r="Q180" s="13">
        <f t="shared" si="29"/>
        <v>-1.7802519185979998E-3</v>
      </c>
      <c r="R180" s="49" t="str">
        <f t="shared" si="30"/>
        <v/>
      </c>
    </row>
    <row r="181" spans="1:18" x14ac:dyDescent="0.35">
      <c r="A181" s="64">
        <v>4.1399999999999997</v>
      </c>
      <c r="B181" s="14">
        <v>5.8229996699514786E-3</v>
      </c>
      <c r="C181" s="12">
        <v>-2.1690351533283359E-3</v>
      </c>
      <c r="D181" s="12">
        <v>5.7192499819009868E-3</v>
      </c>
      <c r="E181" s="12">
        <v>5.3530365288196879E-3</v>
      </c>
      <c r="F181" s="12">
        <v>8.3678835069269653E-3</v>
      </c>
      <c r="G181" s="12">
        <v>4.5502059890549784E-3</v>
      </c>
      <c r="H181" s="12">
        <v>6.6473495824102002E-3</v>
      </c>
      <c r="I181" s="12">
        <v>1.3191181785326966E-2</v>
      </c>
      <c r="J181" s="12">
        <v>2.8739171490741899E-2</v>
      </c>
      <c r="K181" s="12">
        <v>7.0609002647836761E-3</v>
      </c>
      <c r="L181" s="12">
        <v>2.5960054258852283E-2</v>
      </c>
      <c r="M181" s="13">
        <f t="shared" si="25"/>
        <v>1.0851008144998163E-2</v>
      </c>
      <c r="N181" s="32">
        <f t="shared" si="26"/>
        <v>130.66002953086891</v>
      </c>
      <c r="O181" s="32">
        <f t="shared" si="27"/>
        <v>125.44839753013819</v>
      </c>
      <c r="P181" s="12" t="str">
        <f t="shared" si="28"/>
        <v/>
      </c>
      <c r="Q181" s="13">
        <f t="shared" si="29"/>
        <v>5.0280084750466848E-3</v>
      </c>
      <c r="R181" s="49">
        <f t="shared" si="30"/>
        <v>1</v>
      </c>
    </row>
    <row r="182" spans="1:18" x14ac:dyDescent="0.35">
      <c r="A182" s="64" t="s">
        <v>77</v>
      </c>
      <c r="B182" s="14">
        <v>3.3282550099613673E-3</v>
      </c>
      <c r="C182" s="12">
        <v>-2.2487069934786774E-3</v>
      </c>
      <c r="D182" s="12">
        <v>9.6458393319895919E-3</v>
      </c>
      <c r="E182" s="12">
        <v>-6.2619520791931116E-3</v>
      </c>
      <c r="F182" s="12">
        <v>1.5243061649158784E-2</v>
      </c>
      <c r="G182" s="12">
        <v>5.141702883026289E-3</v>
      </c>
      <c r="H182" s="12">
        <v>4.5716220792413331E-3</v>
      </c>
      <c r="I182" s="12">
        <v>7.3717377088162728E-3</v>
      </c>
      <c r="J182" s="12">
        <v>-8.7400726343935808E-3</v>
      </c>
      <c r="K182" s="12">
        <v>1.1831726555652899E-2</v>
      </c>
      <c r="L182" s="12">
        <v>-1.3814169782073504E-2</v>
      </c>
      <c r="M182" s="13">
        <f t="shared" si="25"/>
        <v>3.4957050134725677E-3</v>
      </c>
      <c r="N182" s="32">
        <f t="shared" si="26"/>
        <v>131.11677845116043</v>
      </c>
      <c r="O182" s="32">
        <f t="shared" si="27"/>
        <v>125.8659217877095</v>
      </c>
      <c r="P182" s="12" t="str">
        <f t="shared" si="28"/>
        <v/>
      </c>
      <c r="Q182" s="13">
        <f t="shared" si="29"/>
        <v>1.6745000351120042E-4</v>
      </c>
      <c r="R182" s="49">
        <f t="shared" si="30"/>
        <v>1</v>
      </c>
    </row>
    <row r="183" spans="1:18" x14ac:dyDescent="0.35">
      <c r="A183" s="64" t="s">
        <v>77</v>
      </c>
      <c r="B183" s="14">
        <v>2.3127058658631849E-3</v>
      </c>
      <c r="C183" s="12">
        <v>1.2546014574412068E-2</v>
      </c>
      <c r="D183" s="12">
        <v>-1.0551832311421538E-2</v>
      </c>
      <c r="E183" s="12">
        <v>1.3961210474681351E-2</v>
      </c>
      <c r="F183" s="12">
        <v>-8.6183479441906963E-3</v>
      </c>
      <c r="G183" s="12">
        <v>-1.1570549905608463E-3</v>
      </c>
      <c r="H183" s="12">
        <v>-1.3610315186246336E-2</v>
      </c>
      <c r="I183" s="12">
        <v>-2.7559752139274085E-2</v>
      </c>
      <c r="J183" s="12">
        <v>-3.3899669860697257E-2</v>
      </c>
      <c r="K183" s="12">
        <v>-3.2481593763533656E-3</v>
      </c>
      <c r="L183" s="12">
        <v>-1.849197910406275E-4</v>
      </c>
      <c r="M183" s="13">
        <f t="shared" si="25"/>
        <v>-7.0230603600388523E-3</v>
      </c>
      <c r="N183" s="32">
        <f t="shared" si="26"/>
        <v>130.19593740188409</v>
      </c>
      <c r="O183" s="32">
        <f t="shared" si="27"/>
        <v>126.15701264334021</v>
      </c>
      <c r="P183" s="12">
        <f t="shared" si="28"/>
        <v>-7.0230603600388523E-3</v>
      </c>
      <c r="Q183" s="13">
        <f t="shared" si="29"/>
        <v>-9.3357662259020372E-3</v>
      </c>
      <c r="R183" s="49" t="str">
        <f t="shared" si="30"/>
        <v/>
      </c>
    </row>
    <row r="184" spans="1:18" x14ac:dyDescent="0.35">
      <c r="A184" s="64" t="s">
        <v>77</v>
      </c>
      <c r="B184" s="14">
        <v>2.796811634735441E-4</v>
      </c>
      <c r="C184" s="12">
        <v>1.1500222584953423E-2</v>
      </c>
      <c r="D184" s="12">
        <v>1.7293558149589217E-3</v>
      </c>
      <c r="E184" s="12">
        <v>9.973206311401972E-3</v>
      </c>
      <c r="F184" s="12">
        <v>-8.3694515020175109E-3</v>
      </c>
      <c r="G184" s="12">
        <v>6.0968174612874293E-5</v>
      </c>
      <c r="H184" s="12">
        <v>7.9456619249005378E-3</v>
      </c>
      <c r="I184" s="12">
        <v>-3.2164097584658213E-3</v>
      </c>
      <c r="J184" s="12">
        <v>-1.7502917152858899E-2</v>
      </c>
      <c r="K184" s="12">
        <v>-5.6484901151422351E-3</v>
      </c>
      <c r="L184" s="12">
        <v>-5.4099042863088309E-3</v>
      </c>
      <c r="M184" s="13">
        <f t="shared" si="25"/>
        <v>-9.4327174117667144E-4</v>
      </c>
      <c r="N184" s="32">
        <f t="shared" si="26"/>
        <v>130.0731272533169</v>
      </c>
      <c r="O184" s="32">
        <f t="shared" si="27"/>
        <v>126.19229638341665</v>
      </c>
      <c r="P184" s="12">
        <f t="shared" si="28"/>
        <v>-9.4327174117667144E-4</v>
      </c>
      <c r="Q184" s="13">
        <f t="shared" si="29"/>
        <v>-1.2229529046502157E-3</v>
      </c>
      <c r="R184" s="49" t="str">
        <f t="shared" si="30"/>
        <v/>
      </c>
    </row>
    <row r="185" spans="1:18" x14ac:dyDescent="0.35">
      <c r="A185" s="64" t="s">
        <v>77</v>
      </c>
      <c r="B185" s="14">
        <v>1.3281140780092571E-3</v>
      </c>
      <c r="C185" s="12">
        <v>4.6211398811706328E-3</v>
      </c>
      <c r="D185" s="12">
        <v>7.1932096101281484E-3</v>
      </c>
      <c r="E185" s="12">
        <v>-1.8422991893883855E-3</v>
      </c>
      <c r="F185" s="12">
        <v>5.8779201205727549E-3</v>
      </c>
      <c r="G185" s="12">
        <v>4.3284764982016721E-3</v>
      </c>
      <c r="H185" s="12">
        <v>-9.027336300063582E-3</v>
      </c>
      <c r="I185" s="12">
        <v>5.9665144596650066E-3</v>
      </c>
      <c r="J185" s="12">
        <v>1.6118086189345071E-2</v>
      </c>
      <c r="K185" s="12">
        <v>2.7091981647367147E-2</v>
      </c>
      <c r="L185" s="12">
        <v>1.176197117619715E-2</v>
      </c>
      <c r="M185" s="13">
        <f t="shared" si="25"/>
        <v>1.0931854716639773E-2</v>
      </c>
      <c r="N185" s="32">
        <f t="shared" si="26"/>
        <v>131.49506778298914</v>
      </c>
      <c r="O185" s="32">
        <f t="shared" si="27"/>
        <v>126.35989414877977</v>
      </c>
      <c r="P185" s="12" t="str">
        <f t="shared" si="28"/>
        <v/>
      </c>
      <c r="Q185" s="13">
        <f t="shared" si="29"/>
        <v>9.603740638630516E-3</v>
      </c>
      <c r="R185" s="49">
        <f t="shared" si="30"/>
        <v>1</v>
      </c>
    </row>
    <row r="186" spans="1:18" x14ac:dyDescent="0.35">
      <c r="A186" s="64">
        <v>4.22</v>
      </c>
      <c r="B186" s="14">
        <v>5.2123327515996021E-3</v>
      </c>
      <c r="C186" s="12">
        <v>2.2634345794392274E-3</v>
      </c>
      <c r="D186" s="12">
        <v>1.7140408513067751E-3</v>
      </c>
      <c r="E186" s="12">
        <v>2.5839793281654533E-3</v>
      </c>
      <c r="F186" s="12">
        <v>1.1112775946458875E-2</v>
      </c>
      <c r="G186" s="12">
        <v>7.4056088381693197E-3</v>
      </c>
      <c r="H186" s="12">
        <v>5.6881361731246916E-3</v>
      </c>
      <c r="I186" s="12">
        <v>1.0349210191853864E-2</v>
      </c>
      <c r="J186" s="12">
        <v>7.0963432960424733E-4</v>
      </c>
      <c r="K186" s="12">
        <v>-1.2125079770261671E-2</v>
      </c>
      <c r="L186" s="12">
        <v>-4.2273583605201281E-3</v>
      </c>
      <c r="M186" s="13">
        <f t="shared" si="25"/>
        <v>-6.1006397867851799E-4</v>
      </c>
      <c r="N186" s="32">
        <f t="shared" si="26"/>
        <v>131.41484737876087</v>
      </c>
      <c r="O186" s="32">
        <f t="shared" si="27"/>
        <v>127.01852396354012</v>
      </c>
      <c r="P186" s="12">
        <f t="shared" si="28"/>
        <v>-6.1006397867851799E-4</v>
      </c>
      <c r="Q186" s="13">
        <f t="shared" si="29"/>
        <v>-5.8223967302781197E-3</v>
      </c>
      <c r="R186" s="49" t="str">
        <f t="shared" si="30"/>
        <v/>
      </c>
    </row>
    <row r="187" spans="1:18" x14ac:dyDescent="0.35">
      <c r="A187" s="64" t="s">
        <v>77</v>
      </c>
      <c r="B187" s="14">
        <v>7.5001736151301124E-3</v>
      </c>
      <c r="C187" s="12">
        <v>1.9596415822831004E-2</v>
      </c>
      <c r="D187" s="12">
        <v>-4.6485099101668204E-2</v>
      </c>
      <c r="E187" s="12">
        <v>2.2275405007363691E-2</v>
      </c>
      <c r="F187" s="12">
        <v>1.1040035565215378E-2</v>
      </c>
      <c r="G187" s="12">
        <v>1.8197155941190646E-2</v>
      </c>
      <c r="H187" s="12">
        <v>1.479906442696155E-2</v>
      </c>
      <c r="I187" s="12">
        <v>9.3446747334371416E-3</v>
      </c>
      <c r="J187" s="12">
        <v>-1.2722646310432517E-2</v>
      </c>
      <c r="K187" s="12">
        <v>5.5986218776917784E-3</v>
      </c>
      <c r="L187" s="12">
        <v>4.8451848091919381E-3</v>
      </c>
      <c r="M187" s="13">
        <f t="shared" si="25"/>
        <v>-5.7944235927946631E-3</v>
      </c>
      <c r="N187" s="32">
        <f t="shared" si="26"/>
        <v>130.65337408666585</v>
      </c>
      <c r="O187" s="32">
        <f t="shared" si="27"/>
        <v>127.97118494560424</v>
      </c>
      <c r="P187" s="12">
        <f t="shared" si="28"/>
        <v>-5.7944235927946631E-3</v>
      </c>
      <c r="Q187" s="13">
        <f t="shared" si="29"/>
        <v>-1.3294597207924776E-2</v>
      </c>
      <c r="R187" s="49" t="str">
        <f t="shared" si="30"/>
        <v/>
      </c>
    </row>
    <row r="188" spans="1:18" x14ac:dyDescent="0.35">
      <c r="A188" s="64" t="s">
        <v>77</v>
      </c>
      <c r="B188" s="14">
        <v>-2.0219194448912736E-3</v>
      </c>
      <c r="C188" s="12">
        <v>1.4718490997427836E-2</v>
      </c>
      <c r="D188" s="12">
        <v>-8.823089576790788E-3</v>
      </c>
      <c r="E188" s="12">
        <v>3.6016567621199869E-5</v>
      </c>
      <c r="F188" s="12">
        <v>2.1985538401405602E-3</v>
      </c>
      <c r="G188" s="12">
        <v>-5.977038702804971E-3</v>
      </c>
      <c r="H188" s="12">
        <v>4.0648703013033138E-3</v>
      </c>
      <c r="I188" s="12">
        <v>6.2908011869435843E-3</v>
      </c>
      <c r="J188" s="12">
        <v>-2.2815616021633067E-3</v>
      </c>
      <c r="K188" s="12">
        <v>-1.0706638115632883E-3</v>
      </c>
      <c r="L188" s="12">
        <v>-1.9470977222630359E-2</v>
      </c>
      <c r="M188" s="13">
        <f t="shared" si="25"/>
        <v>-4.7589612495613958E-3</v>
      </c>
      <c r="N188" s="32">
        <f t="shared" si="26"/>
        <v>130.03159974226296</v>
      </c>
      <c r="O188" s="32">
        <f t="shared" si="27"/>
        <v>127.71243751837694</v>
      </c>
      <c r="P188" s="12">
        <f t="shared" si="28"/>
        <v>-4.7589612495613958E-3</v>
      </c>
      <c r="Q188" s="13">
        <f t="shared" si="29"/>
        <v>-2.7370418046701222E-3</v>
      </c>
      <c r="R188" s="49" t="str">
        <f t="shared" si="30"/>
        <v/>
      </c>
    </row>
    <row r="189" spans="1:18" x14ac:dyDescent="0.35">
      <c r="A189" s="64" t="s">
        <v>77</v>
      </c>
      <c r="B189" s="14">
        <v>3.3613445378151141E-3</v>
      </c>
      <c r="C189" s="12">
        <v>1.7955217574989302E-2</v>
      </c>
      <c r="D189" s="12">
        <v>7.4683162341582232E-3</v>
      </c>
      <c r="E189" s="12">
        <v>8.1754663977526842E-3</v>
      </c>
      <c r="F189" s="12">
        <v>3.4124701408864144E-3</v>
      </c>
      <c r="G189" s="12">
        <v>8.5729594570458367E-3</v>
      </c>
      <c r="H189" s="12">
        <v>1.6694490818029983E-3</v>
      </c>
      <c r="I189" s="12">
        <v>8.3746166548712697E-3</v>
      </c>
      <c r="J189" s="12">
        <v>-1.8463623274328711E-2</v>
      </c>
      <c r="K189" s="12">
        <v>-1.7148981779206984E-3</v>
      </c>
      <c r="L189" s="12">
        <v>5.4795803671785492E-3</v>
      </c>
      <c r="M189" s="13">
        <f t="shared" si="25"/>
        <v>5.3477580168628091E-3</v>
      </c>
      <c r="N189" s="32">
        <f t="shared" si="26"/>
        <v>130.72697727223013</v>
      </c>
      <c r="O189" s="32">
        <f t="shared" si="27"/>
        <v>128.14172302264041</v>
      </c>
      <c r="P189" s="12" t="str">
        <f t="shared" si="28"/>
        <v/>
      </c>
      <c r="Q189" s="13">
        <f t="shared" si="29"/>
        <v>1.986413479047695E-3</v>
      </c>
      <c r="R189" s="49">
        <f t="shared" si="30"/>
        <v>1</v>
      </c>
    </row>
    <row r="190" spans="1:18" x14ac:dyDescent="0.35">
      <c r="A190" s="64">
        <v>4.25</v>
      </c>
      <c r="B190" s="14">
        <v>-8.5587756132259329E-3</v>
      </c>
      <c r="C190" s="12">
        <v>-9.1996956491663395E-3</v>
      </c>
      <c r="D190" s="12">
        <v>6.5892923998502884E-3</v>
      </c>
      <c r="E190" s="12">
        <v>-8.9665273461222439E-3</v>
      </c>
      <c r="F190" s="12">
        <v>-4.1539134236993069E-3</v>
      </c>
      <c r="G190" s="12">
        <v>-1.9479369576765881E-3</v>
      </c>
      <c r="H190" s="12">
        <v>-1.4124999999999943E-2</v>
      </c>
      <c r="I190" s="12">
        <v>-2.0353257690957971E-2</v>
      </c>
      <c r="J190" s="12">
        <v>2.1529036154974479E-2</v>
      </c>
      <c r="K190" s="12">
        <v>-8.5892205282367406E-4</v>
      </c>
      <c r="L190" s="12">
        <v>-1.2017327309143289E-2</v>
      </c>
      <c r="M190" s="13">
        <f t="shared" si="25"/>
        <v>-5.5919622112471992E-3</v>
      </c>
      <c r="N190" s="32">
        <f t="shared" si="26"/>
        <v>129.99595695533324</v>
      </c>
      <c r="O190" s="32">
        <f t="shared" si="27"/>
        <v>127.04498676859748</v>
      </c>
      <c r="P190" s="12">
        <f t="shared" si="28"/>
        <v>-5.5919622112471992E-3</v>
      </c>
      <c r="Q190" s="13">
        <f t="shared" si="29"/>
        <v>2.9668134019787337E-3</v>
      </c>
      <c r="R190" s="49" t="str">
        <f t="shared" si="30"/>
        <v/>
      </c>
    </row>
    <row r="191" spans="1:18" x14ac:dyDescent="0.35">
      <c r="A191" s="64" t="s">
        <v>77</v>
      </c>
      <c r="B191" s="14">
        <v>1.1294204776893135E-2</v>
      </c>
      <c r="C191" s="12">
        <v>1.3055012566322244E-2</v>
      </c>
      <c r="D191" s="12">
        <v>5.5047236479950357E-3</v>
      </c>
      <c r="E191" s="12">
        <v>1.8744142455482393E-3</v>
      </c>
      <c r="F191" s="12">
        <v>5.2689352360044683E-3</v>
      </c>
      <c r="G191" s="12">
        <v>3.9626212443812925E-3</v>
      </c>
      <c r="H191" s="12">
        <v>7.8610371497400688E-3</v>
      </c>
      <c r="I191" s="12">
        <v>2.6507462686567118E-2</v>
      </c>
      <c r="J191" s="12">
        <v>1.1910292689107482E-2</v>
      </c>
      <c r="K191" s="12">
        <v>5.1579626047710825E-3</v>
      </c>
      <c r="L191" s="12">
        <v>2.5034180378105564E-2</v>
      </c>
      <c r="M191" s="13">
        <f t="shared" si="25"/>
        <v>1.2289523400872403E-2</v>
      </c>
      <c r="N191" s="32">
        <f t="shared" si="26"/>
        <v>131.59354531035461</v>
      </c>
      <c r="O191" s="32">
        <f t="shared" si="27"/>
        <v>128.47985886503969</v>
      </c>
      <c r="P191" s="12" t="str">
        <f t="shared" si="28"/>
        <v/>
      </c>
      <c r="Q191" s="13">
        <f t="shared" si="29"/>
        <v>9.9531862397926781E-4</v>
      </c>
      <c r="R191" s="49">
        <f t="shared" si="30"/>
        <v>1</v>
      </c>
    </row>
    <row r="192" spans="1:18" x14ac:dyDescent="0.35">
      <c r="A192" s="64" t="s">
        <v>77</v>
      </c>
      <c r="B192" s="14">
        <v>3.4328084950567828E-3</v>
      </c>
      <c r="C192" s="12">
        <v>-4.2037075322169937E-3</v>
      </c>
      <c r="D192" s="12">
        <v>-4.2169120366944979E-3</v>
      </c>
      <c r="E192" s="12">
        <v>-2.230697272792681E-3</v>
      </c>
      <c r="F192" s="12">
        <v>9.5362888549173075E-3</v>
      </c>
      <c r="G192" s="12">
        <v>-1.5905743740796119E-3</v>
      </c>
      <c r="H192" s="12">
        <v>-2.5160397534280676E-3</v>
      </c>
      <c r="I192" s="12">
        <v>9.6545306502267003E-3</v>
      </c>
      <c r="J192" s="12">
        <v>-5.4259359739555757E-3</v>
      </c>
      <c r="K192" s="12">
        <v>-1.9243104554201862E-3</v>
      </c>
      <c r="L192" s="12">
        <v>5.3352957409622537E-3</v>
      </c>
      <c r="M192" s="13">
        <f t="shared" si="25"/>
        <v>8.6816567805285112E-4</v>
      </c>
      <c r="N192" s="32">
        <f t="shared" si="26"/>
        <v>131.70779030984636</v>
      </c>
      <c r="O192" s="32">
        <f t="shared" si="27"/>
        <v>128.92090561599528</v>
      </c>
      <c r="P192" s="12" t="str">
        <f t="shared" si="28"/>
        <v/>
      </c>
      <c r="Q192" s="13">
        <f t="shared" si="29"/>
        <v>-2.5646428170039317E-3</v>
      </c>
      <c r="R192" s="49">
        <f t="shared" si="30"/>
        <v>1</v>
      </c>
    </row>
    <row r="193" spans="1:18" x14ac:dyDescent="0.35">
      <c r="A193" s="64" t="s">
        <v>77</v>
      </c>
      <c r="B193" s="14">
        <v>-3.5122930255896412E-3</v>
      </c>
      <c r="C193" s="12">
        <v>7.8892733564013273E-3</v>
      </c>
      <c r="D193" s="12">
        <v>-4.5319465081722354E-3</v>
      </c>
      <c r="E193" s="12">
        <v>1.3197749891821875E-2</v>
      </c>
      <c r="F193" s="12">
        <v>6.0090375925392348E-3</v>
      </c>
      <c r="G193" s="12">
        <v>-1.2390842577294503E-3</v>
      </c>
      <c r="H193" s="12">
        <v>1.8833816790683855E-2</v>
      </c>
      <c r="I193" s="12">
        <v>-5.6451612903225534E-3</v>
      </c>
      <c r="J193" s="12">
        <v>-4.2343363128960476E-2</v>
      </c>
      <c r="K193" s="12">
        <v>3.8560411311054921E-3</v>
      </c>
      <c r="L193" s="12">
        <v>-1.5509195717815061E-2</v>
      </c>
      <c r="M193" s="13">
        <f t="shared" si="25"/>
        <v>-2.2738053615849775E-3</v>
      </c>
      <c r="N193" s="32">
        <f t="shared" si="26"/>
        <v>131.40831243007733</v>
      </c>
      <c r="O193" s="32">
        <f t="shared" si="27"/>
        <v>128.46809761834751</v>
      </c>
      <c r="P193" s="12">
        <f t="shared" si="28"/>
        <v>-2.2738053615849775E-3</v>
      </c>
      <c r="Q193" s="13">
        <f t="shared" si="29"/>
        <v>1.2384876640046637E-3</v>
      </c>
      <c r="R193" s="49" t="str">
        <f t="shared" si="30"/>
        <v/>
      </c>
    </row>
    <row r="194" spans="1:18" x14ac:dyDescent="0.35">
      <c r="A194" s="64" t="s">
        <v>77</v>
      </c>
      <c r="B194" s="14">
        <v>1.1672617412799013E-3</v>
      </c>
      <c r="C194" s="12">
        <v>2.4100521834661048E-2</v>
      </c>
      <c r="D194" s="12">
        <v>-3.28382715127995E-3</v>
      </c>
      <c r="E194" s="12">
        <v>5.44522741832143E-3</v>
      </c>
      <c r="F194" s="12">
        <v>-9.0791800066899464E-3</v>
      </c>
      <c r="G194" s="12">
        <v>6.7938796006379309E-3</v>
      </c>
      <c r="H194" s="12">
        <v>1.5019599752424284E-2</v>
      </c>
      <c r="I194" s="12">
        <v>-5.7930714865017663E-4</v>
      </c>
      <c r="J194" s="12">
        <v>-1.6432953549518015E-2</v>
      </c>
      <c r="K194" s="12">
        <v>6.8288518992745129E-3</v>
      </c>
      <c r="L194" s="12">
        <v>-1.6497049119382878E-2</v>
      </c>
      <c r="M194" s="13">
        <f t="shared" si="25"/>
        <v>-1.5354849654043994E-3</v>
      </c>
      <c r="N194" s="32">
        <f t="shared" si="26"/>
        <v>131.20653694201178</v>
      </c>
      <c r="O194" s="32">
        <f t="shared" si="27"/>
        <v>128.61805351367244</v>
      </c>
      <c r="P194" s="12">
        <f t="shared" si="28"/>
        <v>-1.5354849654043994E-3</v>
      </c>
      <c r="Q194" s="13">
        <f t="shared" si="29"/>
        <v>-2.7027467066843007E-3</v>
      </c>
      <c r="R194" s="49" t="str">
        <f t="shared" si="30"/>
        <v/>
      </c>
    </row>
    <row r="195" spans="1:18" x14ac:dyDescent="0.35">
      <c r="A195" s="64">
        <v>4.1399999999999997</v>
      </c>
      <c r="B195" s="14">
        <v>-3.2690944836888391E-3</v>
      </c>
      <c r="C195" s="12">
        <v>-4.4921220248073102E-3</v>
      </c>
      <c r="D195" s="12">
        <v>4.4926993635341361E-3</v>
      </c>
      <c r="E195" s="12">
        <v>-5.2387526105270865E-3</v>
      </c>
      <c r="F195" s="12">
        <v>1.2803202006076209E-2</v>
      </c>
      <c r="G195" s="12">
        <v>-1.2029104565191795E-2</v>
      </c>
      <c r="H195" s="12">
        <v>1.0406927110858222E-2</v>
      </c>
      <c r="I195" s="12">
        <v>1.9128217018316018E-3</v>
      </c>
      <c r="J195" s="12">
        <v>-7.5295165961238864E-3</v>
      </c>
      <c r="K195" s="12">
        <v>8.4781687155577323E-4</v>
      </c>
      <c r="L195" s="12">
        <v>-1.0867510867510477E-3</v>
      </c>
      <c r="M195" s="13">
        <f t="shared" si="25"/>
        <v>8.7910268330942086E-4</v>
      </c>
      <c r="N195" s="32">
        <f t="shared" si="26"/>
        <v>131.32188096070524</v>
      </c>
      <c r="O195" s="32">
        <f t="shared" si="27"/>
        <v>128.19758894442811</v>
      </c>
      <c r="P195" s="12" t="str">
        <f t="shared" si="28"/>
        <v/>
      </c>
      <c r="Q195" s="13">
        <f t="shared" si="29"/>
        <v>4.14819716699826E-3</v>
      </c>
      <c r="R195" s="49">
        <f t="shared" si="30"/>
        <v>1</v>
      </c>
    </row>
    <row r="196" spans="1:18" x14ac:dyDescent="0.35">
      <c r="A196" s="64" t="s">
        <v>77</v>
      </c>
      <c r="B196" s="14">
        <v>-7.522935779816553E-3</v>
      </c>
      <c r="C196" s="12">
        <v>-1.4075969827586188E-2</v>
      </c>
      <c r="D196" s="12">
        <v>-1.1032426388371319E-2</v>
      </c>
      <c r="E196" s="12">
        <v>-9.9633491086348336E-4</v>
      </c>
      <c r="F196" s="12">
        <v>-8.3323413879310415E-4</v>
      </c>
      <c r="G196" s="12">
        <v>-1.6036110946131554E-3</v>
      </c>
      <c r="H196" s="12">
        <v>-1.7300341983504941E-3</v>
      </c>
      <c r="I196" s="12">
        <v>-1.6430431009545887E-2</v>
      </c>
      <c r="J196" s="12">
        <v>-2.2535464176692277E-2</v>
      </c>
      <c r="K196" s="12">
        <v>-6.3532401524779569E-4</v>
      </c>
      <c r="L196" s="12">
        <v>-1.6366302445485092E-2</v>
      </c>
      <c r="M196" s="13">
        <f t="shared" si="25"/>
        <v>-9.258435924320187E-3</v>
      </c>
      <c r="N196" s="32">
        <f t="shared" si="26"/>
        <v>130.10604574036935</v>
      </c>
      <c r="O196" s="32">
        <f t="shared" si="27"/>
        <v>127.23316671567186</v>
      </c>
      <c r="P196" s="12">
        <f t="shared" si="28"/>
        <v>-9.258435924320187E-3</v>
      </c>
      <c r="Q196" s="13">
        <f t="shared" si="29"/>
        <v>-1.7355001445036339E-3</v>
      </c>
      <c r="R196" s="49" t="str">
        <f t="shared" si="30"/>
        <v/>
      </c>
    </row>
    <row r="197" spans="1:18" x14ac:dyDescent="0.35">
      <c r="A197" s="64" t="s">
        <v>77</v>
      </c>
      <c r="B197" s="14">
        <v>-1.5876317249029381E-2</v>
      </c>
      <c r="C197" s="12">
        <v>-2.691440672177059E-2</v>
      </c>
      <c r="D197" s="12">
        <v>-7.0098741237655249E-3</v>
      </c>
      <c r="E197" s="12">
        <v>-1.3321460373998284E-2</v>
      </c>
      <c r="F197" s="12">
        <v>-2.5351441505837458E-2</v>
      </c>
      <c r="G197" s="12">
        <v>-7.2575847709696051E-3</v>
      </c>
      <c r="H197" s="12">
        <v>-3.1073674028695875E-2</v>
      </c>
      <c r="I197" s="12">
        <v>-4.2350449973530879E-2</v>
      </c>
      <c r="J197" s="12">
        <v>-4.9370809222007872E-2</v>
      </c>
      <c r="K197" s="12">
        <v>-2.3310023310023631E-3</v>
      </c>
      <c r="L197" s="12">
        <v>-2.3419091127674818E-2</v>
      </c>
      <c r="M197" s="13">
        <f t="shared" si="25"/>
        <v>-1.6436336432628658E-2</v>
      </c>
      <c r="N197" s="32">
        <f t="shared" si="26"/>
        <v>127.96757900066167</v>
      </c>
      <c r="O197" s="32">
        <f t="shared" si="27"/>
        <v>125.21317259629521</v>
      </c>
      <c r="P197" s="12">
        <f t="shared" si="28"/>
        <v>-1.6436336432628658E-2</v>
      </c>
      <c r="Q197" s="13">
        <f t="shared" si="29"/>
        <v>-5.6001918359927655E-4</v>
      </c>
      <c r="R197" s="49" t="str">
        <f t="shared" si="30"/>
        <v/>
      </c>
    </row>
    <row r="198" spans="1:18" x14ac:dyDescent="0.35">
      <c r="A198" s="64" t="s">
        <v>77</v>
      </c>
      <c r="B198" s="14">
        <v>1.5169660678642893E-2</v>
      </c>
      <c r="C198" s="12">
        <v>2.5974025974026205E-2</v>
      </c>
      <c r="D198" s="12">
        <v>1.4801882495824925E-2</v>
      </c>
      <c r="E198" s="12">
        <v>8.3390491318002802E-3</v>
      </c>
      <c r="F198" s="12">
        <v>9.5584999755538025E-3</v>
      </c>
      <c r="G198" s="12">
        <v>9.407957813998058E-3</v>
      </c>
      <c r="H198" s="12">
        <v>9.5253941183810475E-3</v>
      </c>
      <c r="I198" s="12">
        <v>3.7221300902892995E-2</v>
      </c>
      <c r="J198" s="12">
        <v>4.9084496835595903E-2</v>
      </c>
      <c r="K198" s="12">
        <v>4.4604927782498915E-3</v>
      </c>
      <c r="L198" s="12">
        <v>2.4029938940319129E-2</v>
      </c>
      <c r="M198" s="13">
        <f t="shared" si="25"/>
        <v>1.7476788693058076E-2</v>
      </c>
      <c r="N198" s="32">
        <f t="shared" si="26"/>
        <v>130.20404133841845</v>
      </c>
      <c r="O198" s="32">
        <f t="shared" si="27"/>
        <v>127.11261393707736</v>
      </c>
      <c r="P198" s="12" t="str">
        <f t="shared" si="28"/>
        <v/>
      </c>
      <c r="Q198" s="13">
        <f t="shared" si="29"/>
        <v>2.3071280144151829E-3</v>
      </c>
      <c r="R198" s="49">
        <f t="shared" si="30"/>
        <v>1</v>
      </c>
    </row>
    <row r="199" spans="1:18" x14ac:dyDescent="0.35">
      <c r="A199" s="64">
        <v>4.24</v>
      </c>
      <c r="B199" s="14">
        <v>8.2348314866644845E-3</v>
      </c>
      <c r="C199" s="12">
        <v>-5.1317139924734745E-3</v>
      </c>
      <c r="D199" s="12">
        <v>9.4995886004938246E-3</v>
      </c>
      <c r="E199" s="12">
        <v>7.4466561649719765E-3</v>
      </c>
      <c r="F199" s="12">
        <v>4.0438772792210642E-3</v>
      </c>
      <c r="G199" s="12">
        <v>6.1739388542596529E-3</v>
      </c>
      <c r="H199" s="12">
        <v>3.9555006180469476E-3</v>
      </c>
      <c r="I199" s="12">
        <v>2.1555042340261732E-2</v>
      </c>
      <c r="J199" s="12">
        <v>2.4821551922634022E-2</v>
      </c>
      <c r="K199" s="12">
        <v>-4.8636075280185098E-3</v>
      </c>
      <c r="L199" s="12">
        <v>1.3319869205616452E-2</v>
      </c>
      <c r="M199" s="13">
        <f t="shared" si="25"/>
        <v>8.9715364647387948E-3</v>
      </c>
      <c r="N199" s="32">
        <f t="shared" si="26"/>
        <v>131.37217164314242</v>
      </c>
      <c r="O199" s="32">
        <f t="shared" si="27"/>
        <v>128.15936489267864</v>
      </c>
      <c r="P199" s="12" t="str">
        <f t="shared" si="28"/>
        <v/>
      </c>
      <c r="Q199" s="13">
        <f t="shared" si="29"/>
        <v>7.3670497807431026E-4</v>
      </c>
      <c r="R199" s="49">
        <f t="shared" si="30"/>
        <v>1</v>
      </c>
    </row>
    <row r="200" spans="1:18" x14ac:dyDescent="0.35">
      <c r="A200" s="64" t="s">
        <v>77</v>
      </c>
      <c r="B200" s="14">
        <v>2.0189506045380501E-3</v>
      </c>
      <c r="C200" s="12">
        <v>9.6286107290233236E-3</v>
      </c>
      <c r="D200" s="12">
        <v>-4.1493775933609811E-3</v>
      </c>
      <c r="E200" s="12">
        <v>1.6844349680170678E-2</v>
      </c>
      <c r="F200" s="12">
        <v>2.725255643449831E-3</v>
      </c>
      <c r="G200" s="12">
        <v>2.8910260192340775E-3</v>
      </c>
      <c r="H200" s="12">
        <v>1.969958138389627E-3</v>
      </c>
      <c r="I200" s="12">
        <v>-9.3327923018954317E-3</v>
      </c>
      <c r="J200" s="12">
        <v>-7.5042688954793935E-3</v>
      </c>
      <c r="K200" s="12">
        <v>6.3748406289843018E-4</v>
      </c>
      <c r="L200" s="12">
        <v>-7.4502918426422315E-3</v>
      </c>
      <c r="M200" s="13">
        <f t="shared" si="25"/>
        <v>-1.7213064941382925E-3</v>
      </c>
      <c r="N200" s="32">
        <f t="shared" si="26"/>
        <v>131.14603987094404</v>
      </c>
      <c r="O200" s="32">
        <f t="shared" si="27"/>
        <v>128.41811231990593</v>
      </c>
      <c r="P200" s="12">
        <f t="shared" si="28"/>
        <v>-1.7213064941382925E-3</v>
      </c>
      <c r="Q200" s="13">
        <f t="shared" si="29"/>
        <v>-3.7402570986763426E-3</v>
      </c>
      <c r="R200" s="49" t="str">
        <f t="shared" si="30"/>
        <v/>
      </c>
    </row>
    <row r="201" spans="1:18" x14ac:dyDescent="0.35">
      <c r="A201" s="64" t="s">
        <v>77</v>
      </c>
      <c r="B201" s="14">
        <v>1.0143102461362297E-2</v>
      </c>
      <c r="C201" s="12">
        <v>1.1989100817438647E-2</v>
      </c>
      <c r="D201" s="12">
        <v>4.4642857142855874E-3</v>
      </c>
      <c r="E201" s="12">
        <v>1.2336618438526736E-2</v>
      </c>
      <c r="F201" s="12">
        <v>4.641989561536386E-3</v>
      </c>
      <c r="G201" s="12">
        <v>1.0648311566066715E-2</v>
      </c>
      <c r="H201" s="12">
        <v>1.9988531170639812E-2</v>
      </c>
      <c r="I201" s="12">
        <v>1.3341135166764273E-2</v>
      </c>
      <c r="J201" s="12">
        <v>2.9429075927016601E-3</v>
      </c>
      <c r="K201" s="12">
        <v>8.2820131662773022E-3</v>
      </c>
      <c r="L201" s="12">
        <v>1.7689806846432621E-3</v>
      </c>
      <c r="M201" s="13">
        <f t="shared" si="25"/>
        <v>7.662927289411545E-3</v>
      </c>
      <c r="N201" s="32">
        <f t="shared" si="26"/>
        <v>132.15100243876935</v>
      </c>
      <c r="O201" s="32">
        <f t="shared" si="27"/>
        <v>129.72067039106147</v>
      </c>
      <c r="P201" s="12" t="str">
        <f t="shared" si="28"/>
        <v/>
      </c>
      <c r="Q201" s="13">
        <f t="shared" si="29"/>
        <v>-2.4801751719507516E-3</v>
      </c>
      <c r="R201" s="49">
        <f t="shared" si="30"/>
        <v>1</v>
      </c>
    </row>
    <row r="202" spans="1:18" x14ac:dyDescent="0.35">
      <c r="A202" s="64" t="s">
        <v>77</v>
      </c>
      <c r="B202" s="14">
        <v>2.3799809601523503E-3</v>
      </c>
      <c r="C202" s="12">
        <v>2.8944534194939031E-3</v>
      </c>
      <c r="D202" s="12">
        <v>1.0148148148148239E-2</v>
      </c>
      <c r="E202" s="12">
        <v>-2.1403666240894514E-3</v>
      </c>
      <c r="F202" s="12">
        <v>-9.9593009336843563E-3</v>
      </c>
      <c r="G202" s="12">
        <v>4.6568484777931296E-4</v>
      </c>
      <c r="H202" s="12">
        <v>4.9393623002167431E-3</v>
      </c>
      <c r="I202" s="12">
        <v>-3.2913731377757216E-3</v>
      </c>
      <c r="J202" s="12">
        <v>1.9546767786204233E-2</v>
      </c>
      <c r="K202" s="12">
        <v>1.2636899747262564E-3</v>
      </c>
      <c r="L202" s="12">
        <v>7.1588793967451991E-3</v>
      </c>
      <c r="M202" s="13">
        <f t="shared" si="25"/>
        <v>3.3564958174594766E-3</v>
      </c>
      <c r="N202" s="32">
        <f t="shared" si="26"/>
        <v>132.59456672572816</v>
      </c>
      <c r="O202" s="32">
        <f t="shared" si="27"/>
        <v>130.02940311673041</v>
      </c>
      <c r="P202" s="12" t="str">
        <f t="shared" si="28"/>
        <v/>
      </c>
      <c r="Q202" s="13">
        <f t="shared" si="29"/>
        <v>9.7651485730712627E-4</v>
      </c>
      <c r="R202" s="49">
        <f t="shared" si="30"/>
        <v>1</v>
      </c>
    </row>
    <row r="203" spans="1:18" x14ac:dyDescent="0.35">
      <c r="A203" s="64" t="s">
        <v>77</v>
      </c>
      <c r="B203" s="14">
        <v>-4.7034348642109869E-3</v>
      </c>
      <c r="C203" s="12">
        <v>-1.4900328881132907E-2</v>
      </c>
      <c r="D203" s="12">
        <v>-1.4665982254169485E-4</v>
      </c>
      <c r="E203" s="12">
        <v>-8.6836187510811458E-3</v>
      </c>
      <c r="F203" s="12">
        <v>3.7723073946898111E-3</v>
      </c>
      <c r="G203" s="12">
        <v>4.5964973526502195E-3</v>
      </c>
      <c r="H203" s="12">
        <v>2.7172827172827763E-3</v>
      </c>
      <c r="I203" s="12">
        <v>1.9118243438964733E-3</v>
      </c>
      <c r="J203" s="12">
        <v>-1.5851228691609376E-2</v>
      </c>
      <c r="K203" s="12">
        <v>2.1034917963813626E-4</v>
      </c>
      <c r="L203" s="12">
        <v>-5.3546889067904724E-3</v>
      </c>
      <c r="M203" s="13">
        <f t="shared" si="25"/>
        <v>-1.7424885078892536E-3</v>
      </c>
      <c r="N203" s="32">
        <f t="shared" si="26"/>
        <v>132.36352221700002</v>
      </c>
      <c r="O203" s="32">
        <f t="shared" si="27"/>
        <v>129.41781828873863</v>
      </c>
      <c r="P203" s="12">
        <f t="shared" si="28"/>
        <v>-1.7424885078892536E-3</v>
      </c>
      <c r="Q203" s="13">
        <f t="shared" si="29"/>
        <v>2.9609463563217333E-3</v>
      </c>
      <c r="R203" s="49" t="str">
        <f t="shared" si="30"/>
        <v/>
      </c>
    </row>
    <row r="204" spans="1:18" x14ac:dyDescent="0.35">
      <c r="A204" s="64">
        <v>4.28</v>
      </c>
      <c r="B204" s="14">
        <v>-2.0447574690440895E-4</v>
      </c>
      <c r="C204" s="12">
        <v>-1.2195952851400294E-2</v>
      </c>
      <c r="D204" s="12">
        <v>-6.8940227356069084E-3</v>
      </c>
      <c r="E204" s="12">
        <v>-1.1167725273958373E-3</v>
      </c>
      <c r="F204" s="12">
        <v>-1.4285714285714346E-2</v>
      </c>
      <c r="G204" s="12">
        <v>-2.7800301169929043E-3</v>
      </c>
      <c r="H204" s="12">
        <v>-1.5900848842306692E-2</v>
      </c>
      <c r="I204" s="12">
        <v>-1.6884468601827129E-2</v>
      </c>
      <c r="J204" s="12">
        <v>4.1841004184100417E-2</v>
      </c>
      <c r="K204" s="12">
        <v>-4.2060988433226809E-3</v>
      </c>
      <c r="L204" s="12">
        <v>7.3368270605049801E-3</v>
      </c>
      <c r="M204" s="13">
        <f t="shared" si="25"/>
        <v>-4.9924075147950355E-3</v>
      </c>
      <c r="N204" s="32">
        <f t="shared" si="26"/>
        <v>131.70270957399913</v>
      </c>
      <c r="O204" s="32">
        <f t="shared" si="27"/>
        <v>129.39135548368131</v>
      </c>
      <c r="P204" s="12">
        <f t="shared" si="28"/>
        <v>-4.9924075147950355E-3</v>
      </c>
      <c r="Q204" s="13">
        <f t="shared" si="29"/>
        <v>-4.7879317678906266E-3</v>
      </c>
      <c r="R204" s="49" t="str">
        <f t="shared" si="30"/>
        <v/>
      </c>
    </row>
    <row r="205" spans="1:18" x14ac:dyDescent="0.35">
      <c r="A205" s="64" t="s">
        <v>77</v>
      </c>
      <c r="B205" s="14">
        <v>4.2039721856110823E-3</v>
      </c>
      <c r="C205" s="12">
        <v>4.5523520485584168E-3</v>
      </c>
      <c r="D205" s="12">
        <v>1.1815966324495442E-3</v>
      </c>
      <c r="E205" s="12">
        <v>9.782684648171891E-4</v>
      </c>
      <c r="F205" s="12">
        <v>7.1119583547181175E-3</v>
      </c>
      <c r="G205" s="12">
        <v>0</v>
      </c>
      <c r="H205" s="12">
        <v>3.9685753624361109E-3</v>
      </c>
      <c r="I205" s="12">
        <v>1.1351605693447731E-2</v>
      </c>
      <c r="J205" s="12">
        <v>2.5910091980829719E-4</v>
      </c>
      <c r="K205" s="12">
        <v>1.2671594508975037E-3</v>
      </c>
      <c r="L205" s="12">
        <v>5.2970109723800007E-3</v>
      </c>
      <c r="M205" s="13">
        <f t="shared" si="25"/>
        <v>3.8309100087990139E-3</v>
      </c>
      <c r="N205" s="32">
        <f t="shared" si="26"/>
        <v>132.20725080229209</v>
      </c>
      <c r="O205" s="32">
        <f t="shared" si="27"/>
        <v>129.93531314319321</v>
      </c>
      <c r="P205" s="12" t="str">
        <f t="shared" si="28"/>
        <v/>
      </c>
      <c r="Q205" s="13">
        <f t="shared" si="29"/>
        <v>-3.7306217681206842E-4</v>
      </c>
      <c r="R205" s="49">
        <f t="shared" si="30"/>
        <v>1</v>
      </c>
    </row>
    <row r="206" spans="1:18" x14ac:dyDescent="0.35">
      <c r="A206" s="64" t="s">
        <v>77</v>
      </c>
      <c r="B206" s="14">
        <v>-5.3857120228101296E-3</v>
      </c>
      <c r="C206" s="12">
        <v>1.5105740181271532E-3</v>
      </c>
      <c r="D206" s="12">
        <v>-6.8599247621156101E-3</v>
      </c>
      <c r="E206" s="12">
        <v>-5.5497382198952394E-3</v>
      </c>
      <c r="F206" s="12">
        <v>3.3973985633872772E-4</v>
      </c>
      <c r="G206" s="12">
        <v>1.1615750958293702E-4</v>
      </c>
      <c r="H206" s="12">
        <v>-6.1713455953533725E-3</v>
      </c>
      <c r="I206" s="12">
        <v>-8.258214597266611E-3</v>
      </c>
      <c r="J206" s="12">
        <v>-2.2233734835729435E-2</v>
      </c>
      <c r="K206" s="12">
        <v>2.3201856148493682E-3</v>
      </c>
      <c r="L206" s="12">
        <v>-2.733345878810689E-2</v>
      </c>
      <c r="M206" s="13">
        <f t="shared" si="25"/>
        <v>-8.3761753193545528E-3</v>
      </c>
      <c r="N206" s="32">
        <f t="shared" si="26"/>
        <v>131.09985969108223</v>
      </c>
      <c r="O206" s="32">
        <f t="shared" si="27"/>
        <v>129.23551896501033</v>
      </c>
      <c r="P206" s="12">
        <f t="shared" si="28"/>
        <v>-8.3761753193545528E-3</v>
      </c>
      <c r="Q206" s="13">
        <f t="shared" si="29"/>
        <v>-2.9904632965444232E-3</v>
      </c>
      <c r="R206" s="49" t="str">
        <f t="shared" si="30"/>
        <v/>
      </c>
    </row>
    <row r="207" spans="1:18" x14ac:dyDescent="0.35">
      <c r="A207" s="64" t="s">
        <v>77</v>
      </c>
      <c r="B207" s="14">
        <v>-1.8428776192752627E-3</v>
      </c>
      <c r="C207" s="12">
        <v>-2.3310023310023631E-3</v>
      </c>
      <c r="D207" s="12">
        <v>3.2679738562093608E-3</v>
      </c>
      <c r="E207" s="12">
        <v>-3.1588922817737952E-4</v>
      </c>
      <c r="F207" s="12">
        <v>8.1267284459753952E-3</v>
      </c>
      <c r="G207" s="12">
        <v>4.0650406504072478E-4</v>
      </c>
      <c r="H207" s="12">
        <v>-2.6827387475141018E-2</v>
      </c>
      <c r="I207" s="12">
        <v>-7.3887292558493245E-3</v>
      </c>
      <c r="J207" s="12">
        <v>-5.0335570469798308E-3</v>
      </c>
      <c r="K207" s="12">
        <v>-2.3148148148149916E-3</v>
      </c>
      <c r="L207" s="12">
        <v>-7.6904474002418288E-3</v>
      </c>
      <c r="M207" s="13">
        <f t="shared" si="25"/>
        <v>-2.3955623305664362E-3</v>
      </c>
      <c r="N207" s="32">
        <f t="shared" si="26"/>
        <v>130.78580180566371</v>
      </c>
      <c r="O207" s="32">
        <f t="shared" si="27"/>
        <v>128.9973537194943</v>
      </c>
      <c r="P207" s="12">
        <f t="shared" si="28"/>
        <v>-2.3955623305664362E-3</v>
      </c>
      <c r="Q207" s="13">
        <f t="shared" si="29"/>
        <v>-5.5268471129117343E-4</v>
      </c>
      <c r="R207" s="49" t="str">
        <f t="shared" si="30"/>
        <v/>
      </c>
    </row>
    <row r="208" spans="1:18" x14ac:dyDescent="0.35">
      <c r="A208" s="64" t="s">
        <v>77</v>
      </c>
      <c r="B208" s="14">
        <v>8.1828956965719346E-3</v>
      </c>
      <c r="C208" s="12">
        <v>1.264431006047273E-2</v>
      </c>
      <c r="D208" s="12">
        <v>1.8729641693810972E-2</v>
      </c>
      <c r="E208" s="12">
        <v>8.0752756126676317E-3</v>
      </c>
      <c r="F208" s="12">
        <v>1.5232090863151804E-2</v>
      </c>
      <c r="G208" s="12">
        <v>1.230626342369523E-2</v>
      </c>
      <c r="H208" s="12">
        <v>-1.1218617065643532E-2</v>
      </c>
      <c r="I208" s="12">
        <v>-1.358775920127675E-3</v>
      </c>
      <c r="J208" s="12">
        <v>1.6641519481672029E-2</v>
      </c>
      <c r="K208" s="12">
        <v>1.1179076144273381E-2</v>
      </c>
      <c r="L208" s="12">
        <v>1.6279976603626345E-2</v>
      </c>
      <c r="M208" s="13">
        <f t="shared" si="25"/>
        <v>1.1275065445569233E-2</v>
      </c>
      <c r="N208" s="32">
        <f t="shared" si="26"/>
        <v>132.26042028037384</v>
      </c>
      <c r="O208" s="32">
        <f t="shared" si="27"/>
        <v>130.05292561011473</v>
      </c>
      <c r="P208" s="12" t="str">
        <f t="shared" si="28"/>
        <v/>
      </c>
      <c r="Q208" s="13">
        <f t="shared" si="29"/>
        <v>3.0921697489972987E-3</v>
      </c>
      <c r="R208" s="49">
        <f t="shared" si="30"/>
        <v>1</v>
      </c>
    </row>
    <row r="209" spans="1:18" x14ac:dyDescent="0.35">
      <c r="A209" s="64">
        <v>4.3499999999999996</v>
      </c>
      <c r="B209" s="14">
        <v>-4.6121498496530799E-3</v>
      </c>
      <c r="C209" s="12">
        <v>-2.7823018458199567E-3</v>
      </c>
      <c r="D209" s="12">
        <v>-9.0836421771673947E-3</v>
      </c>
      <c r="E209" s="12">
        <v>-2.1245472276401056E-3</v>
      </c>
      <c r="F209" s="12">
        <v>-8.5328276842844275E-4</v>
      </c>
      <c r="G209" s="12">
        <v>-5.9063019668557093E-3</v>
      </c>
      <c r="H209" s="12">
        <v>-1.7714791851196621E-3</v>
      </c>
      <c r="I209" s="12">
        <v>-5.7974443918598073E-3</v>
      </c>
      <c r="J209" s="12">
        <v>-1.0738137849753415E-2</v>
      </c>
      <c r="K209" s="12">
        <v>-6.8836045056319684E-3</v>
      </c>
      <c r="L209" s="12">
        <v>-1.9088729016786488E-2</v>
      </c>
      <c r="M209" s="13">
        <f t="shared" ref="M209:M272" si="31">SUMPRODUCT($C$2:$L$2,C209:L209)</f>
        <v>-8.6940042931257077E-3</v>
      </c>
      <c r="N209" s="32">
        <f t="shared" ref="N209:N272" si="32">+(N208*(1+M209))</f>
        <v>131.11054761864565</v>
      </c>
      <c r="O209" s="32">
        <f t="shared" ref="O209:O272" si="33">+(O208*(1+B209))</f>
        <v>129.4531020288151</v>
      </c>
      <c r="P209" s="12">
        <f t="shared" ref="P209:P272" si="34">+IF(M209&lt;0,M209,"")</f>
        <v>-8.6940042931257077E-3</v>
      </c>
      <c r="Q209" s="13">
        <f t="shared" ref="Q209:Q272" si="35">M209-B209</f>
        <v>-4.0818544434726278E-3</v>
      </c>
      <c r="R209" s="49" t="str">
        <f t="shared" ref="R209:R272" si="36">+IF(M209&gt;0,1,"")</f>
        <v/>
      </c>
    </row>
    <row r="210" spans="1:18" x14ac:dyDescent="0.35">
      <c r="A210" s="64" t="s">
        <v>77</v>
      </c>
      <c r="B210" s="14">
        <v>5.9963204397301961E-3</v>
      </c>
      <c r="C210" s="12">
        <v>7.4855392990813563E-4</v>
      </c>
      <c r="D210" s="12">
        <v>7.3335288941045462E-5</v>
      </c>
      <c r="E210" s="12">
        <v>1.0505741509894806E-2</v>
      </c>
      <c r="F210" s="12">
        <v>-2.4552830099160317E-2</v>
      </c>
      <c r="G210" s="12">
        <v>1.9035532994922111E-3</v>
      </c>
      <c r="H210" s="12">
        <v>1.4957535809354994E-2</v>
      </c>
      <c r="I210" s="12">
        <v>9.3419017017730699E-3</v>
      </c>
      <c r="J210" s="12">
        <v>1.4605303799144043E-2</v>
      </c>
      <c r="K210" s="12">
        <v>1.8693551774837225E-2</v>
      </c>
      <c r="L210" s="12">
        <v>1.3054957950322743E-2</v>
      </c>
      <c r="M210" s="13">
        <f t="shared" si="31"/>
        <v>9.6826649979139361E-3</v>
      </c>
      <c r="N210" s="32">
        <f t="shared" si="32"/>
        <v>132.38004712893004</v>
      </c>
      <c r="O210" s="32">
        <f t="shared" si="33"/>
        <v>130.22934431049697</v>
      </c>
      <c r="P210" s="12" t="str">
        <f t="shared" si="34"/>
        <v/>
      </c>
      <c r="Q210" s="13">
        <f t="shared" si="35"/>
        <v>3.6863445581837399E-3</v>
      </c>
      <c r="R210" s="49">
        <f t="shared" si="36"/>
        <v>1</v>
      </c>
    </row>
    <row r="211" spans="1:18" x14ac:dyDescent="0.35">
      <c r="A211" s="64" t="s">
        <v>77</v>
      </c>
      <c r="B211" s="14">
        <v>1.6707683276511176E-3</v>
      </c>
      <c r="C211" s="12">
        <v>-6.2559499524005302E-3</v>
      </c>
      <c r="D211" s="12">
        <v>9.2395688201216686E-3</v>
      </c>
      <c r="E211" s="12">
        <v>-2.0723956894175277E-4</v>
      </c>
      <c r="F211" s="12">
        <v>9.5576254286340312E-3</v>
      </c>
      <c r="G211" s="12">
        <v>-3.3392826299728506E-3</v>
      </c>
      <c r="H211" s="12">
        <v>4.9539985845719059E-3</v>
      </c>
      <c r="I211" s="12">
        <v>1.0198667688498642E-2</v>
      </c>
      <c r="J211" s="12">
        <v>6.0450552317996564E-3</v>
      </c>
      <c r="K211" s="12">
        <v>-1.8556701030928435E-3</v>
      </c>
      <c r="L211" s="12">
        <v>5.5987258072300872E-3</v>
      </c>
      <c r="M211" s="13">
        <f t="shared" si="31"/>
        <v>5.0095871644282447E-3</v>
      </c>
      <c r="N211" s="32">
        <f t="shared" si="32"/>
        <v>133.04321651385354</v>
      </c>
      <c r="O211" s="32">
        <f t="shared" si="33"/>
        <v>130.44692737430171</v>
      </c>
      <c r="P211" s="12" t="str">
        <f t="shared" si="34"/>
        <v/>
      </c>
      <c r="Q211" s="13">
        <f t="shared" si="35"/>
        <v>3.3388188367771271E-3</v>
      </c>
      <c r="R211" s="49">
        <f t="shared" si="36"/>
        <v>1</v>
      </c>
    </row>
    <row r="212" spans="1:18" x14ac:dyDescent="0.35">
      <c r="A212" s="64" t="s">
        <v>77</v>
      </c>
      <c r="B212" s="14">
        <v>-9.2415192155992365E-4</v>
      </c>
      <c r="C212" s="12">
        <v>-3.4213767620083768E-4</v>
      </c>
      <c r="D212" s="12">
        <v>-1.9690474460510088E-2</v>
      </c>
      <c r="E212" s="12">
        <v>-3.9038209078974262E-3</v>
      </c>
      <c r="F212" s="12">
        <v>-1.0238003468876489E-2</v>
      </c>
      <c r="G212" s="12">
        <v>3.4660042747385322E-3</v>
      </c>
      <c r="H212" s="12">
        <v>-5.7995028997515075E-3</v>
      </c>
      <c r="I212" s="12">
        <v>-3.384687208216719E-3</v>
      </c>
      <c r="J212" s="12">
        <v>4.0634591276531573E-3</v>
      </c>
      <c r="K212" s="12">
        <v>2.4788266887008081E-3</v>
      </c>
      <c r="L212" s="12">
        <v>2.5917926565874883E-3</v>
      </c>
      <c r="M212" s="13">
        <f t="shared" si="31"/>
        <v>-5.6057219092926335E-3</v>
      </c>
      <c r="N212" s="32">
        <f t="shared" si="32"/>
        <v>132.29741324015907</v>
      </c>
      <c r="O212" s="32">
        <f t="shared" si="33"/>
        <v>130.32637459570716</v>
      </c>
      <c r="P212" s="12">
        <f t="shared" si="34"/>
        <v>-5.6057219092926335E-3</v>
      </c>
      <c r="Q212" s="13">
        <f t="shared" si="35"/>
        <v>-4.6815699877327099E-3</v>
      </c>
      <c r="R212" s="49" t="str">
        <f t="shared" si="36"/>
        <v/>
      </c>
    </row>
    <row r="213" spans="1:18" x14ac:dyDescent="0.35">
      <c r="A213" s="64" t="s">
        <v>77</v>
      </c>
      <c r="B213" s="14">
        <v>9.9269019041625661E-4</v>
      </c>
      <c r="C213" s="12">
        <v>-3.3540967896502627E-3</v>
      </c>
      <c r="D213" s="12">
        <v>8.8941595019265129E-4</v>
      </c>
      <c r="E213" s="12">
        <v>-6.5549890750181694E-3</v>
      </c>
      <c r="F213" s="12">
        <v>2.2148124710978934E-3</v>
      </c>
      <c r="G213" s="12">
        <v>3.4540325830412222E-4</v>
      </c>
      <c r="H213" s="12">
        <v>-8.0416666666667247E-3</v>
      </c>
      <c r="I213" s="12">
        <v>-7.5535777023070239E-3</v>
      </c>
      <c r="J213" s="12">
        <v>1.5111723425323964E-2</v>
      </c>
      <c r="K213" s="12">
        <v>2.1223985163816295E-2</v>
      </c>
      <c r="L213" s="12">
        <v>2.4797740437551008E-2</v>
      </c>
      <c r="M213" s="13">
        <f t="shared" si="31"/>
        <v>6.847485757148105E-3</v>
      </c>
      <c r="N213" s="32">
        <f t="shared" si="32"/>
        <v>133.20331789302861</v>
      </c>
      <c r="O213" s="32">
        <f t="shared" si="33"/>
        <v>130.45574830932082</v>
      </c>
      <c r="P213" s="12" t="str">
        <f t="shared" si="34"/>
        <v/>
      </c>
      <c r="Q213" s="13">
        <f t="shared" si="35"/>
        <v>5.8547955667318484E-3</v>
      </c>
      <c r="R213" s="49">
        <f t="shared" si="36"/>
        <v>1</v>
      </c>
    </row>
    <row r="214" spans="1:18" x14ac:dyDescent="0.35">
      <c r="A214" s="64">
        <v>4.26</v>
      </c>
      <c r="B214" s="14">
        <v>2.4567255679768252E-3</v>
      </c>
      <c r="C214" s="12">
        <v>1.7857142857145014E-3</v>
      </c>
      <c r="D214" s="12">
        <v>5.3317535545023276E-3</v>
      </c>
      <c r="E214" s="12">
        <v>1.78047758692923E-3</v>
      </c>
      <c r="F214" s="12">
        <v>-9.8110641604739479E-3</v>
      </c>
      <c r="G214" s="12">
        <v>1.7264199804345459E-4</v>
      </c>
      <c r="H214" s="12">
        <v>-1.2643340194060548E-2</v>
      </c>
      <c r="I214" s="12">
        <v>6.9620626585638057E-3</v>
      </c>
      <c r="J214" s="12">
        <v>1.5735007210111229E-2</v>
      </c>
      <c r="K214" s="12">
        <v>8.8781275221951894E-3</v>
      </c>
      <c r="L214" s="12">
        <v>3.5455692063343758E-2</v>
      </c>
      <c r="M214" s="13">
        <f t="shared" si="31"/>
        <v>1.1071054568528381E-2</v>
      </c>
      <c r="N214" s="32">
        <f t="shared" si="32"/>
        <v>134.67801909413137</v>
      </c>
      <c r="O214" s="32">
        <f t="shared" si="33"/>
        <v>130.77624228168187</v>
      </c>
      <c r="P214" s="12" t="str">
        <f t="shared" si="34"/>
        <v/>
      </c>
      <c r="Q214" s="13">
        <f t="shared" si="35"/>
        <v>8.6143290005515558E-3</v>
      </c>
      <c r="R214" s="49">
        <f t="shared" si="36"/>
        <v>1</v>
      </c>
    </row>
    <row r="215" spans="1:18" x14ac:dyDescent="0.35">
      <c r="A215" s="64" t="s">
        <v>77</v>
      </c>
      <c r="B215" s="14">
        <v>2.945342536591955E-3</v>
      </c>
      <c r="C215" s="12">
        <v>2.0773344302755792E-2</v>
      </c>
      <c r="D215" s="12">
        <v>6.6293459045374536E-3</v>
      </c>
      <c r="E215" s="12">
        <v>9.966893186966308E-3</v>
      </c>
      <c r="F215" s="12">
        <v>-4.3655270515525757E-3</v>
      </c>
      <c r="G215" s="12">
        <v>8.0552359033370102E-3</v>
      </c>
      <c r="H215" s="12">
        <v>-1.3911341785076248E-2</v>
      </c>
      <c r="I215" s="12">
        <v>-1.2597410206831805E-2</v>
      </c>
      <c r="J215" s="12">
        <v>-5.4699569919411939E-3</v>
      </c>
      <c r="K215" s="12">
        <v>-6.2000000000000943E-3</v>
      </c>
      <c r="L215" s="12">
        <v>-6.4062077054948263E-3</v>
      </c>
      <c r="M215" s="13">
        <f t="shared" si="31"/>
        <v>-1.6977658758962305E-3</v>
      </c>
      <c r="N215" s="32">
        <f t="shared" si="32"/>
        <v>134.44936734908006</v>
      </c>
      <c r="O215" s="32">
        <f t="shared" si="33"/>
        <v>131.16142311084977</v>
      </c>
      <c r="P215" s="12">
        <f t="shared" si="34"/>
        <v>-1.6977658758962305E-3</v>
      </c>
      <c r="Q215" s="13">
        <f t="shared" si="35"/>
        <v>-4.6431084124881859E-3</v>
      </c>
      <c r="R215" s="49" t="str">
        <f t="shared" si="36"/>
        <v/>
      </c>
    </row>
    <row r="216" spans="1:18" x14ac:dyDescent="0.35">
      <c r="A216" s="64" t="s">
        <v>77</v>
      </c>
      <c r="B216" s="14">
        <v>1.6140602582495056E-3</v>
      </c>
      <c r="C216" s="12">
        <v>1.4104372355430161E-3</v>
      </c>
      <c r="D216" s="12">
        <v>7.3174301185430224E-4</v>
      </c>
      <c r="E216" s="12">
        <v>1.0489631137641897E-2</v>
      </c>
      <c r="F216" s="12">
        <v>9.1388314119618119E-3</v>
      </c>
      <c r="G216" s="12">
        <v>5.9931506849315586E-3</v>
      </c>
      <c r="H216" s="12">
        <v>3.7102549721732547E-3</v>
      </c>
      <c r="I216" s="12">
        <v>-1.4478993591265144E-2</v>
      </c>
      <c r="J216" s="12">
        <v>-1.5618439835418552E-2</v>
      </c>
      <c r="K216" s="12">
        <v>3.0187160394445911E-3</v>
      </c>
      <c r="L216" s="12">
        <v>-7.5826371231384471E-3</v>
      </c>
      <c r="M216" s="13">
        <f t="shared" si="31"/>
        <v>-1.7442727206844495E-3</v>
      </c>
      <c r="N216" s="32">
        <f t="shared" si="32"/>
        <v>134.21485098529979</v>
      </c>
      <c r="O216" s="32">
        <f t="shared" si="33"/>
        <v>131.37312555130845</v>
      </c>
      <c r="P216" s="12">
        <f t="shared" si="34"/>
        <v>-1.7442727206844495E-3</v>
      </c>
      <c r="Q216" s="13">
        <f t="shared" si="35"/>
        <v>-3.3583329789339551E-3</v>
      </c>
      <c r="R216" s="49" t="str">
        <f t="shared" si="36"/>
        <v/>
      </c>
    </row>
    <row r="217" spans="1:18" x14ac:dyDescent="0.35">
      <c r="A217" s="64" t="s">
        <v>77</v>
      </c>
      <c r="B217" s="14">
        <v>2.6186213070724662E-3</v>
      </c>
      <c r="C217" s="12">
        <v>1.3547954393024808E-2</v>
      </c>
      <c r="D217" s="12">
        <v>2.8517110266161882E-3</v>
      </c>
      <c r="E217" s="12">
        <v>5.9757555062318612E-3</v>
      </c>
      <c r="F217" s="12">
        <v>1.8405057729391938E-2</v>
      </c>
      <c r="G217" s="12">
        <v>9.0212765957446983E-3</v>
      </c>
      <c r="H217" s="12">
        <v>1.1648398882441402E-2</v>
      </c>
      <c r="I217" s="12">
        <v>-1.9869942196532042E-3</v>
      </c>
      <c r="J217" s="12">
        <v>-2.3031647189286075E-2</v>
      </c>
      <c r="K217" s="12">
        <v>8.2263242375602008E-3</v>
      </c>
      <c r="L217" s="12">
        <v>-3.9346662396485543E-3</v>
      </c>
      <c r="M217" s="13">
        <f t="shared" si="31"/>
        <v>2.4021135063445639E-3</v>
      </c>
      <c r="N217" s="32">
        <f t="shared" si="32"/>
        <v>134.53725029160361</v>
      </c>
      <c r="O217" s="32">
        <f t="shared" si="33"/>
        <v>131.71714201705382</v>
      </c>
      <c r="P217" s="12" t="str">
        <f t="shared" si="34"/>
        <v/>
      </c>
      <c r="Q217" s="13">
        <f t="shared" si="35"/>
        <v>-2.1650780072790228E-4</v>
      </c>
      <c r="R217" s="49">
        <f t="shared" si="36"/>
        <v>1</v>
      </c>
    </row>
    <row r="218" spans="1:18" x14ac:dyDescent="0.35">
      <c r="A218" s="64" t="s">
        <v>77</v>
      </c>
      <c r="B218" s="14">
        <v>-7.054043797575571E-3</v>
      </c>
      <c r="C218" s="12">
        <v>-6.1540497617788015E-3</v>
      </c>
      <c r="D218" s="12">
        <v>-8.1662413415968249E-3</v>
      </c>
      <c r="E218" s="12">
        <v>-5.1595383570944842E-3</v>
      </c>
      <c r="F218" s="12">
        <v>1.0953716353874432E-2</v>
      </c>
      <c r="G218" s="12">
        <v>9.165542060278975E-3</v>
      </c>
      <c r="H218" s="12">
        <v>-3.5265125764786243E-3</v>
      </c>
      <c r="I218" s="12">
        <v>-6.6365007541477894E-3</v>
      </c>
      <c r="J218" s="12">
        <v>-2.9861171745394266E-2</v>
      </c>
      <c r="K218" s="12">
        <v>-3.9800995024885655E-4</v>
      </c>
      <c r="L218" s="12">
        <v>-1.9613246979927501E-2</v>
      </c>
      <c r="M218" s="13">
        <f t="shared" si="31"/>
        <v>-7.6632118157408356E-3</v>
      </c>
      <c r="N218" s="32">
        <f t="shared" si="32"/>
        <v>133.50626284551171</v>
      </c>
      <c r="O218" s="32">
        <f t="shared" si="33"/>
        <v>130.78800352837405</v>
      </c>
      <c r="P218" s="12">
        <f t="shared" si="34"/>
        <v>-7.6632118157408356E-3</v>
      </c>
      <c r="Q218" s="13">
        <f t="shared" si="35"/>
        <v>-6.0916801816526464E-4</v>
      </c>
      <c r="R218" s="49" t="str">
        <f t="shared" si="36"/>
        <v/>
      </c>
    </row>
    <row r="219" spans="1:18" x14ac:dyDescent="0.35">
      <c r="A219" s="64">
        <v>4.2300000000000004</v>
      </c>
      <c r="B219" s="14">
        <v>-1.074616128234529E-2</v>
      </c>
      <c r="C219" s="12">
        <v>-2.5501032026100212E-2</v>
      </c>
      <c r="D219" s="12">
        <v>-2.0657207968830416E-2</v>
      </c>
      <c r="E219" s="12">
        <v>-8.0182885219051148E-3</v>
      </c>
      <c r="F219" s="12">
        <v>-1.0574233012470957E-2</v>
      </c>
      <c r="G219" s="12">
        <v>-1.2704073104140012E-2</v>
      </c>
      <c r="H219" s="12">
        <v>-1.2365155843602094E-2</v>
      </c>
      <c r="I219" s="12">
        <v>-1.5305192833282799E-2</v>
      </c>
      <c r="J219" s="12">
        <v>-1.4490144901449065E-2</v>
      </c>
      <c r="K219" s="12">
        <v>-1.0551463268962613E-2</v>
      </c>
      <c r="L219" s="12">
        <v>-1.7007121439280293E-2</v>
      </c>
      <c r="M219" s="13">
        <f t="shared" si="31"/>
        <v>-1.4988404117332665E-2</v>
      </c>
      <c r="N219" s="32">
        <f t="shared" si="32"/>
        <v>131.50521702578834</v>
      </c>
      <c r="O219" s="32">
        <f t="shared" si="33"/>
        <v>129.38253454866219</v>
      </c>
      <c r="P219" s="12">
        <f t="shared" si="34"/>
        <v>-1.4988404117332665E-2</v>
      </c>
      <c r="Q219" s="13">
        <f t="shared" si="35"/>
        <v>-4.2422428349873746E-3</v>
      </c>
      <c r="R219" s="49" t="str">
        <f t="shared" si="36"/>
        <v/>
      </c>
    </row>
    <row r="220" spans="1:18" x14ac:dyDescent="0.35">
      <c r="A220" s="64" t="s">
        <v>77</v>
      </c>
      <c r="B220" s="14">
        <v>1.2499147785378639E-3</v>
      </c>
      <c r="C220" s="12">
        <v>2.3230390817161606E-3</v>
      </c>
      <c r="D220" s="12">
        <v>-1.043386878847008E-2</v>
      </c>
      <c r="E220" s="12">
        <v>2.0775289787775542E-2</v>
      </c>
      <c r="F220" s="12">
        <v>2.5328285248729987E-2</v>
      </c>
      <c r="G220" s="12">
        <v>7.7882499012358331E-3</v>
      </c>
      <c r="H220" s="12">
        <v>-2.5903380391145703E-4</v>
      </c>
      <c r="I220" s="12">
        <v>-1.9120458891013326E-2</v>
      </c>
      <c r="J220" s="12">
        <v>-3.1232876712328772E-2</v>
      </c>
      <c r="K220" s="12">
        <v>6.8410462776660186E-3</v>
      </c>
      <c r="L220" s="12">
        <v>-2.5546923406892019E-2</v>
      </c>
      <c r="M220" s="13">
        <f t="shared" si="31"/>
        <v>-6.476331932264945E-3</v>
      </c>
      <c r="N220" s="32">
        <f t="shared" si="32"/>
        <v>130.6535455895048</v>
      </c>
      <c r="O220" s="32">
        <f t="shared" si="33"/>
        <v>129.54425169067926</v>
      </c>
      <c r="P220" s="12">
        <f t="shared" si="34"/>
        <v>-6.476331932264945E-3</v>
      </c>
      <c r="Q220" s="13">
        <f t="shared" si="35"/>
        <v>-7.726246710802809E-3</v>
      </c>
      <c r="R220" s="49" t="str">
        <f t="shared" si="36"/>
        <v/>
      </c>
    </row>
    <row r="221" spans="1:18" x14ac:dyDescent="0.35">
      <c r="A221" s="64" t="s">
        <v>77</v>
      </c>
      <c r="B221" s="14">
        <v>8.1483499024013195E-3</v>
      </c>
      <c r="C221" s="12">
        <v>1.0156782549420651E-2</v>
      </c>
      <c r="D221" s="12">
        <v>7.888947887430664E-3</v>
      </c>
      <c r="E221" s="12">
        <v>2.5575361390976381E-2</v>
      </c>
      <c r="F221" s="12">
        <v>4.2534296197620503E-3</v>
      </c>
      <c r="G221" s="12">
        <v>4.8720389763119432E-3</v>
      </c>
      <c r="H221" s="12">
        <v>-9.0685321932881813E-4</v>
      </c>
      <c r="I221" s="12">
        <v>4.5274476513865736E-3</v>
      </c>
      <c r="J221" s="12">
        <v>2.4038461538460343E-3</v>
      </c>
      <c r="K221" s="12">
        <v>8.7929656274978729E-3</v>
      </c>
      <c r="L221" s="12">
        <v>2.3966740034238043E-3</v>
      </c>
      <c r="M221" s="13">
        <f t="shared" si="31"/>
        <v>8.9666532187371254E-3</v>
      </c>
      <c r="N221" s="32">
        <f t="shared" si="32"/>
        <v>131.82507062460436</v>
      </c>
      <c r="O221" s="32">
        <f t="shared" si="33"/>
        <v>130.59982358129966</v>
      </c>
      <c r="P221" s="12" t="str">
        <f t="shared" si="34"/>
        <v/>
      </c>
      <c r="Q221" s="13">
        <f t="shared" si="35"/>
        <v>8.183033163358059E-4</v>
      </c>
      <c r="R221" s="49">
        <f t="shared" si="36"/>
        <v>1</v>
      </c>
    </row>
    <row r="222" spans="1:18" x14ac:dyDescent="0.35">
      <c r="A222" s="64" t="s">
        <v>77</v>
      </c>
      <c r="B222" s="14">
        <v>8.5102550825135737E-3</v>
      </c>
      <c r="C222" s="12">
        <v>1.0257102368580906E-2</v>
      </c>
      <c r="D222" s="12">
        <v>3.6878151576729135E-3</v>
      </c>
      <c r="E222" s="12">
        <v>9.5281903009580837E-4</v>
      </c>
      <c r="F222" s="12">
        <v>-1.0123106280980121E-2</v>
      </c>
      <c r="G222" s="12">
        <v>-1.01983950066874E-2</v>
      </c>
      <c r="H222" s="12">
        <v>1.2015905947441174E-2</v>
      </c>
      <c r="I222" s="12">
        <v>4.381846635367781E-3</v>
      </c>
      <c r="J222" s="12">
        <v>3.1645272017680082E-2</v>
      </c>
      <c r="K222" s="12">
        <v>-6.5372424722661693E-3</v>
      </c>
      <c r="L222" s="12">
        <v>2.0493803064311367E-2</v>
      </c>
      <c r="M222" s="13">
        <f t="shared" si="31"/>
        <v>4.01270547995204E-3</v>
      </c>
      <c r="N222" s="32">
        <f t="shared" si="32"/>
        <v>132.35404580789481</v>
      </c>
      <c r="O222" s="32">
        <f t="shared" si="33"/>
        <v>131.71126139370779</v>
      </c>
      <c r="P222" s="12" t="str">
        <f t="shared" si="34"/>
        <v/>
      </c>
      <c r="Q222" s="13">
        <f t="shared" si="35"/>
        <v>-4.4975496025615336E-3</v>
      </c>
      <c r="R222" s="49">
        <f t="shared" si="36"/>
        <v>1</v>
      </c>
    </row>
    <row r="223" spans="1:18" x14ac:dyDescent="0.35">
      <c r="A223" s="64" t="s">
        <v>77</v>
      </c>
      <c r="B223" s="14">
        <v>1.4957026453845668E-3</v>
      </c>
      <c r="C223" s="12">
        <v>-6.0116224701090015E-4</v>
      </c>
      <c r="D223" s="12">
        <v>1.5746850629871911E-3</v>
      </c>
      <c r="E223" s="12">
        <v>-6.663384211390011E-3</v>
      </c>
      <c r="F223" s="12">
        <v>-4.5843520782395952E-3</v>
      </c>
      <c r="G223" s="12">
        <v>-1.2499296210799149E-2</v>
      </c>
      <c r="H223" s="12">
        <v>4.2709490048697951E-4</v>
      </c>
      <c r="I223" s="12">
        <v>4.674353381115548E-3</v>
      </c>
      <c r="J223" s="12">
        <v>9.2525068368276564E-3</v>
      </c>
      <c r="K223" s="12">
        <v>-1.0368893320039763E-2</v>
      </c>
      <c r="L223" s="12">
        <v>1.6496126996270455E-2</v>
      </c>
      <c r="M223" s="13">
        <f t="shared" si="31"/>
        <v>8.9307385971981756E-4</v>
      </c>
      <c r="N223" s="32">
        <f t="shared" si="32"/>
        <v>132.47224774643402</v>
      </c>
      <c r="O223" s="32">
        <f t="shared" si="33"/>
        <v>131.90826227580129</v>
      </c>
      <c r="P223" s="12" t="str">
        <f t="shared" si="34"/>
        <v/>
      </c>
      <c r="Q223" s="13">
        <f t="shared" si="35"/>
        <v>-6.0262878566474921E-4</v>
      </c>
      <c r="R223" s="49">
        <f t="shared" si="36"/>
        <v>1</v>
      </c>
    </row>
    <row r="224" spans="1:18" x14ac:dyDescent="0.35">
      <c r="A224" s="64">
        <v>4.2699999999999996</v>
      </c>
      <c r="B224" s="14">
        <v>2.2290580000892124E-3</v>
      </c>
      <c r="C224" s="12">
        <v>-8.4213340462504505E-3</v>
      </c>
      <c r="D224" s="12">
        <v>1.4973422175645901E-4</v>
      </c>
      <c r="E224" s="12">
        <v>-2.015729297468849E-3</v>
      </c>
      <c r="F224" s="12">
        <v>-8.6677215937271956E-3</v>
      </c>
      <c r="G224" s="12">
        <v>-6.6138320314726995E-3</v>
      </c>
      <c r="H224" s="12">
        <v>-7.0440573770491621E-3</v>
      </c>
      <c r="I224" s="12">
        <v>3.0893300248139077E-2</v>
      </c>
      <c r="J224" s="12">
        <v>-1.8064399584518664E-3</v>
      </c>
      <c r="K224" s="12">
        <v>4.0298206729794117E-4</v>
      </c>
      <c r="L224" s="12">
        <v>1.0207441554165309E-2</v>
      </c>
      <c r="M224" s="13">
        <f t="shared" si="31"/>
        <v>7.5364135514348471E-3</v>
      </c>
      <c r="N224" s="32">
        <f t="shared" si="32"/>
        <v>133.4706133895393</v>
      </c>
      <c r="O224" s="32">
        <f t="shared" si="33"/>
        <v>132.20229344310502</v>
      </c>
      <c r="P224" s="12" t="str">
        <f t="shared" si="34"/>
        <v/>
      </c>
      <c r="Q224" s="13">
        <f t="shared" si="35"/>
        <v>5.3073555513456347E-3</v>
      </c>
      <c r="R224" s="49">
        <f t="shared" si="36"/>
        <v>1</v>
      </c>
    </row>
    <row r="225" spans="1:18" x14ac:dyDescent="0.35">
      <c r="A225" s="64" t="s">
        <v>77</v>
      </c>
      <c r="B225" s="14">
        <v>-5.8271429206885328E-3</v>
      </c>
      <c r="C225" s="12">
        <v>-5.5270962523592537E-3</v>
      </c>
      <c r="D225" s="12">
        <v>-7.7101579459540881E-3</v>
      </c>
      <c r="E225" s="12">
        <v>-9.6685540213901078E-3</v>
      </c>
      <c r="F225" s="12">
        <v>-6.885214656692229E-3</v>
      </c>
      <c r="G225" s="12">
        <v>-5.3377719106926236E-3</v>
      </c>
      <c r="H225" s="12">
        <v>-8.8997807300399412E-3</v>
      </c>
      <c r="I225" s="12">
        <v>-4.0317727765074585E-3</v>
      </c>
      <c r="J225" s="12">
        <v>-2.0494955435913731E-2</v>
      </c>
      <c r="K225" s="12">
        <v>-1.0674723061430025E-2</v>
      </c>
      <c r="L225" s="12">
        <v>-1.6390389271745076E-2</v>
      </c>
      <c r="M225" s="13">
        <f t="shared" si="31"/>
        <v>-9.414166102628449E-3</v>
      </c>
      <c r="N225" s="32">
        <f t="shared" si="32"/>
        <v>132.21409886527047</v>
      </c>
      <c r="O225" s="32">
        <f t="shared" si="33"/>
        <v>131.43193178476923</v>
      </c>
      <c r="P225" s="12">
        <f t="shared" si="34"/>
        <v>-9.414166102628449E-3</v>
      </c>
      <c r="Q225" s="13">
        <f t="shared" si="35"/>
        <v>-3.5870231819399162E-3</v>
      </c>
      <c r="R225" s="49" t="str">
        <f t="shared" si="36"/>
        <v/>
      </c>
    </row>
    <row r="226" spans="1:18" x14ac:dyDescent="0.35">
      <c r="A226" s="64" t="s">
        <v>77</v>
      </c>
      <c r="B226" s="14">
        <v>8.8143176733779249E-3</v>
      </c>
      <c r="C226" s="12">
        <v>7.1844923410600003E-3</v>
      </c>
      <c r="D226" s="12">
        <v>4.5262522631261959E-3</v>
      </c>
      <c r="E226" s="12">
        <v>2.1063893811228418E-3</v>
      </c>
      <c r="F226" s="12">
        <v>4.5819839270719864E-3</v>
      </c>
      <c r="G226" s="12">
        <v>-2.1350259665320337E-3</v>
      </c>
      <c r="H226" s="12">
        <v>9.4134999132395869E-3</v>
      </c>
      <c r="I226" s="12">
        <v>1.8971663343604783E-2</v>
      </c>
      <c r="J226" s="12">
        <v>2.4249422632794504E-2</v>
      </c>
      <c r="K226" s="12">
        <v>-5.7003257328989143E-3</v>
      </c>
      <c r="L226" s="12">
        <v>7.5269835258473528E-3</v>
      </c>
      <c r="M226" s="13">
        <f t="shared" si="31"/>
        <v>5.1936370067368932E-3</v>
      </c>
      <c r="N226" s="32">
        <f t="shared" si="32"/>
        <v>132.90077090194953</v>
      </c>
      <c r="O226" s="32">
        <f t="shared" si="33"/>
        <v>132.59041458394591</v>
      </c>
      <c r="P226" s="12" t="str">
        <f t="shared" si="34"/>
        <v/>
      </c>
      <c r="Q226" s="13">
        <f t="shared" si="35"/>
        <v>-3.6206806666410317E-3</v>
      </c>
      <c r="R226" s="49">
        <f t="shared" si="36"/>
        <v>1</v>
      </c>
    </row>
    <row r="227" spans="1:18" x14ac:dyDescent="0.35">
      <c r="A227" s="64" t="s">
        <v>77</v>
      </c>
      <c r="B227" s="14">
        <v>4.3021244511465273E-3</v>
      </c>
      <c r="C227" s="12">
        <v>3.0417227456258411E-2</v>
      </c>
      <c r="D227" s="12">
        <v>-3.1541003304295101E-3</v>
      </c>
      <c r="E227" s="12">
        <v>1.2912051247831124E-2</v>
      </c>
      <c r="F227" s="12">
        <v>-1.0984812302988756E-3</v>
      </c>
      <c r="G227" s="12">
        <v>4.2213612444341742E-3</v>
      </c>
      <c r="H227" s="12">
        <v>-6.2744423911642588E-3</v>
      </c>
      <c r="I227" s="12">
        <v>-2.6030240142306593E-2</v>
      </c>
      <c r="J227" s="12">
        <v>-1.84441939120632E-2</v>
      </c>
      <c r="K227" s="12">
        <v>7.9852579852579542E-3</v>
      </c>
      <c r="L227" s="12">
        <v>-6.4840483014613204E-3</v>
      </c>
      <c r="M227" s="13">
        <f t="shared" si="31"/>
        <v>-3.4007540260234171E-3</v>
      </c>
      <c r="N227" s="32">
        <f t="shared" si="32"/>
        <v>132.4488080702431</v>
      </c>
      <c r="O227" s="32">
        <f t="shared" si="33"/>
        <v>133.16083504851517</v>
      </c>
      <c r="P227" s="12">
        <f t="shared" si="34"/>
        <v>-3.4007540260234171E-3</v>
      </c>
      <c r="Q227" s="13">
        <f t="shared" si="35"/>
        <v>-7.702878477169944E-3</v>
      </c>
      <c r="R227" s="49" t="str">
        <f t="shared" si="36"/>
        <v/>
      </c>
    </row>
    <row r="228" spans="1:18" x14ac:dyDescent="0.35">
      <c r="A228" s="64">
        <v>4.24</v>
      </c>
      <c r="B228" s="14">
        <v>-1.3469351704646915E-3</v>
      </c>
      <c r="C228" s="12">
        <v>-8.4247648902820993E-3</v>
      </c>
      <c r="D228" s="12">
        <v>9.8689166792225169E-3</v>
      </c>
      <c r="E228" s="12">
        <v>-5.6325965940906553E-3</v>
      </c>
      <c r="F228" s="12">
        <v>-4.8529763327755937E-3</v>
      </c>
      <c r="G228" s="12">
        <v>-3.0519405735345284E-3</v>
      </c>
      <c r="H228" s="12">
        <v>-9.2116074903775269E-3</v>
      </c>
      <c r="I228" s="12">
        <v>1.0349446000243567E-2</v>
      </c>
      <c r="J228" s="12">
        <v>8.4535514104566722E-3</v>
      </c>
      <c r="K228" s="12">
        <v>2.8437944342880606E-3</v>
      </c>
      <c r="L228" s="12">
        <v>-2.7429652400093874E-3</v>
      </c>
      <c r="M228" s="13">
        <f t="shared" si="31"/>
        <v>4.0901145814208418E-3</v>
      </c>
      <c r="N228" s="32">
        <f t="shared" si="32"/>
        <v>132.99053887142304</v>
      </c>
      <c r="O228" s="32">
        <f t="shared" si="33"/>
        <v>132.98147603645987</v>
      </c>
      <c r="P228" s="12" t="str">
        <f t="shared" si="34"/>
        <v/>
      </c>
      <c r="Q228" s="13">
        <f t="shared" si="35"/>
        <v>5.4370497518855332E-3</v>
      </c>
      <c r="R228" s="49">
        <f t="shared" si="36"/>
        <v>1</v>
      </c>
    </row>
    <row r="229" spans="1:18" x14ac:dyDescent="0.35">
      <c r="A229" s="64" t="s">
        <v>77</v>
      </c>
      <c r="B229" s="14">
        <v>3.0954960532447728E-4</v>
      </c>
      <c r="C229" s="12">
        <v>4.4786932753735353E-3</v>
      </c>
      <c r="D229" s="12">
        <v>-7.4599030212607609E-3</v>
      </c>
      <c r="E229" s="12">
        <v>-1.6562872664638295E-4</v>
      </c>
      <c r="F229" s="12">
        <v>2.594469935378596E-3</v>
      </c>
      <c r="G229" s="12">
        <v>3.5233639461675903E-3</v>
      </c>
      <c r="H229" s="12">
        <v>4.4522042776080628E-3</v>
      </c>
      <c r="I229" s="12">
        <v>-9.1588334538443839E-3</v>
      </c>
      <c r="J229" s="12">
        <v>-6.2870159453303209E-3</v>
      </c>
      <c r="K229" s="12">
        <v>-2.2280737289851471E-3</v>
      </c>
      <c r="L229" s="12">
        <v>-1.3799971546450407E-2</v>
      </c>
      <c r="M229" s="13">
        <f t="shared" si="31"/>
        <v>-6.6816021261235179E-3</v>
      </c>
      <c r="N229" s="32">
        <f t="shared" si="32"/>
        <v>132.10194900414541</v>
      </c>
      <c r="O229" s="32">
        <f t="shared" si="33"/>
        <v>133.02264039988242</v>
      </c>
      <c r="P229" s="12">
        <f t="shared" si="34"/>
        <v>-6.6816021261235179E-3</v>
      </c>
      <c r="Q229" s="13">
        <f t="shared" si="35"/>
        <v>-6.9911517314479952E-3</v>
      </c>
      <c r="R229" s="49" t="str">
        <f t="shared" si="36"/>
        <v/>
      </c>
    </row>
    <row r="230" spans="1:18" x14ac:dyDescent="0.35">
      <c r="A230" s="64" t="s">
        <v>77</v>
      </c>
      <c r="B230" s="14">
        <v>2.8292920138810462E-3</v>
      </c>
      <c r="C230" s="12">
        <v>7.4749196773982174E-3</v>
      </c>
      <c r="D230" s="12">
        <v>5.1108605787295591E-3</v>
      </c>
      <c r="E230" s="12">
        <v>-2.2529238312958277E-3</v>
      </c>
      <c r="F230" s="12">
        <v>1.5239008026835865E-2</v>
      </c>
      <c r="G230" s="12">
        <v>6.8493150684931781E-3</v>
      </c>
      <c r="H230" s="12">
        <v>-2.5812619502868062E-2</v>
      </c>
      <c r="I230" s="12">
        <v>-1.453417659936751E-2</v>
      </c>
      <c r="J230" s="12">
        <v>1.2424353566844015E-2</v>
      </c>
      <c r="K230" s="12">
        <v>5.2781161185546654E-3</v>
      </c>
      <c r="L230" s="12">
        <v>1.8368917099442106E-2</v>
      </c>
      <c r="M230" s="13">
        <f t="shared" si="31"/>
        <v>2.5982912737101817E-3</v>
      </c>
      <c r="N230" s="32">
        <f t="shared" si="32"/>
        <v>132.44518834548299</v>
      </c>
      <c r="O230" s="32">
        <f t="shared" si="33"/>
        <v>133.39900029403117</v>
      </c>
      <c r="P230" s="12" t="str">
        <f t="shared" si="34"/>
        <v/>
      </c>
      <c r="Q230" s="13">
        <f t="shared" si="35"/>
        <v>-2.3100074017086457E-4</v>
      </c>
      <c r="R230" s="49">
        <f t="shared" si="36"/>
        <v>1</v>
      </c>
    </row>
    <row r="231" spans="1:18" x14ac:dyDescent="0.35">
      <c r="A231" s="64" t="s">
        <v>77</v>
      </c>
      <c r="B231" s="14">
        <v>-3.3062223103885735E-4</v>
      </c>
      <c r="C231" s="12">
        <v>4.2303937520338231E-3</v>
      </c>
      <c r="D231" s="12">
        <v>-3.0658790099453714E-3</v>
      </c>
      <c r="E231" s="12">
        <v>-3.3206043499878213E-5</v>
      </c>
      <c r="F231" s="12">
        <v>-2.0060890703545997E-3</v>
      </c>
      <c r="G231" s="12">
        <v>6.2882295775446018E-4</v>
      </c>
      <c r="H231" s="12">
        <v>4.1484521366759175E-3</v>
      </c>
      <c r="I231" s="12">
        <v>-1.6970070965751316E-2</v>
      </c>
      <c r="J231" s="12">
        <v>-1.2045464837205255E-2</v>
      </c>
      <c r="K231" s="12">
        <v>4.6445880452341548E-3</v>
      </c>
      <c r="L231" s="12">
        <v>-6.6578524884314261E-3</v>
      </c>
      <c r="M231" s="13">
        <f t="shared" si="31"/>
        <v>-4.207545256785775E-3</v>
      </c>
      <c r="N231" s="32">
        <f t="shared" si="32"/>
        <v>131.88791922147584</v>
      </c>
      <c r="O231" s="32">
        <f t="shared" si="33"/>
        <v>133.35489561893561</v>
      </c>
      <c r="P231" s="12">
        <f t="shared" si="34"/>
        <v>-4.207545256785775E-3</v>
      </c>
      <c r="Q231" s="13">
        <f t="shared" si="35"/>
        <v>-3.8769230257469176E-3</v>
      </c>
      <c r="R231" s="49" t="str">
        <f t="shared" si="36"/>
        <v/>
      </c>
    </row>
    <row r="232" spans="1:18" x14ac:dyDescent="0.35">
      <c r="A232" s="64">
        <v>4.28</v>
      </c>
      <c r="B232" s="14">
        <v>-3.3955108700444159E-3</v>
      </c>
      <c r="C232" s="12">
        <v>1.5489306545690029E-2</v>
      </c>
      <c r="D232" s="12">
        <v>-1.0876087608760798E-2</v>
      </c>
      <c r="E232" s="12">
        <v>-3.1878860330742942E-3</v>
      </c>
      <c r="F232" s="12">
        <v>-3.8310551955730299E-3</v>
      </c>
      <c r="G232" s="12">
        <v>-1.5539305301645379E-2</v>
      </c>
      <c r="H232" s="12">
        <v>5.1530362933676077E-3</v>
      </c>
      <c r="I232" s="12">
        <v>2.6365348399246535E-3</v>
      </c>
      <c r="J232" s="12">
        <v>-1.801347572993528E-2</v>
      </c>
      <c r="K232" s="12">
        <v>-1.3266331658291386E-2</v>
      </c>
      <c r="L232" s="12">
        <v>-1.0172553120692207E-2</v>
      </c>
      <c r="M232" s="13">
        <f t="shared" si="31"/>
        <v>-7.6213179119137215E-3</v>
      </c>
      <c r="N232" s="32">
        <f t="shared" si="32"/>
        <v>130.88275946034818</v>
      </c>
      <c r="O232" s="32">
        <f t="shared" si="33"/>
        <v>132.90208762128788</v>
      </c>
      <c r="P232" s="12">
        <f t="shared" si="34"/>
        <v>-7.6213179119137215E-3</v>
      </c>
      <c r="Q232" s="13">
        <f t="shared" si="35"/>
        <v>-4.2258070418693056E-3</v>
      </c>
      <c r="R232" s="49" t="str">
        <f t="shared" si="36"/>
        <v/>
      </c>
    </row>
    <row r="233" spans="1:18" x14ac:dyDescent="0.35">
      <c r="A233" s="64" t="s">
        <v>77</v>
      </c>
      <c r="B233" s="14">
        <v>-1.3053097345131492E-3</v>
      </c>
      <c r="C233" s="12">
        <v>-1.0083604569532056E-2</v>
      </c>
      <c r="D233" s="12">
        <v>4.3982710244936385E-3</v>
      </c>
      <c r="E233" s="12">
        <v>9.9940035978240971E-5</v>
      </c>
      <c r="F233" s="12">
        <v>-1.3887570031336116E-2</v>
      </c>
      <c r="G233" s="12">
        <v>-2.4373259052924423E-3</v>
      </c>
      <c r="H233" s="12">
        <v>1.2462986697308498E-2</v>
      </c>
      <c r="I233" s="12">
        <v>-4.9461557726020455E-3</v>
      </c>
      <c r="J233" s="12">
        <v>-1.3349514563106846E-2</v>
      </c>
      <c r="K233" s="12">
        <v>1.2222448563861121E-3</v>
      </c>
      <c r="L233" s="12">
        <v>-7.0114776929356415E-3</v>
      </c>
      <c r="M233" s="13">
        <f t="shared" si="31"/>
        <v>-6.5006415623134633E-4</v>
      </c>
      <c r="N233" s="32">
        <f t="shared" si="32"/>
        <v>130.79767726975436</v>
      </c>
      <c r="O233" s="32">
        <f t="shared" si="33"/>
        <v>132.72860923257869</v>
      </c>
      <c r="P233" s="12">
        <f t="shared" si="34"/>
        <v>-6.5006415623134633E-4</v>
      </c>
      <c r="Q233" s="13">
        <f t="shared" si="35"/>
        <v>6.5524557828180291E-4</v>
      </c>
      <c r="R233" s="49" t="str">
        <f t="shared" si="36"/>
        <v/>
      </c>
    </row>
    <row r="234" spans="1:18" x14ac:dyDescent="0.35">
      <c r="A234" s="64" t="s">
        <v>77</v>
      </c>
      <c r="B234" s="14">
        <v>-4.607784497463574E-3</v>
      </c>
      <c r="C234" s="12">
        <v>-6.7049190896784072E-3</v>
      </c>
      <c r="D234" s="12">
        <v>-6.7195167987919024E-3</v>
      </c>
      <c r="E234" s="12">
        <v>-9.8597648312847008E-3</v>
      </c>
      <c r="F234" s="12">
        <v>-2.0221960085702317E-3</v>
      </c>
      <c r="G234" s="12">
        <v>-2.2280395578824996E-2</v>
      </c>
      <c r="H234" s="12">
        <v>-6.984154699026579E-3</v>
      </c>
      <c r="I234" s="12">
        <v>2.8943560057885787E-3</v>
      </c>
      <c r="J234" s="12">
        <v>1.211089033967272E-2</v>
      </c>
      <c r="K234" s="12">
        <v>-6.9175991861647468E-3</v>
      </c>
      <c r="L234" s="12">
        <v>-6.5289935677323996E-3</v>
      </c>
      <c r="M234" s="13">
        <f t="shared" si="31"/>
        <v>-5.3165391391019317E-3</v>
      </c>
      <c r="N234" s="32">
        <f t="shared" si="32"/>
        <v>130.10228629924609</v>
      </c>
      <c r="O234" s="32">
        <f t="shared" si="33"/>
        <v>132.11702440458691</v>
      </c>
      <c r="P234" s="12">
        <f t="shared" si="34"/>
        <v>-5.3165391391019317E-3</v>
      </c>
      <c r="Q234" s="13">
        <f t="shared" si="35"/>
        <v>-7.087546416383577E-4</v>
      </c>
      <c r="R234" s="49" t="str">
        <f t="shared" si="36"/>
        <v/>
      </c>
    </row>
    <row r="235" spans="1:18" x14ac:dyDescent="0.35">
      <c r="A235" s="64" t="s">
        <v>77</v>
      </c>
      <c r="B235" s="14">
        <v>-7.7226092181692518E-3</v>
      </c>
      <c r="C235" s="12">
        <v>-3.3101836827416076E-2</v>
      </c>
      <c r="D235" s="12">
        <v>-5.1687442991791288E-3</v>
      </c>
      <c r="E235" s="12">
        <v>-5.1808242220353629E-3</v>
      </c>
      <c r="F235" s="12">
        <v>-2.566638523700393E-2</v>
      </c>
      <c r="G235" s="12">
        <v>-6.5448920092817664E-3</v>
      </c>
      <c r="H235" s="12">
        <v>-1.1341157853092532E-2</v>
      </c>
      <c r="I235" s="12">
        <v>-4.2035259426562721E-3</v>
      </c>
      <c r="J235" s="12">
        <v>-1.7014116107319732E-2</v>
      </c>
      <c r="K235" s="12">
        <v>-3.6877688998155911E-3</v>
      </c>
      <c r="L235" s="12">
        <v>-1.9959108168630113E-3</v>
      </c>
      <c r="M235" s="13">
        <f t="shared" si="31"/>
        <v>-4.1133546672766346E-3</v>
      </c>
      <c r="N235" s="32">
        <f t="shared" si="32"/>
        <v>129.56712945267373</v>
      </c>
      <c r="O235" s="32">
        <f t="shared" si="33"/>
        <v>131.09673625404295</v>
      </c>
      <c r="P235" s="12">
        <f t="shared" si="34"/>
        <v>-4.1133546672766346E-3</v>
      </c>
      <c r="Q235" s="13">
        <f t="shared" si="35"/>
        <v>3.6092545508926172E-3</v>
      </c>
      <c r="R235" s="49" t="str">
        <f t="shared" si="36"/>
        <v/>
      </c>
    </row>
    <row r="236" spans="1:18" x14ac:dyDescent="0.35">
      <c r="A236" s="64" t="s">
        <v>77</v>
      </c>
      <c r="B236" s="14">
        <v>2.2652850670612512E-3</v>
      </c>
      <c r="C236" s="12">
        <v>3.8934013559777103E-3</v>
      </c>
      <c r="D236" s="12">
        <v>8.2518337408314935E-3</v>
      </c>
      <c r="E236" s="12">
        <v>4.3285651482871668E-3</v>
      </c>
      <c r="F236" s="12">
        <v>2.6268228070609689E-2</v>
      </c>
      <c r="G236" s="12">
        <v>-7.0072468108042241E-3</v>
      </c>
      <c r="H236" s="12">
        <v>-1.2449424214130422E-3</v>
      </c>
      <c r="I236" s="12">
        <v>1.7200100806451513E-2</v>
      </c>
      <c r="J236" s="12">
        <v>1.9876367094626701E-2</v>
      </c>
      <c r="K236" s="12">
        <v>-5.7577626979231633E-3</v>
      </c>
      <c r="L236" s="12">
        <v>5.8045948978098227E-3</v>
      </c>
      <c r="M236" s="13">
        <f t="shared" si="31"/>
        <v>5.8784499329157611E-3</v>
      </c>
      <c r="N236" s="32">
        <f t="shared" si="32"/>
        <v>130.32878333611291</v>
      </c>
      <c r="O236" s="32">
        <f t="shared" si="33"/>
        <v>131.39370773301971</v>
      </c>
      <c r="P236" s="12" t="str">
        <f t="shared" si="34"/>
        <v/>
      </c>
      <c r="Q236" s="13">
        <f t="shared" si="35"/>
        <v>3.6131648658545099E-3</v>
      </c>
      <c r="R236" s="49">
        <f t="shared" si="36"/>
        <v>1</v>
      </c>
    </row>
    <row r="237" spans="1:18" x14ac:dyDescent="0.35">
      <c r="A237" s="64">
        <v>4.1900000000000004</v>
      </c>
      <c r="B237" s="14">
        <v>-5.7287354264102808E-3</v>
      </c>
      <c r="C237" s="12">
        <v>-9.5620193915079144E-3</v>
      </c>
      <c r="D237" s="12">
        <v>-1.401939981812661E-2</v>
      </c>
      <c r="E237" s="12">
        <v>9.4279268662245119E-3</v>
      </c>
      <c r="F237" s="12">
        <v>-4.7766090900317471E-3</v>
      </c>
      <c r="G237" s="12">
        <v>-6.0313630880578506E-3</v>
      </c>
      <c r="H237" s="12">
        <v>-7.1228241997951525E-3</v>
      </c>
      <c r="I237" s="12">
        <v>-1.2201920099101926E-2</v>
      </c>
      <c r="J237" s="12">
        <v>-1.3567698619917912E-2</v>
      </c>
      <c r="K237" s="12">
        <v>-5.170630816959676E-3</v>
      </c>
      <c r="L237" s="12">
        <v>-1.8768186226963968E-2</v>
      </c>
      <c r="M237" s="13">
        <f t="shared" si="31"/>
        <v>-9.2398303406231556E-3</v>
      </c>
      <c r="N237" s="32">
        <f t="shared" si="32"/>
        <v>129.12456748958738</v>
      </c>
      <c r="O237" s="32">
        <f t="shared" si="33"/>
        <v>130.64098794472216</v>
      </c>
      <c r="P237" s="12">
        <f t="shared" si="34"/>
        <v>-9.2398303406231556E-3</v>
      </c>
      <c r="Q237" s="13">
        <f t="shared" si="35"/>
        <v>-3.5110949142128749E-3</v>
      </c>
      <c r="R237" s="49" t="str">
        <f t="shared" si="36"/>
        <v/>
      </c>
    </row>
    <row r="238" spans="1:18" x14ac:dyDescent="0.35">
      <c r="A238" s="64" t="s">
        <v>77</v>
      </c>
      <c r="B238" s="14">
        <v>8.4625599243770555E-3</v>
      </c>
      <c r="C238" s="12">
        <v>6.1436672967862815E-3</v>
      </c>
      <c r="D238" s="12">
        <v>7.2246560602566845E-3</v>
      </c>
      <c r="E238" s="12">
        <v>1.6778411554754902E-2</v>
      </c>
      <c r="F238" s="12">
        <v>1.2071556697532237E-2</v>
      </c>
      <c r="G238" s="12">
        <v>3.7621359223298789E-3</v>
      </c>
      <c r="H238" s="12">
        <v>3.4972873604448562E-3</v>
      </c>
      <c r="I238" s="12">
        <v>1.1662904439428301E-2</v>
      </c>
      <c r="J238" s="12">
        <v>1.2525405303209336E-2</v>
      </c>
      <c r="K238" s="12">
        <v>1.6632016632016633E-3</v>
      </c>
      <c r="L238" s="12">
        <v>1.6804230712202717E-2</v>
      </c>
      <c r="M238" s="13">
        <f t="shared" si="31"/>
        <v>9.7918342284300658E-3</v>
      </c>
      <c r="N238" s="32">
        <f t="shared" si="32"/>
        <v>130.38893384926314</v>
      </c>
      <c r="O238" s="32">
        <f t="shared" si="33"/>
        <v>131.7465451337842</v>
      </c>
      <c r="P238" s="12" t="str">
        <f t="shared" si="34"/>
        <v/>
      </c>
      <c r="Q238" s="13">
        <f t="shared" si="35"/>
        <v>1.3292743040530103E-3</v>
      </c>
      <c r="R238" s="49">
        <f t="shared" si="36"/>
        <v>1</v>
      </c>
    </row>
    <row r="239" spans="1:18" x14ac:dyDescent="0.35">
      <c r="A239" s="64" t="s">
        <v>77</v>
      </c>
      <c r="B239" s="14">
        <v>-1.5399379561228388E-3</v>
      </c>
      <c r="C239" s="12">
        <v>-1.6104140106019127E-3</v>
      </c>
      <c r="D239" s="12">
        <v>-5.646699732926419E-3</v>
      </c>
      <c r="E239" s="12">
        <v>1.3122498523721049E-3</v>
      </c>
      <c r="F239" s="12">
        <v>-1.6286644951140072E-3</v>
      </c>
      <c r="G239" s="12">
        <v>-1.2090436464755605E-3</v>
      </c>
      <c r="H239" s="12">
        <v>2.3233993119164964E-3</v>
      </c>
      <c r="I239" s="12">
        <v>7.9955373744886593E-3</v>
      </c>
      <c r="J239" s="12">
        <v>-4.0145644664363322E-3</v>
      </c>
      <c r="K239" s="12">
        <v>3.3208800332089616E-3</v>
      </c>
      <c r="L239" s="12">
        <v>-1.035337578379425E-2</v>
      </c>
      <c r="M239" s="13">
        <f t="shared" si="31"/>
        <v>-8.4718663956261412E-4</v>
      </c>
      <c r="N239" s="32">
        <f t="shared" si="32"/>
        <v>130.27847008655922</v>
      </c>
      <c r="O239" s="32">
        <f t="shared" si="33"/>
        <v>131.54366362834463</v>
      </c>
      <c r="P239" s="12">
        <f t="shared" si="34"/>
        <v>-8.4718663956261412E-4</v>
      </c>
      <c r="Q239" s="13">
        <f t="shared" si="35"/>
        <v>6.9275131656022467E-4</v>
      </c>
      <c r="R239" s="49" t="str">
        <f t="shared" si="36"/>
        <v/>
      </c>
    </row>
    <row r="240" spans="1:18" x14ac:dyDescent="0.35">
      <c r="A240" s="64" t="s">
        <v>77</v>
      </c>
      <c r="B240" s="14">
        <v>-9.1197639590505641E-3</v>
      </c>
      <c r="C240" s="12">
        <v>-1.8348007258552235E-2</v>
      </c>
      <c r="D240" s="12">
        <v>-8.7483692732714946E-3</v>
      </c>
      <c r="E240" s="12">
        <v>-1.7528340213616489E-2</v>
      </c>
      <c r="F240" s="12">
        <v>7.9646866903368974E-3</v>
      </c>
      <c r="G240" s="12">
        <v>-2.8446919259169645E-3</v>
      </c>
      <c r="H240" s="12">
        <v>-1.1500913832300674E-2</v>
      </c>
      <c r="I240" s="12">
        <v>7.9321158457847929E-3</v>
      </c>
      <c r="J240" s="12">
        <v>0</v>
      </c>
      <c r="K240" s="12">
        <v>-2.0686801820438694E-3</v>
      </c>
      <c r="L240" s="12">
        <v>-1.8909626719056938E-2</v>
      </c>
      <c r="M240" s="13">
        <f t="shared" si="31"/>
        <v>-6.9903741468121481E-3</v>
      </c>
      <c r="N240" s="32">
        <f t="shared" si="32"/>
        <v>129.3677748373799</v>
      </c>
      <c r="O240" s="32">
        <f t="shared" si="33"/>
        <v>130.3440164657454</v>
      </c>
      <c r="P240" s="12">
        <f t="shared" si="34"/>
        <v>-6.9903741468121481E-3</v>
      </c>
      <c r="Q240" s="13">
        <f t="shared" si="35"/>
        <v>2.129389812238416E-3</v>
      </c>
      <c r="R240" s="49" t="str">
        <f t="shared" si="36"/>
        <v/>
      </c>
    </row>
    <row r="241" spans="1:18" x14ac:dyDescent="0.35">
      <c r="A241" s="64" t="s">
        <v>77</v>
      </c>
      <c r="B241" s="14">
        <v>-1.698623956688472E-2</v>
      </c>
      <c r="C241" s="12">
        <v>-2.1361084485827742E-2</v>
      </c>
      <c r="D241" s="12">
        <v>-6.8127274134860416E-3</v>
      </c>
      <c r="E241" s="12">
        <v>-1.8574715710141021E-2</v>
      </c>
      <c r="F241" s="12">
        <v>-1.7755140898705335E-2</v>
      </c>
      <c r="G241" s="12">
        <v>-5.7056145675264958E-3</v>
      </c>
      <c r="H241" s="12">
        <v>-7.6662908680946718E-3</v>
      </c>
      <c r="I241" s="12">
        <v>-2.0436798438262516E-2</v>
      </c>
      <c r="J241" s="12">
        <v>-1.8091488563929614E-2</v>
      </c>
      <c r="K241" s="12">
        <v>-1.3681592039801016E-2</v>
      </c>
      <c r="L241" s="12">
        <v>-4.4705882352941262E-2</v>
      </c>
      <c r="M241" s="13">
        <f t="shared" si="31"/>
        <v>-1.9054141358504757E-2</v>
      </c>
      <c r="N241" s="32">
        <f t="shared" si="32"/>
        <v>126.90278296839324</v>
      </c>
      <c r="O241" s="32">
        <f t="shared" si="33"/>
        <v>128.12996177594829</v>
      </c>
      <c r="P241" s="12">
        <f t="shared" si="34"/>
        <v>-1.9054141358504757E-2</v>
      </c>
      <c r="Q241" s="13">
        <f t="shared" si="35"/>
        <v>-2.0679017916200373E-3</v>
      </c>
      <c r="R241" s="49" t="str">
        <f t="shared" si="36"/>
        <v/>
      </c>
    </row>
    <row r="242" spans="1:18" x14ac:dyDescent="0.35">
      <c r="A242" s="64">
        <v>4.1900000000000004</v>
      </c>
      <c r="B242" s="14">
        <v>-8.0317598733281592E-4</v>
      </c>
      <c r="C242" s="12">
        <v>3.4280117531833021E-3</v>
      </c>
      <c r="D242" s="12">
        <v>-9.9773949645334259E-3</v>
      </c>
      <c r="E242" s="12">
        <v>1.6989466530750175E-3</v>
      </c>
      <c r="F242" s="12">
        <v>-8.7230433729101886E-4</v>
      </c>
      <c r="G242" s="12">
        <v>4.3953360600694769E-3</v>
      </c>
      <c r="H242" s="12">
        <v>5.4533060668027211E-4</v>
      </c>
      <c r="I242" s="12">
        <v>1.6815096219717329E-2</v>
      </c>
      <c r="J242" s="12">
        <v>-4.7255369928401736E-3</v>
      </c>
      <c r="K242" s="12">
        <v>1.8915510718791051E-3</v>
      </c>
      <c r="L242" s="12">
        <v>-5.1357300073366918E-3</v>
      </c>
      <c r="M242" s="13">
        <f t="shared" si="31"/>
        <v>2.8332937529604296E-4</v>
      </c>
      <c r="N242" s="32">
        <f t="shared" si="32"/>
        <v>126.93873825461499</v>
      </c>
      <c r="O242" s="32">
        <f t="shared" si="33"/>
        <v>128.02705086739198</v>
      </c>
      <c r="P242" s="12" t="str">
        <f t="shared" si="34"/>
        <v/>
      </c>
      <c r="Q242" s="13">
        <f t="shared" si="35"/>
        <v>1.086505362628859E-3</v>
      </c>
      <c r="R242" s="49">
        <f t="shared" si="36"/>
        <v>1</v>
      </c>
    </row>
    <row r="243" spans="1:18" x14ac:dyDescent="0.35">
      <c r="A243" s="64" t="s">
        <v>77</v>
      </c>
      <c r="B243" s="14">
        <v>9.5080611823068484E-3</v>
      </c>
      <c r="C243" s="12">
        <v>1.6872341908944932E-2</v>
      </c>
      <c r="D243" s="12">
        <v>1.243996535705838E-2</v>
      </c>
      <c r="E243" s="12">
        <v>1.2822252374491194E-2</v>
      </c>
      <c r="F243" s="12">
        <v>-8.8276664888198297E-3</v>
      </c>
      <c r="G243" s="12">
        <v>-3.646751352336941E-3</v>
      </c>
      <c r="H243" s="12">
        <v>1.171821774083659E-2</v>
      </c>
      <c r="I243" s="12">
        <v>2.584675690573901E-2</v>
      </c>
      <c r="J243" s="12">
        <v>4.0621552923121085E-2</v>
      </c>
      <c r="K243" s="12">
        <v>-2.3075309418921774E-3</v>
      </c>
      <c r="L243" s="12">
        <v>7.9540665823851775E-3</v>
      </c>
      <c r="M243" s="13">
        <f t="shared" si="31"/>
        <v>1.1011251754442668E-2</v>
      </c>
      <c r="N243" s="32">
        <f t="shared" si="32"/>
        <v>128.33649265892785</v>
      </c>
      <c r="O243" s="32">
        <f t="shared" si="33"/>
        <v>129.24433990002944</v>
      </c>
      <c r="P243" s="12" t="str">
        <f t="shared" si="34"/>
        <v/>
      </c>
      <c r="Q243" s="13">
        <f t="shared" si="35"/>
        <v>1.5031905721358194E-3</v>
      </c>
      <c r="R243" s="49">
        <f t="shared" si="36"/>
        <v>1</v>
      </c>
    </row>
    <row r="244" spans="1:18" x14ac:dyDescent="0.35">
      <c r="A244" s="64" t="s">
        <v>77</v>
      </c>
      <c r="B244" s="14">
        <v>1.2148512148512092E-2</v>
      </c>
      <c r="C244" s="12">
        <v>6.7192320877615952E-3</v>
      </c>
      <c r="D244" s="12">
        <v>1.5631075511314929E-2</v>
      </c>
      <c r="E244" s="12">
        <v>3.2822024248109205E-3</v>
      </c>
      <c r="F244" s="12">
        <v>-1.6393442622951726E-3</v>
      </c>
      <c r="G244" s="12">
        <v>5.6731531751357256E-3</v>
      </c>
      <c r="H244" s="12">
        <v>2.4960718294051665E-2</v>
      </c>
      <c r="I244" s="12">
        <v>3.5046868469759351E-2</v>
      </c>
      <c r="J244" s="12">
        <v>1.8987925154392071E-2</v>
      </c>
      <c r="K244" s="12">
        <v>6.3078216989076452E-4</v>
      </c>
      <c r="L244" s="12">
        <v>2.7541154951659319E-2</v>
      </c>
      <c r="M244" s="13">
        <f t="shared" si="31"/>
        <v>1.6323684252019664E-2</v>
      </c>
      <c r="N244" s="32">
        <f t="shared" si="32"/>
        <v>130.43141704310381</v>
      </c>
      <c r="O244" s="32">
        <f t="shared" si="33"/>
        <v>130.81446633343137</v>
      </c>
      <c r="P244" s="12" t="str">
        <f t="shared" si="34"/>
        <v/>
      </c>
      <c r="Q244" s="13">
        <f t="shared" si="35"/>
        <v>4.1751721035075719E-3</v>
      </c>
      <c r="R244" s="49">
        <f t="shared" si="36"/>
        <v>1</v>
      </c>
    </row>
    <row r="245" spans="1:18" x14ac:dyDescent="0.35">
      <c r="A245" s="64" t="s">
        <v>77</v>
      </c>
      <c r="B245" s="14">
        <v>1.4610024724657222E-3</v>
      </c>
      <c r="C245" s="12">
        <v>6.1295375604419888E-4</v>
      </c>
      <c r="D245" s="12">
        <v>5.5895865237367559E-3</v>
      </c>
      <c r="E245" s="12">
        <v>-7.0102817465611533E-4</v>
      </c>
      <c r="F245" s="12">
        <v>-2.3282601769477607E-3</v>
      </c>
      <c r="G245" s="12">
        <v>-3.0328763799587488E-3</v>
      </c>
      <c r="H245" s="12">
        <v>1.4366431606149588E-2</v>
      </c>
      <c r="I245" s="12">
        <v>1.3613290263036371E-2</v>
      </c>
      <c r="J245" s="12">
        <v>1.3116236996832953E-3</v>
      </c>
      <c r="K245" s="12">
        <v>2.7316663164529409E-3</v>
      </c>
      <c r="L245" s="12">
        <v>1.0171905197842168E-3</v>
      </c>
      <c r="M245" s="13">
        <f t="shared" si="31"/>
        <v>4.8431664553145173E-3</v>
      </c>
      <c r="N245" s="32">
        <f t="shared" si="32"/>
        <v>131.0631181068461</v>
      </c>
      <c r="O245" s="32">
        <f t="shared" si="33"/>
        <v>131.00558659217879</v>
      </c>
      <c r="P245" s="12" t="str">
        <f t="shared" si="34"/>
        <v/>
      </c>
      <c r="Q245" s="13">
        <f t="shared" si="35"/>
        <v>3.3821639828487951E-3</v>
      </c>
      <c r="R245" s="49">
        <f t="shared" si="36"/>
        <v>1</v>
      </c>
    </row>
    <row r="246" spans="1:18" x14ac:dyDescent="0.35">
      <c r="A246" s="64" t="s">
        <v>77</v>
      </c>
      <c r="B246" s="14">
        <v>-2.78307709572434E-3</v>
      </c>
      <c r="C246" s="12">
        <v>-1.0549959161448297E-2</v>
      </c>
      <c r="D246" s="12">
        <v>7.7666945861569747E-3</v>
      </c>
      <c r="E246" s="12">
        <v>-1.7304159011190978E-2</v>
      </c>
      <c r="F246" s="12">
        <v>-4.4463004814778717E-3</v>
      </c>
      <c r="G246" s="12">
        <v>-7.2402044293017331E-3</v>
      </c>
      <c r="H246" s="12">
        <v>-8.5927717086230482E-3</v>
      </c>
      <c r="I246" s="12">
        <v>5.9754154336444376E-3</v>
      </c>
      <c r="J246" s="12">
        <v>1.2511856904105834E-2</v>
      </c>
      <c r="K246" s="12">
        <v>-6.286672254819714E-3</v>
      </c>
      <c r="L246" s="12">
        <v>1.6156894624530072E-2</v>
      </c>
      <c r="M246" s="13">
        <f t="shared" si="31"/>
        <v>2.2215093476719572E-3</v>
      </c>
      <c r="N246" s="32">
        <f t="shared" si="32"/>
        <v>131.35427604885552</v>
      </c>
      <c r="O246" s="32">
        <f t="shared" si="33"/>
        <v>130.64098794472216</v>
      </c>
      <c r="P246" s="12" t="str">
        <f t="shared" si="34"/>
        <v/>
      </c>
      <c r="Q246" s="13">
        <f t="shared" si="35"/>
        <v>5.0045864433962972E-3</v>
      </c>
      <c r="R246" s="49">
        <f t="shared" si="36"/>
        <v>1</v>
      </c>
    </row>
    <row r="247" spans="1:18" x14ac:dyDescent="0.35">
      <c r="A247" s="64">
        <v>4.22</v>
      </c>
      <c r="B247" s="14">
        <v>-2.0368661520109854E-2</v>
      </c>
      <c r="C247" s="12">
        <v>-2.3801334525693107E-2</v>
      </c>
      <c r="D247" s="12">
        <v>-7.8579523989421585E-3</v>
      </c>
      <c r="E247" s="12">
        <v>-3.620355576707357E-2</v>
      </c>
      <c r="F247" s="12">
        <v>-1.6408813877168305E-2</v>
      </c>
      <c r="G247" s="12">
        <v>-2.2062879205735353E-3</v>
      </c>
      <c r="H247" s="12">
        <v>-1.759581881533101E-2</v>
      </c>
      <c r="I247" s="12">
        <v>-2.0535158680771715E-2</v>
      </c>
      <c r="J247" s="12">
        <v>-2.5651320485367557E-2</v>
      </c>
      <c r="K247" s="12">
        <v>-1.2442007591733528E-2</v>
      </c>
      <c r="L247" s="12">
        <v>2.7500000000000302E-3</v>
      </c>
      <c r="M247" s="13">
        <f t="shared" si="31"/>
        <v>-1.3457876648170148E-2</v>
      </c>
      <c r="N247" s="32">
        <f t="shared" si="32"/>
        <v>129.58652640458035</v>
      </c>
      <c r="O247" s="32">
        <f t="shared" si="33"/>
        <v>127.98000588062335</v>
      </c>
      <c r="P247" s="12">
        <f t="shared" si="34"/>
        <v>-1.3457876648170148E-2</v>
      </c>
      <c r="Q247" s="13">
        <f t="shared" si="35"/>
        <v>6.9107848719397059E-3</v>
      </c>
      <c r="R247" s="49" t="str">
        <f t="shared" si="36"/>
        <v/>
      </c>
    </row>
    <row r="248" spans="1:18" x14ac:dyDescent="0.35">
      <c r="A248" s="64" t="s">
        <v>77</v>
      </c>
      <c r="B248" s="14">
        <v>1.5852593851950481E-3</v>
      </c>
      <c r="C248" s="12">
        <v>6.482982171799101E-3</v>
      </c>
      <c r="D248" s="12">
        <v>1.2413372934277689E-2</v>
      </c>
      <c r="E248" s="12">
        <v>1.6930022573364845E-3</v>
      </c>
      <c r="F248" s="12">
        <v>4.4904921980835066E-3</v>
      </c>
      <c r="G248" s="12">
        <v>7.4319759228549387E-3</v>
      </c>
      <c r="H248" s="12">
        <v>4.9654194006030217E-3</v>
      </c>
      <c r="I248" s="12">
        <v>-9.2410765854221699E-3</v>
      </c>
      <c r="J248" s="12">
        <v>3.1820887322009161E-2</v>
      </c>
      <c r="K248" s="12">
        <v>-4.2707666026042812E-4</v>
      </c>
      <c r="L248" s="12">
        <v>-1.3363251059586134E-2</v>
      </c>
      <c r="M248" s="13">
        <f t="shared" si="31"/>
        <v>-5.0440029596464766E-4</v>
      </c>
      <c r="N248" s="32">
        <f t="shared" si="32"/>
        <v>129.52116292230886</v>
      </c>
      <c r="O248" s="32">
        <f t="shared" si="33"/>
        <v>128.18288738606293</v>
      </c>
      <c r="P248" s="12">
        <f t="shared" si="34"/>
        <v>-5.0440029596464766E-4</v>
      </c>
      <c r="Q248" s="13">
        <f t="shared" si="35"/>
        <v>-2.0896596811596957E-3</v>
      </c>
      <c r="R248" s="49" t="str">
        <f t="shared" si="36"/>
        <v/>
      </c>
    </row>
    <row r="249" spans="1:18" x14ac:dyDescent="0.35">
      <c r="A249" s="64" t="s">
        <v>77</v>
      </c>
      <c r="B249" s="14">
        <v>-1.1927973391444024E-2</v>
      </c>
      <c r="C249" s="12">
        <v>-9.3117692361549542E-3</v>
      </c>
      <c r="D249" s="12">
        <v>-1.8053257108470167E-3</v>
      </c>
      <c r="E249" s="12">
        <v>-7.3239436619717546E-3</v>
      </c>
      <c r="F249" s="12">
        <v>-2.4150245997852204E-2</v>
      </c>
      <c r="G249" s="12">
        <v>-1.5363980002438771E-2</v>
      </c>
      <c r="H249" s="12">
        <v>-1.7337215457914223E-2</v>
      </c>
      <c r="I249" s="12">
        <v>-2.3376471959892675E-2</v>
      </c>
      <c r="J249" s="12">
        <v>-2.4050408235711807E-2</v>
      </c>
      <c r="K249" s="12">
        <v>-7.4770348216193216E-3</v>
      </c>
      <c r="L249" s="12">
        <v>-2.9817556981856841E-2</v>
      </c>
      <c r="M249" s="13">
        <f t="shared" si="31"/>
        <v>-1.2760590042366654E-2</v>
      </c>
      <c r="N249" s="32">
        <f t="shared" si="32"/>
        <v>127.8683964604467</v>
      </c>
      <c r="O249" s="32">
        <f t="shared" si="33"/>
        <v>126.6539253160835</v>
      </c>
      <c r="P249" s="12">
        <f t="shared" si="34"/>
        <v>-1.2760590042366654E-2</v>
      </c>
      <c r="Q249" s="13">
        <f t="shared" si="35"/>
        <v>-8.326166509226296E-4</v>
      </c>
      <c r="R249" s="49" t="str">
        <f t="shared" si="36"/>
        <v/>
      </c>
    </row>
    <row r="250" spans="1:18" x14ac:dyDescent="0.35">
      <c r="A250" s="64" t="s">
        <v>77</v>
      </c>
      <c r="B250" s="14">
        <v>1.1491584445734171E-2</v>
      </c>
      <c r="C250" s="12">
        <v>8.1272084805654732E-3</v>
      </c>
      <c r="D250" s="12">
        <v>3.1574981160512383E-2</v>
      </c>
      <c r="E250" s="12">
        <v>2.5468217934165649E-2</v>
      </c>
      <c r="F250" s="12">
        <v>4.325126682704683E-3</v>
      </c>
      <c r="G250" s="12">
        <v>-6.3777089783282337E-3</v>
      </c>
      <c r="H250" s="12">
        <v>3.461279461279454E-2</v>
      </c>
      <c r="I250" s="12">
        <v>3.8261803856025844E-2</v>
      </c>
      <c r="J250" s="12">
        <v>2.7552968991543247E-2</v>
      </c>
      <c r="K250" s="12">
        <v>-1.6788635385277639E-2</v>
      </c>
      <c r="L250" s="12">
        <v>1.2293587539719875E-2</v>
      </c>
      <c r="M250" s="13">
        <f t="shared" si="31"/>
        <v>1.7911226367382377E-2</v>
      </c>
      <c r="N250" s="32">
        <f t="shared" si="32"/>
        <v>130.15867625468397</v>
      </c>
      <c r="O250" s="32">
        <f t="shared" si="33"/>
        <v>128.109379594237</v>
      </c>
      <c r="P250" s="12" t="str">
        <f t="shared" si="34"/>
        <v/>
      </c>
      <c r="Q250" s="13">
        <f t="shared" si="35"/>
        <v>6.4196419216482059E-3</v>
      </c>
      <c r="R250" s="49">
        <f t="shared" si="36"/>
        <v>1</v>
      </c>
    </row>
    <row r="251" spans="1:18" x14ac:dyDescent="0.35">
      <c r="A251" s="64">
        <v>4.24</v>
      </c>
      <c r="B251" s="14">
        <v>-1.2967638283222449E-2</v>
      </c>
      <c r="C251" s="12">
        <v>-2.4605678233438621E-2</v>
      </c>
      <c r="D251" s="12">
        <v>5.5519029878006165E-3</v>
      </c>
      <c r="E251" s="12">
        <v>-2.0719474230370127E-2</v>
      </c>
      <c r="F251" s="12">
        <v>-1.3811380373569881E-2</v>
      </c>
      <c r="G251" s="12">
        <v>-7.7896179971334023E-3</v>
      </c>
      <c r="H251" s="12">
        <v>-2.486331684457177E-2</v>
      </c>
      <c r="I251" s="12">
        <v>-7.3588593767965893E-3</v>
      </c>
      <c r="J251" s="12">
        <v>-9.7787610619469723E-3</v>
      </c>
      <c r="K251" s="12">
        <v>-9.6322241681260357E-3</v>
      </c>
      <c r="L251" s="12">
        <v>-6.1750630371019133E-3</v>
      </c>
      <c r="M251" s="13">
        <f t="shared" si="31"/>
        <v>-5.9768096722509056E-3</v>
      </c>
      <c r="N251" s="32">
        <f t="shared" si="32"/>
        <v>129.3807426195176</v>
      </c>
      <c r="O251" s="32">
        <f t="shared" si="33"/>
        <v>126.44810349897089</v>
      </c>
      <c r="P251" s="12">
        <f t="shared" si="34"/>
        <v>-5.9768096722509056E-3</v>
      </c>
      <c r="Q251" s="13">
        <f t="shared" si="35"/>
        <v>6.9908286109715435E-3</v>
      </c>
      <c r="R251" s="49" t="str">
        <f t="shared" si="36"/>
        <v/>
      </c>
    </row>
    <row r="252" spans="1:18" x14ac:dyDescent="0.35">
      <c r="A252" s="64" t="s">
        <v>77</v>
      </c>
      <c r="B252" s="14">
        <v>1.0510405766771314E-2</v>
      </c>
      <c r="C252" s="12">
        <v>1.4158401609889459E-2</v>
      </c>
      <c r="D252" s="12">
        <v>-6.6836178714131389E-3</v>
      </c>
      <c r="E252" s="12">
        <v>1.9956907209211838E-2</v>
      </c>
      <c r="F252" s="12">
        <v>1.6588718637761346E-2</v>
      </c>
      <c r="G252" s="12">
        <v>2.2610224846124627E-3</v>
      </c>
      <c r="H252" s="12">
        <v>-2.0024028834600971E-3</v>
      </c>
      <c r="I252" s="12">
        <v>1.2162631761843956E-2</v>
      </c>
      <c r="J252" s="12">
        <v>2.8151391929933656E-3</v>
      </c>
      <c r="K252" s="12">
        <v>6.6312997347479641E-3</v>
      </c>
      <c r="L252" s="12">
        <v>-3.2620514679231327E-3</v>
      </c>
      <c r="M252" s="13">
        <f t="shared" si="31"/>
        <v>4.207930455953599E-3</v>
      </c>
      <c r="N252" s="32">
        <f t="shared" si="32"/>
        <v>129.92516778680019</v>
      </c>
      <c r="O252" s="32">
        <f t="shared" si="33"/>
        <v>127.77712437518377</v>
      </c>
      <c r="P252" s="12" t="str">
        <f t="shared" si="34"/>
        <v/>
      </c>
      <c r="Q252" s="13">
        <f t="shared" si="35"/>
        <v>-6.3024753108177145E-3</v>
      </c>
      <c r="R252" s="49">
        <f t="shared" si="36"/>
        <v>1</v>
      </c>
    </row>
    <row r="253" spans="1:18" x14ac:dyDescent="0.35">
      <c r="A253" s="64" t="s">
        <v>77</v>
      </c>
      <c r="B253" s="14">
        <v>4.1190141979430273E-3</v>
      </c>
      <c r="C253" s="12">
        <v>6.3071362766635719E-3</v>
      </c>
      <c r="D253" s="12">
        <v>-5.4852629269362962E-3</v>
      </c>
      <c r="E253" s="12">
        <v>1.5064413353650163E-2</v>
      </c>
      <c r="F253" s="12">
        <v>2.0842335358259856E-3</v>
      </c>
      <c r="G253" s="12">
        <v>2.0679283118183456E-3</v>
      </c>
      <c r="H253" s="12">
        <v>9.9429284822543096E-3</v>
      </c>
      <c r="I253" s="12">
        <v>-7.7821011673150364E-3</v>
      </c>
      <c r="J253" s="12">
        <v>2.5398805810534775E-3</v>
      </c>
      <c r="K253" s="12">
        <v>7.2463768115942351E-3</v>
      </c>
      <c r="L253" s="12">
        <v>-3.3246753246752858E-3</v>
      </c>
      <c r="M253" s="13">
        <f t="shared" si="31"/>
        <v>1.4395015754426626E-4</v>
      </c>
      <c r="N253" s="32">
        <f t="shared" si="32"/>
        <v>129.94387053517207</v>
      </c>
      <c r="O253" s="32">
        <f t="shared" si="33"/>
        <v>128.3034401646575</v>
      </c>
      <c r="P253" s="12" t="str">
        <f t="shared" si="34"/>
        <v/>
      </c>
      <c r="Q253" s="13">
        <f t="shared" si="35"/>
        <v>-3.9750640403987611E-3</v>
      </c>
      <c r="R253" s="49">
        <f t="shared" si="36"/>
        <v>1</v>
      </c>
    </row>
    <row r="254" spans="1:18" x14ac:dyDescent="0.35">
      <c r="A254" s="64" t="s">
        <v>77</v>
      </c>
      <c r="B254" s="14">
        <v>8.2959024658537661E-3</v>
      </c>
      <c r="C254" s="12">
        <v>9.0845070422533869E-3</v>
      </c>
      <c r="D254" s="12">
        <v>-3.8976320047066082E-3</v>
      </c>
      <c r="E254" s="12">
        <v>5.9363378936236888E-3</v>
      </c>
      <c r="F254" s="12">
        <v>2.6506024096385472E-2</v>
      </c>
      <c r="G254" s="12">
        <v>8.9425301732224405E-3</v>
      </c>
      <c r="H254" s="12">
        <v>1.7835857136550448E-2</v>
      </c>
      <c r="I254" s="12">
        <v>5.1326412918106801E-3</v>
      </c>
      <c r="J254" s="12">
        <v>6.6225165562912025E-3</v>
      </c>
      <c r="K254" s="12">
        <v>1.1772400261608862E-2</v>
      </c>
      <c r="L254" s="12">
        <v>2.0275200667153159E-2</v>
      </c>
      <c r="M254" s="13">
        <f t="shared" si="31"/>
        <v>6.8265339894112605E-3</v>
      </c>
      <c r="N254" s="32">
        <f t="shared" si="32"/>
        <v>130.83093678409608</v>
      </c>
      <c r="O254" s="32">
        <f t="shared" si="33"/>
        <v>129.36783299029702</v>
      </c>
      <c r="P254" s="12" t="str">
        <f t="shared" si="34"/>
        <v/>
      </c>
      <c r="Q254" s="13">
        <f t="shared" si="35"/>
        <v>-1.4693684764425056E-3</v>
      </c>
      <c r="R254" s="49">
        <f t="shared" si="36"/>
        <v>1</v>
      </c>
    </row>
    <row r="255" spans="1:18" x14ac:dyDescent="0.35">
      <c r="A255" s="64" t="s">
        <v>77</v>
      </c>
      <c r="B255" s="14">
        <v>-1.9319059957271234E-3</v>
      </c>
      <c r="C255" s="12">
        <v>-2.7217530881428198E-3</v>
      </c>
      <c r="D255" s="12">
        <v>9.9667774086380501E-3</v>
      </c>
      <c r="E255" s="12">
        <v>0</v>
      </c>
      <c r="F255" s="12">
        <v>9.2908327155918347E-3</v>
      </c>
      <c r="G255" s="12">
        <v>-2.5412173050700648E-3</v>
      </c>
      <c r="H255" s="12">
        <v>-1.2144870960746346E-3</v>
      </c>
      <c r="I255" s="12">
        <v>4.9343048941419276E-3</v>
      </c>
      <c r="J255" s="12">
        <v>-3.9738608265627029E-4</v>
      </c>
      <c r="K255" s="12">
        <v>3.0165912518853588E-3</v>
      </c>
      <c r="L255" s="12">
        <v>-3.0140485312899479E-3</v>
      </c>
      <c r="M255" s="13">
        <f t="shared" si="31"/>
        <v>3.8493637342693512E-3</v>
      </c>
      <c r="N255" s="32">
        <f t="shared" si="32"/>
        <v>131.33455264747326</v>
      </c>
      <c r="O255" s="32">
        <f t="shared" si="33"/>
        <v>129.11790649808884</v>
      </c>
      <c r="P255" s="12" t="str">
        <f t="shared" si="34"/>
        <v/>
      </c>
      <c r="Q255" s="13">
        <f t="shared" si="35"/>
        <v>5.7812697299964751E-3</v>
      </c>
      <c r="R255" s="49">
        <f t="shared" si="36"/>
        <v>1</v>
      </c>
    </row>
    <row r="256" spans="1:18" x14ac:dyDescent="0.35">
      <c r="A256" s="64">
        <v>4.1900000000000004</v>
      </c>
      <c r="B256" s="14">
        <v>-6.8544622321409232E-3</v>
      </c>
      <c r="C256" s="12">
        <v>-6.2981105668302728E-4</v>
      </c>
      <c r="D256" s="12">
        <v>-5.5555555555556468E-3</v>
      </c>
      <c r="E256" s="12">
        <v>-2.1027641173477774E-3</v>
      </c>
      <c r="F256" s="12">
        <v>-8.4953238995250091E-3</v>
      </c>
      <c r="G256" s="12">
        <v>-4.2254396321382837E-3</v>
      </c>
      <c r="H256" s="12">
        <v>-2.2408477005254723E-2</v>
      </c>
      <c r="I256" s="12">
        <v>-9.6488723950899358E-3</v>
      </c>
      <c r="J256" s="12">
        <v>2.6502937408889871E-4</v>
      </c>
      <c r="K256" s="12">
        <v>-8.5929108485494066E-4</v>
      </c>
      <c r="L256" s="12">
        <v>-1.163148186103713E-2</v>
      </c>
      <c r="M256" s="13">
        <f t="shared" si="31"/>
        <v>-5.8468796402798909E-3</v>
      </c>
      <c r="N256" s="32">
        <f t="shared" si="32"/>
        <v>130.56665532553347</v>
      </c>
      <c r="O256" s="32">
        <f t="shared" si="33"/>
        <v>128.2328726845046</v>
      </c>
      <c r="P256" s="12">
        <f t="shared" si="34"/>
        <v>-5.8468796402798909E-3</v>
      </c>
      <c r="Q256" s="13">
        <f t="shared" si="35"/>
        <v>1.0075825918610323E-3</v>
      </c>
      <c r="R256" s="49" t="str">
        <f t="shared" si="36"/>
        <v/>
      </c>
    </row>
    <row r="257" spans="1:18" x14ac:dyDescent="0.35">
      <c r="A257" s="64" t="s">
        <v>77</v>
      </c>
      <c r="B257" s="14">
        <v>-2.4305237090708198E-3</v>
      </c>
      <c r="C257" s="12">
        <v>-9.1030039913172489E-3</v>
      </c>
      <c r="D257" s="12">
        <v>-1.3745957071449655E-2</v>
      </c>
      <c r="E257" s="12">
        <v>-4.5882472895354409E-3</v>
      </c>
      <c r="F257" s="12">
        <v>-4.3210943480086472E-3</v>
      </c>
      <c r="G257" s="12">
        <v>-1.5975039001560054E-2</v>
      </c>
      <c r="H257" s="12">
        <v>-4.7088090266980132E-3</v>
      </c>
      <c r="I257" s="12">
        <v>8.359275913755182E-3</v>
      </c>
      <c r="J257" s="12">
        <v>-1.271803930227422E-2</v>
      </c>
      <c r="K257" s="12">
        <v>-1.0750376263168882E-3</v>
      </c>
      <c r="L257" s="12">
        <v>-1.5397376743221503E-2</v>
      </c>
      <c r="M257" s="13">
        <f t="shared" si="31"/>
        <v>-5.6629150329721312E-3</v>
      </c>
      <c r="N257" s="32">
        <f t="shared" si="32"/>
        <v>129.82726745028563</v>
      </c>
      <c r="O257" s="32">
        <f t="shared" si="33"/>
        <v>127.92119964716265</v>
      </c>
      <c r="P257" s="12">
        <f t="shared" si="34"/>
        <v>-5.6629150329721312E-3</v>
      </c>
      <c r="Q257" s="13">
        <f t="shared" si="35"/>
        <v>-3.2323913239013114E-3</v>
      </c>
      <c r="R257" s="49" t="str">
        <f t="shared" si="36"/>
        <v/>
      </c>
    </row>
    <row r="258" spans="1:18" x14ac:dyDescent="0.35">
      <c r="A258" s="64" t="s">
        <v>77</v>
      </c>
      <c r="B258" s="14">
        <v>3.0340642669977047E-3</v>
      </c>
      <c r="C258" s="12">
        <v>-4.2399830400677851E-3</v>
      </c>
      <c r="D258" s="12">
        <v>2.0869046731757379E-3</v>
      </c>
      <c r="E258" s="12">
        <v>1.1711281070745816E-2</v>
      </c>
      <c r="F258" s="12">
        <v>7.687729391925302E-4</v>
      </c>
      <c r="G258" s="12">
        <v>9.5757498890227666E-3</v>
      </c>
      <c r="H258" s="12">
        <v>-7.0966302164695572E-3</v>
      </c>
      <c r="I258" s="12">
        <v>-3.5389628952032459E-2</v>
      </c>
      <c r="J258" s="12">
        <v>-8.006440935724779E-3</v>
      </c>
      <c r="K258" s="12">
        <v>-7.3181231166595806E-3</v>
      </c>
      <c r="L258" s="12">
        <v>-5.1600673967986399E-3</v>
      </c>
      <c r="M258" s="13">
        <f t="shared" si="31"/>
        <v>-7.129680813644043E-3</v>
      </c>
      <c r="N258" s="32">
        <f t="shared" si="32"/>
        <v>128.9016404724575</v>
      </c>
      <c r="O258" s="32">
        <f t="shared" si="33"/>
        <v>128.30932078800359</v>
      </c>
      <c r="P258" s="12">
        <f t="shared" si="34"/>
        <v>-7.129680813644043E-3</v>
      </c>
      <c r="Q258" s="13">
        <f t="shared" si="35"/>
        <v>-1.0163745080641749E-2</v>
      </c>
      <c r="R258" s="49" t="str">
        <f t="shared" si="36"/>
        <v/>
      </c>
    </row>
    <row r="259" spans="1:18" x14ac:dyDescent="0.35">
      <c r="A259" s="64" t="s">
        <v>77</v>
      </c>
      <c r="B259" s="14">
        <v>1.7072276456299607E-2</v>
      </c>
      <c r="C259" s="12">
        <v>2.0225675963380763E-2</v>
      </c>
      <c r="D259" s="12">
        <v>1.8668650055782887E-2</v>
      </c>
      <c r="E259" s="12">
        <v>2.1733994802740408E-2</v>
      </c>
      <c r="F259" s="12">
        <v>4.1655309131458207E-2</v>
      </c>
      <c r="G259" s="12">
        <v>5.7160804020102152E-3</v>
      </c>
      <c r="H259" s="12">
        <v>1.2226917198597587E-2</v>
      </c>
      <c r="I259" s="12">
        <v>1.6536273115220546E-2</v>
      </c>
      <c r="J259" s="12">
        <v>-1.9568942194967964E-2</v>
      </c>
      <c r="K259" s="12">
        <v>1.0841283607979202E-2</v>
      </c>
      <c r="L259" s="12">
        <v>2.8527574891499929E-2</v>
      </c>
      <c r="M259" s="13">
        <f t="shared" si="31"/>
        <v>1.860972508264519E-2</v>
      </c>
      <c r="N259" s="32">
        <f t="shared" si="32"/>
        <v>131.3004645643519</v>
      </c>
      <c r="O259" s="32">
        <f t="shared" si="33"/>
        <v>130.49985298441641</v>
      </c>
      <c r="P259" s="12" t="str">
        <f t="shared" si="34"/>
        <v/>
      </c>
      <c r="Q259" s="13">
        <f t="shared" si="35"/>
        <v>1.5374486263455833E-3</v>
      </c>
      <c r="R259" s="49">
        <f t="shared" si="36"/>
        <v>1</v>
      </c>
    </row>
    <row r="260" spans="1:18" x14ac:dyDescent="0.35">
      <c r="A260" s="64" t="s">
        <v>77</v>
      </c>
      <c r="B260" s="14">
        <v>7.4578104229094944E-3</v>
      </c>
      <c r="C260" s="12">
        <v>7.5125208681137146E-3</v>
      </c>
      <c r="D260" s="12">
        <v>8.5426401869157509E-3</v>
      </c>
      <c r="E260" s="12">
        <v>4.8224607762179517E-3</v>
      </c>
      <c r="F260" s="12">
        <v>1.8341421638595534E-2</v>
      </c>
      <c r="G260" s="12">
        <v>7.4323902317157131E-3</v>
      </c>
      <c r="H260" s="12">
        <v>2.5801580957456327E-2</v>
      </c>
      <c r="I260" s="12">
        <v>2.5071424406740261E-2</v>
      </c>
      <c r="J260" s="12">
        <v>-1.8395879323032105E-3</v>
      </c>
      <c r="K260" s="12">
        <v>4.933504933505084E-3</v>
      </c>
      <c r="L260" s="12">
        <v>2.4134204703339712E-2</v>
      </c>
      <c r="M260" s="13">
        <f t="shared" si="31"/>
        <v>1.3053487714430115E-2</v>
      </c>
      <c r="N260" s="32">
        <f t="shared" si="32"/>
        <v>133.01439356544165</v>
      </c>
      <c r="O260" s="32">
        <f t="shared" si="33"/>
        <v>131.47309614819176</v>
      </c>
      <c r="P260" s="12" t="str">
        <f t="shared" si="34"/>
        <v/>
      </c>
      <c r="Q260" s="13">
        <f t="shared" si="35"/>
        <v>5.5956772915206204E-3</v>
      </c>
      <c r="R260" s="49">
        <f t="shared" si="36"/>
        <v>1</v>
      </c>
    </row>
    <row r="261" spans="1:18" x14ac:dyDescent="0.35">
      <c r="A261" s="64">
        <v>4.01</v>
      </c>
      <c r="B261" s="14">
        <v>3.3770183835042378E-3</v>
      </c>
      <c r="C261" s="12">
        <v>1.1806130903065482E-2</v>
      </c>
      <c r="D261" s="12">
        <v>-1.5854629696662514E-2</v>
      </c>
      <c r="E261" s="12">
        <v>1.0124584990631513E-2</v>
      </c>
      <c r="F261" s="12">
        <v>-8.0594295325530085E-3</v>
      </c>
      <c r="G261" s="12">
        <v>-7.3155610663360182E-3</v>
      </c>
      <c r="H261" s="12">
        <v>-1.471925191566803E-3</v>
      </c>
      <c r="I261" s="12">
        <v>5.7448381775779822E-3</v>
      </c>
      <c r="J261" s="12">
        <v>-2.7644673792848184E-4</v>
      </c>
      <c r="K261" s="12">
        <v>8.1109925293489926E-3</v>
      </c>
      <c r="L261" s="12">
        <v>-4.220681338558907E-3</v>
      </c>
      <c r="M261" s="13">
        <f t="shared" si="31"/>
        <v>-7.442642112822647E-4</v>
      </c>
      <c r="N261" s="32">
        <f t="shared" si="32"/>
        <v>132.91539571272548</v>
      </c>
      <c r="O261" s="32">
        <f t="shared" si="33"/>
        <v>131.91708321082041</v>
      </c>
      <c r="P261" s="12">
        <f t="shared" si="34"/>
        <v>-7.442642112822647E-4</v>
      </c>
      <c r="Q261" s="13">
        <f t="shared" si="35"/>
        <v>-4.1212825947865026E-3</v>
      </c>
      <c r="R261" s="49" t="str">
        <f t="shared" si="36"/>
        <v/>
      </c>
    </row>
    <row r="262" spans="1:18" x14ac:dyDescent="0.35">
      <c r="A262" s="64" t="s">
        <v>77</v>
      </c>
      <c r="B262" s="14">
        <v>7.3776886214198534E-3</v>
      </c>
      <c r="C262" s="12">
        <v>1.5080177413851814E-2</v>
      </c>
      <c r="D262" s="12">
        <v>-2.4275415624539498E-3</v>
      </c>
      <c r="E262" s="12">
        <v>3.0589996420320453E-3</v>
      </c>
      <c r="F262" s="12">
        <v>-5.6521124770381181E-4</v>
      </c>
      <c r="G262" s="12">
        <v>2.3419935048713425E-2</v>
      </c>
      <c r="H262" s="12">
        <v>1.244309559939305E-2</v>
      </c>
      <c r="I262" s="12">
        <v>2.7711797307996555E-3</v>
      </c>
      <c r="J262" s="12">
        <v>-4.654806894644592E-3</v>
      </c>
      <c r="K262" s="12">
        <v>2.117298327334316E-2</v>
      </c>
      <c r="L262" s="12">
        <v>1.4935916843273667E-2</v>
      </c>
      <c r="M262" s="13">
        <f t="shared" si="31"/>
        <v>7.5709960922091223E-3</v>
      </c>
      <c r="N262" s="32">
        <f t="shared" si="32"/>
        <v>133.92169765426095</v>
      </c>
      <c r="O262" s="32">
        <f t="shared" si="33"/>
        <v>132.89032637459579</v>
      </c>
      <c r="P262" s="12" t="str">
        <f t="shared" si="34"/>
        <v/>
      </c>
      <c r="Q262" s="13">
        <f t="shared" si="35"/>
        <v>1.9330747078926888E-4</v>
      </c>
      <c r="R262" s="49">
        <f t="shared" si="36"/>
        <v>1</v>
      </c>
    </row>
    <row r="263" spans="1:18" x14ac:dyDescent="0.35">
      <c r="A263" s="64" t="s">
        <v>77</v>
      </c>
      <c r="B263" s="14">
        <v>3.6728914063191009E-3</v>
      </c>
      <c r="C263" s="12">
        <v>3.3611185802635557E-3</v>
      </c>
      <c r="D263" s="12">
        <v>-5.1618612196757674E-4</v>
      </c>
      <c r="E263" s="12">
        <v>-2.6603510365635907E-3</v>
      </c>
      <c r="F263" s="12">
        <v>2.5236816061077194E-2</v>
      </c>
      <c r="G263" s="12">
        <v>-5.4921584182587857E-4</v>
      </c>
      <c r="H263" s="12">
        <v>-8.9928057553957386E-3</v>
      </c>
      <c r="I263" s="12">
        <v>1.2915233207376975E-2</v>
      </c>
      <c r="J263" s="12">
        <v>9.2605454461258674E-4</v>
      </c>
      <c r="K263" s="12">
        <v>9.1229525191789396E-3</v>
      </c>
      <c r="L263" s="12">
        <v>1.5163567664313371E-2</v>
      </c>
      <c r="M263" s="13">
        <f t="shared" si="31"/>
        <v>6.5968187243502837E-3</v>
      </c>
      <c r="N263" s="32">
        <f t="shared" si="32"/>
        <v>134.80515481694337</v>
      </c>
      <c r="O263" s="32">
        <f t="shared" si="33"/>
        <v>133.37841811231999</v>
      </c>
      <c r="P263" s="12" t="str">
        <f t="shared" si="34"/>
        <v/>
      </c>
      <c r="Q263" s="13">
        <f t="shared" si="35"/>
        <v>2.9239273180311828E-3</v>
      </c>
      <c r="R263" s="49">
        <f t="shared" si="36"/>
        <v>1</v>
      </c>
    </row>
    <row r="264" spans="1:18" x14ac:dyDescent="0.35">
      <c r="A264" s="64" t="s">
        <v>77</v>
      </c>
      <c r="B264" s="14">
        <v>2.9981041400291009E-3</v>
      </c>
      <c r="C264" s="12">
        <v>1.473938094600058E-3</v>
      </c>
      <c r="D264" s="12">
        <v>-9.5617529880478003E-2</v>
      </c>
      <c r="E264" s="12">
        <v>1.0897498454832233E-2</v>
      </c>
      <c r="F264" s="12">
        <v>1.6525316601162965E-2</v>
      </c>
      <c r="G264" s="12">
        <v>-2.3201856148491462E-3</v>
      </c>
      <c r="H264" s="12">
        <v>-5.098954282257262E-3</v>
      </c>
      <c r="I264" s="12">
        <v>-1.1859688195991036E-2</v>
      </c>
      <c r="J264" s="12">
        <v>-8.4655595133459327E-3</v>
      </c>
      <c r="K264" s="12">
        <v>5.5475652352576788E-3</v>
      </c>
      <c r="L264" s="12">
        <v>-1.003966893579511E-2</v>
      </c>
      <c r="M264" s="13">
        <f t="shared" si="31"/>
        <v>-2.7494410445424181E-2</v>
      </c>
      <c r="N264" s="32">
        <f t="shared" si="32"/>
        <v>131.09876656024738</v>
      </c>
      <c r="O264" s="32">
        <f t="shared" si="33"/>
        <v>133.77830049985306</v>
      </c>
      <c r="P264" s="12">
        <f t="shared" si="34"/>
        <v>-2.7494410445424181E-2</v>
      </c>
      <c r="Q264" s="13">
        <f t="shared" si="35"/>
        <v>-3.0492514585453281E-2</v>
      </c>
      <c r="R264" s="49" t="str">
        <f t="shared" si="36"/>
        <v/>
      </c>
    </row>
    <row r="265" spans="1:18" x14ac:dyDescent="0.35">
      <c r="A265" s="64" t="s">
        <v>77</v>
      </c>
      <c r="B265" s="14">
        <v>-1.0769704162821858E-3</v>
      </c>
      <c r="C265" s="12">
        <v>-5.2849879582552717E-3</v>
      </c>
      <c r="D265" s="12">
        <v>-3.5079131995431334E-3</v>
      </c>
      <c r="E265" s="12">
        <v>-5.1486677822112359E-3</v>
      </c>
      <c r="F265" s="12">
        <v>1.5555756534322285E-2</v>
      </c>
      <c r="G265" s="12">
        <v>1.9583843329253892E-3</v>
      </c>
      <c r="H265" s="12">
        <v>4.2998610145934535E-3</v>
      </c>
      <c r="I265" s="12">
        <v>5.4149997182622478E-2</v>
      </c>
      <c r="J265" s="12">
        <v>-6.3917140990948917E-3</v>
      </c>
      <c r="K265" s="12">
        <v>1.042092357989377E-2</v>
      </c>
      <c r="L265" s="12">
        <v>-7.3711289205500297E-3</v>
      </c>
      <c r="M265" s="13">
        <f t="shared" si="31"/>
        <v>9.8257868977455459E-3</v>
      </c>
      <c r="N265" s="32">
        <f t="shared" si="32"/>
        <v>132.38691510302567</v>
      </c>
      <c r="O265" s="32">
        <f t="shared" si="33"/>
        <v>133.6342252278742</v>
      </c>
      <c r="P265" s="12" t="str">
        <f t="shared" si="34"/>
        <v/>
      </c>
      <c r="Q265" s="13">
        <f t="shared" si="35"/>
        <v>1.0902757314027732E-2</v>
      </c>
      <c r="R265" s="49">
        <f t="shared" si="36"/>
        <v>1</v>
      </c>
    </row>
    <row r="266" spans="1:18" x14ac:dyDescent="0.35">
      <c r="A266" s="64">
        <v>4.0199999999999996</v>
      </c>
      <c r="B266" s="14">
        <v>4.7525798147374232E-3</v>
      </c>
      <c r="C266" s="12">
        <v>-3.3627009213810233E-4</v>
      </c>
      <c r="D266" s="12">
        <v>-1.8829308227589214E-3</v>
      </c>
      <c r="E266" s="12">
        <v>-3.3316082287490056E-3</v>
      </c>
      <c r="F266" s="12">
        <v>7.3470478226012048E-4</v>
      </c>
      <c r="G266" s="12">
        <v>2.1988761299780446E-3</v>
      </c>
      <c r="H266" s="12">
        <v>1.1460450633568264E-2</v>
      </c>
      <c r="I266" s="12">
        <v>-2.549711353431694E-2</v>
      </c>
      <c r="J266" s="12">
        <v>-4.6954970183588074E-4</v>
      </c>
      <c r="K266" s="12">
        <v>1.1526794742163782E-2</v>
      </c>
      <c r="L266" s="12">
        <v>7.7747321206080855E-3</v>
      </c>
      <c r="M266" s="13">
        <f t="shared" si="31"/>
        <v>-1.9872513544634618E-3</v>
      </c>
      <c r="N266" s="32">
        <f t="shared" si="32"/>
        <v>132.12382902667395</v>
      </c>
      <c r="O266" s="32">
        <f t="shared" si="33"/>
        <v>134.26933254925027</v>
      </c>
      <c r="P266" s="12">
        <f t="shared" si="34"/>
        <v>-1.9872513544634618E-3</v>
      </c>
      <c r="Q266" s="13">
        <f t="shared" si="35"/>
        <v>-6.739831169200885E-3</v>
      </c>
      <c r="R266" s="49" t="str">
        <f t="shared" si="36"/>
        <v/>
      </c>
    </row>
    <row r="267" spans="1:18" x14ac:dyDescent="0.35">
      <c r="A267" s="64" t="s">
        <v>77</v>
      </c>
      <c r="B267" s="14">
        <v>1.817584583378995E-3</v>
      </c>
      <c r="C267" s="12">
        <v>4.5748116254036297E-3</v>
      </c>
      <c r="D267" s="12">
        <v>-4.0190288713910505E-3</v>
      </c>
      <c r="E267" s="12">
        <v>6.425859215266394E-3</v>
      </c>
      <c r="F267" s="12">
        <v>1.1457429531246399E-2</v>
      </c>
      <c r="G267" s="12">
        <v>1.0177961969770832E-2</v>
      </c>
      <c r="H267" s="12">
        <v>-8.8079356935180098E-3</v>
      </c>
      <c r="I267" s="12">
        <v>-7.4598211836981454E-3</v>
      </c>
      <c r="J267" s="12">
        <v>-1.4374970639357332E-2</v>
      </c>
      <c r="K267" s="12">
        <v>-8.7964814074371622E-3</v>
      </c>
      <c r="L267" s="12">
        <v>-1.2709559368973E-2</v>
      </c>
      <c r="M267" s="13">
        <f t="shared" si="31"/>
        <v>-5.7781229719860655E-3</v>
      </c>
      <c r="N267" s="32">
        <f t="shared" si="32"/>
        <v>131.36040129502817</v>
      </c>
      <c r="O267" s="32">
        <f t="shared" si="33"/>
        <v>134.51337841811238</v>
      </c>
      <c r="P267" s="12">
        <f t="shared" si="34"/>
        <v>-5.7781229719860655E-3</v>
      </c>
      <c r="Q267" s="13">
        <f t="shared" si="35"/>
        <v>-7.5957075553650605E-3</v>
      </c>
      <c r="R267" s="49" t="str">
        <f t="shared" si="36"/>
        <v/>
      </c>
    </row>
    <row r="268" spans="1:18" x14ac:dyDescent="0.35">
      <c r="A268" s="64" t="s">
        <v>77</v>
      </c>
      <c r="B268" s="14">
        <v>-5.049401066713366E-3</v>
      </c>
      <c r="C268" s="12">
        <v>-3.1476024645057388E-3</v>
      </c>
      <c r="D268" s="12">
        <v>-1.5399818825660883E-2</v>
      </c>
      <c r="E268" s="12">
        <v>4.2114088549224382E-2</v>
      </c>
      <c r="F268" s="12">
        <v>-2.5514692943866546E-3</v>
      </c>
      <c r="G268" s="12">
        <v>-1.2126696832579165E-2</v>
      </c>
      <c r="H268" s="12">
        <v>-6.9191614183418126E-2</v>
      </c>
      <c r="I268" s="12">
        <v>-1.6137054434926745E-2</v>
      </c>
      <c r="J268" s="12">
        <v>-1.5251894571278735E-2</v>
      </c>
      <c r="K268" s="12">
        <v>-8.0677692617990848E-3</v>
      </c>
      <c r="L268" s="12">
        <v>-1.7581646964536124E-2</v>
      </c>
      <c r="M268" s="13">
        <f t="shared" si="31"/>
        <v>-6.2820965649064541E-3</v>
      </c>
      <c r="N268" s="32">
        <f t="shared" si="32"/>
        <v>130.53518256928794</v>
      </c>
      <c r="O268" s="32">
        <f t="shared" si="33"/>
        <v>133.83416642164076</v>
      </c>
      <c r="P268" s="12">
        <f t="shared" si="34"/>
        <v>-6.2820965649064541E-3</v>
      </c>
      <c r="Q268" s="13">
        <f t="shared" si="35"/>
        <v>-1.2326954981930881E-3</v>
      </c>
      <c r="R268" s="49" t="str">
        <f t="shared" si="36"/>
        <v/>
      </c>
    </row>
    <row r="269" spans="1:18" x14ac:dyDescent="0.35">
      <c r="A269" s="64" t="s">
        <v>77</v>
      </c>
      <c r="B269" s="14">
        <v>9.8205066238987726E-3</v>
      </c>
      <c r="C269" s="12">
        <v>2.4991602284178738E-2</v>
      </c>
      <c r="D269" s="12">
        <v>5.352960856473743E-3</v>
      </c>
      <c r="E269" s="12">
        <v>3.6513290218771477E-3</v>
      </c>
      <c r="F269" s="12">
        <v>4.3221310752403763E-3</v>
      </c>
      <c r="G269" s="12">
        <v>-5.4354464394773538E-3</v>
      </c>
      <c r="H269" s="12">
        <v>-2.7528037816294315E-2</v>
      </c>
      <c r="I269" s="12">
        <v>-1.9210245464247544E-2</v>
      </c>
      <c r="J269" s="12">
        <v>6.0016456125064899E-3</v>
      </c>
      <c r="K269" s="12">
        <v>6.1000406669378116E-3</v>
      </c>
      <c r="L269" s="12">
        <v>4.0585326059246363E-2</v>
      </c>
      <c r="M269" s="13">
        <f t="shared" si="31"/>
        <v>6.5483894819114699E-3</v>
      </c>
      <c r="N269" s="32">
        <f t="shared" si="32"/>
        <v>131.38997778584405</v>
      </c>
      <c r="O269" s="32">
        <f t="shared" si="33"/>
        <v>135.14848573948845</v>
      </c>
      <c r="P269" s="12" t="str">
        <f t="shared" si="34"/>
        <v/>
      </c>
      <c r="Q269" s="13">
        <f t="shared" si="35"/>
        <v>-3.2721171419873027E-3</v>
      </c>
      <c r="R269" s="49">
        <f t="shared" si="36"/>
        <v>1</v>
      </c>
    </row>
    <row r="270" spans="1:18" x14ac:dyDescent="0.35">
      <c r="A270" s="64" t="s">
        <v>77</v>
      </c>
      <c r="B270" s="14">
        <v>1.9580541293184872E-3</v>
      </c>
      <c r="C270" s="12">
        <v>-1.81556007078717E-2</v>
      </c>
      <c r="D270" s="12">
        <v>-5.9068219633944263E-3</v>
      </c>
      <c r="E270" s="12">
        <v>2.2414058887004762E-2</v>
      </c>
      <c r="F270" s="12">
        <v>1.104426488670307E-2</v>
      </c>
      <c r="G270" s="12">
        <v>1.842186060792006E-4</v>
      </c>
      <c r="H270" s="12">
        <v>9.1974837971788848E-3</v>
      </c>
      <c r="I270" s="12">
        <v>-4.7534505469332133E-3</v>
      </c>
      <c r="J270" s="12">
        <v>-3.9451527543901133E-3</v>
      </c>
      <c r="K270" s="12">
        <v>6.6693613581245703E-3</v>
      </c>
      <c r="L270" s="12">
        <v>-3.9198392865902321E-4</v>
      </c>
      <c r="M270" s="13">
        <f t="shared" si="31"/>
        <v>2.0022423414228813E-3</v>
      </c>
      <c r="N270" s="32">
        <f t="shared" si="32"/>
        <v>131.65305236260551</v>
      </c>
      <c r="O270" s="32">
        <f t="shared" si="33"/>
        <v>135.4131137900618</v>
      </c>
      <c r="P270" s="12" t="str">
        <f t="shared" si="34"/>
        <v/>
      </c>
      <c r="Q270" s="13">
        <f t="shared" si="35"/>
        <v>4.4188212104394071E-5</v>
      </c>
      <c r="R270" s="49">
        <f t="shared" si="36"/>
        <v>1</v>
      </c>
    </row>
    <row r="271" spans="1:18" x14ac:dyDescent="0.35">
      <c r="A271" s="64">
        <v>4.0599999999999996</v>
      </c>
      <c r="B271" s="14">
        <v>1.8022321622443993E-3</v>
      </c>
      <c r="C271" s="12">
        <v>-5.6074766355140859E-3</v>
      </c>
      <c r="D271" s="12">
        <v>9.4568583145033802E-3</v>
      </c>
      <c r="E271" s="12">
        <v>-6.7848742536638085E-3</v>
      </c>
      <c r="F271" s="12">
        <v>-1.3811974721480214E-2</v>
      </c>
      <c r="G271" s="12">
        <v>8.5952848722992137E-4</v>
      </c>
      <c r="H271" s="12">
        <v>3.2582518770363222E-3</v>
      </c>
      <c r="I271" s="12">
        <v>2.474392910576606E-3</v>
      </c>
      <c r="J271" s="12">
        <v>3.64681447133266E-2</v>
      </c>
      <c r="K271" s="12">
        <v>2.4091547881950337E-3</v>
      </c>
      <c r="L271" s="12">
        <v>6.7153570903386584E-3</v>
      </c>
      <c r="M271" s="13">
        <f t="shared" si="31"/>
        <v>3.8124764653966487E-3</v>
      </c>
      <c r="N271" s="32">
        <f t="shared" si="32"/>
        <v>132.15497652633556</v>
      </c>
      <c r="O271" s="32">
        <f t="shared" si="33"/>
        <v>135.65715965892392</v>
      </c>
      <c r="P271" s="12" t="str">
        <f t="shared" si="34"/>
        <v/>
      </c>
      <c r="Q271" s="13">
        <f t="shared" si="35"/>
        <v>2.0102443031522494E-3</v>
      </c>
      <c r="R271" s="49">
        <f t="shared" si="36"/>
        <v>1</v>
      </c>
    </row>
    <row r="272" spans="1:18" x14ac:dyDescent="0.35">
      <c r="A272" s="64" t="s">
        <v>77</v>
      </c>
      <c r="B272" s="14">
        <v>3.663003663003872E-3</v>
      </c>
      <c r="C272" s="12">
        <v>7.1160042964555359E-3</v>
      </c>
      <c r="D272" s="12">
        <v>-8.2904990880461327E-4</v>
      </c>
      <c r="E272" s="12">
        <v>1.1415733066156619E-2</v>
      </c>
      <c r="F272" s="12">
        <v>-4.558366915505041E-3</v>
      </c>
      <c r="G272" s="12">
        <v>1.5764936817568298E-2</v>
      </c>
      <c r="H272" s="12">
        <v>-1.5626470865104158E-2</v>
      </c>
      <c r="I272" s="12">
        <v>-5.969806555306878E-3</v>
      </c>
      <c r="J272" s="12">
        <v>-8.4350824867182039E-3</v>
      </c>
      <c r="K272" s="12">
        <v>-4.0056078509920212E-4</v>
      </c>
      <c r="L272" s="12">
        <v>8.4721004966403779E-3</v>
      </c>
      <c r="M272" s="13">
        <f t="shared" si="31"/>
        <v>1.5605609704235166E-3</v>
      </c>
      <c r="N272" s="32">
        <f t="shared" si="32"/>
        <v>132.36121242474979</v>
      </c>
      <c r="O272" s="32">
        <f t="shared" si="33"/>
        <v>136.15407233166727</v>
      </c>
      <c r="P272" s="12" t="str">
        <f t="shared" si="34"/>
        <v/>
      </c>
      <c r="Q272" s="13">
        <f t="shared" si="35"/>
        <v>-2.1024426925803554E-3</v>
      </c>
      <c r="R272" s="49">
        <f t="shared" si="36"/>
        <v>1</v>
      </c>
    </row>
    <row r="273" spans="1:18" x14ac:dyDescent="0.35">
      <c r="A273" s="64" t="s">
        <v>77</v>
      </c>
      <c r="B273" s="14">
        <v>6.4786420766207442E-3</v>
      </c>
      <c r="C273" s="12">
        <v>9.7986935075322634E-3</v>
      </c>
      <c r="D273" s="12">
        <v>7.5506140059742322E-3</v>
      </c>
      <c r="E273" s="12">
        <v>2.6115930717738323E-3</v>
      </c>
      <c r="F273" s="12">
        <v>1.1702504203167763E-2</v>
      </c>
      <c r="G273" s="12">
        <v>-3.2006763693459561E-3</v>
      </c>
      <c r="H273" s="12">
        <v>-4.972745529310485E-3</v>
      </c>
      <c r="I273" s="12">
        <v>-3.2338164809145864E-3</v>
      </c>
      <c r="J273" s="12">
        <v>2.8669455280347922E-3</v>
      </c>
      <c r="K273" s="12">
        <v>3.005409737527609E-3</v>
      </c>
      <c r="L273" s="12">
        <v>-1.7236384704519048E-2</v>
      </c>
      <c r="M273" s="13">
        <f t="shared" ref="M273:M336" si="37">SUMPRODUCT($C$2:$L$2,C273:L273)</f>
        <v>-4.4633931088500006E-4</v>
      </c>
      <c r="N273" s="32">
        <f t="shared" ref="N273:N336" si="38">+(N272*(1+M273))</f>
        <v>132.30213441240824</v>
      </c>
      <c r="O273" s="32">
        <f t="shared" ref="O273:O336" si="39">+(O272*(1+B273))</f>
        <v>137.03616583357848</v>
      </c>
      <c r="P273" s="12">
        <f t="shared" ref="P273:P336" si="40">+IF(M273&lt;0,M273,"")</f>
        <v>-4.4633931088500006E-4</v>
      </c>
      <c r="Q273" s="13">
        <f t="shared" ref="Q273:Q336" si="41">M273-B273</f>
        <v>-6.9249813875057447E-3</v>
      </c>
      <c r="R273" s="49" t="str">
        <f t="shared" ref="R273:R336" si="42">+IF(M273&gt;0,1,"")</f>
        <v/>
      </c>
    </row>
    <row r="274" spans="1:18" x14ac:dyDescent="0.35">
      <c r="A274" s="64" t="s">
        <v>77</v>
      </c>
      <c r="B274" s="14">
        <v>4.1840106424064771E-3</v>
      </c>
      <c r="C274" s="12">
        <v>-3.4985807644069E-3</v>
      </c>
      <c r="D274" s="12">
        <v>-4.7764143951248839E-3</v>
      </c>
      <c r="E274" s="12">
        <v>7.3053892215568794E-3</v>
      </c>
      <c r="F274" s="12">
        <v>-1.2463647694225255E-3</v>
      </c>
      <c r="G274" s="12">
        <v>-2.7868653822852307E-3</v>
      </c>
      <c r="H274" s="12">
        <v>3.2676597789524919E-3</v>
      </c>
      <c r="I274" s="12">
        <v>-4.6347256821743787E-4</v>
      </c>
      <c r="J274" s="12">
        <v>-1.6402661917704897E-3</v>
      </c>
      <c r="K274" s="12">
        <v>7.3911306432281609E-3</v>
      </c>
      <c r="L274" s="12">
        <v>1.9651191353475816E-4</v>
      </c>
      <c r="M274" s="13">
        <f t="shared" si="37"/>
        <v>1.3013552748537597E-3</v>
      </c>
      <c r="N274" s="32">
        <f t="shared" si="38"/>
        <v>132.47430649290024</v>
      </c>
      <c r="O274" s="32">
        <f t="shared" si="39"/>
        <v>137.60952660982076</v>
      </c>
      <c r="P274" s="12" t="str">
        <f t="shared" si="40"/>
        <v/>
      </c>
      <c r="Q274" s="13">
        <f t="shared" si="41"/>
        <v>-2.8826553675527175E-3</v>
      </c>
      <c r="R274" s="49">
        <f t="shared" si="42"/>
        <v>1</v>
      </c>
    </row>
    <row r="275" spans="1:18" x14ac:dyDescent="0.35">
      <c r="A275" s="64" t="s">
        <v>77</v>
      </c>
      <c r="B275" s="14">
        <v>3.7178692762973586E-3</v>
      </c>
      <c r="C275" s="12">
        <v>2.1197668256491831E-3</v>
      </c>
      <c r="D275" s="12">
        <v>2.2838229209764194E-2</v>
      </c>
      <c r="E275" s="12">
        <v>-1.129473308762341E-3</v>
      </c>
      <c r="F275" s="12">
        <v>-2.0798668885191329E-3</v>
      </c>
      <c r="G275" s="12">
        <v>-7.1081409477520285E-3</v>
      </c>
      <c r="H275" s="12">
        <v>3.7790976147140443E-2</v>
      </c>
      <c r="I275" s="12">
        <v>2.4111748681388656E-2</v>
      </c>
      <c r="J275" s="12">
        <v>5.3654414871144862E-2</v>
      </c>
      <c r="K275" s="12">
        <v>-6.9403133055720989E-3</v>
      </c>
      <c r="L275" s="12">
        <v>1.1248096664865592E-2</v>
      </c>
      <c r="M275" s="13">
        <f t="shared" si="37"/>
        <v>1.1118187871568441E-2</v>
      </c>
      <c r="N275" s="32">
        <f t="shared" si="38"/>
        <v>133.94718072064404</v>
      </c>
      <c r="O275" s="32">
        <f t="shared" si="39"/>
        <v>138.12114084092923</v>
      </c>
      <c r="P275" s="12" t="str">
        <f t="shared" si="40"/>
        <v/>
      </c>
      <c r="Q275" s="13">
        <f t="shared" si="41"/>
        <v>7.4003185952710819E-3</v>
      </c>
      <c r="R275" s="49">
        <f t="shared" si="42"/>
        <v>1</v>
      </c>
    </row>
    <row r="276" spans="1:18" x14ac:dyDescent="0.35">
      <c r="A276" s="64">
        <v>4.05</v>
      </c>
      <c r="B276" s="14">
        <v>8.940926024481044E-4</v>
      </c>
      <c r="C276" s="12">
        <v>-5.5526176626123913E-3</v>
      </c>
      <c r="D276" s="12">
        <v>7.5236631340507287E-3</v>
      </c>
      <c r="E276" s="12">
        <v>2.7673629708979686E-3</v>
      </c>
      <c r="F276" s="12">
        <v>1.4940435707860633E-2</v>
      </c>
      <c r="G276" s="12">
        <v>-3.4265434742702938E-3</v>
      </c>
      <c r="H276" s="12">
        <v>1.7630497992338734E-2</v>
      </c>
      <c r="I276" s="12">
        <v>1.901635633029608E-2</v>
      </c>
      <c r="J276" s="12">
        <v>-7.9301434554041039E-3</v>
      </c>
      <c r="K276" s="12">
        <v>-6.389776357827448E-3</v>
      </c>
      <c r="L276" s="12">
        <v>4.0654750340003876E-2</v>
      </c>
      <c r="M276" s="13">
        <f t="shared" si="37"/>
        <v>1.1599151979512985E-2</v>
      </c>
      <c r="N276" s="32">
        <f t="shared" si="38"/>
        <v>135.50085442705006</v>
      </c>
      <c r="O276" s="32">
        <f t="shared" si="39"/>
        <v>138.2446339311968</v>
      </c>
      <c r="P276" s="12" t="str">
        <f t="shared" si="40"/>
        <v/>
      </c>
      <c r="Q276" s="13">
        <f t="shared" si="41"/>
        <v>1.070505937706488E-2</v>
      </c>
      <c r="R276" s="49">
        <f t="shared" si="42"/>
        <v>1</v>
      </c>
    </row>
    <row r="277" spans="1:18" x14ac:dyDescent="0.35">
      <c r="A277" s="64" t="s">
        <v>77</v>
      </c>
      <c r="B277" s="14">
        <v>-3.5093689516557669E-3</v>
      </c>
      <c r="C277" s="12">
        <v>2.4594522733316637E-3</v>
      </c>
      <c r="D277" s="12">
        <v>-2.9629034848241642E-2</v>
      </c>
      <c r="E277" s="12">
        <v>-3.0861449894655779E-3</v>
      </c>
      <c r="F277" s="12">
        <v>3.7395702736586767E-3</v>
      </c>
      <c r="G277" s="12">
        <v>-2.2103518143304912E-3</v>
      </c>
      <c r="H277" s="12">
        <v>-3.2201006848383229E-2</v>
      </c>
      <c r="I277" s="12">
        <v>-1.0552624271035205E-3</v>
      </c>
      <c r="J277" s="12">
        <v>-8.4875157176217408E-3</v>
      </c>
      <c r="K277" s="12">
        <v>3.4163987138264851E-3</v>
      </c>
      <c r="L277" s="12">
        <v>-2.0723453908984779E-2</v>
      </c>
      <c r="M277" s="13">
        <f t="shared" si="37"/>
        <v>-1.1529839157998548E-2</v>
      </c>
      <c r="N277" s="32">
        <f t="shared" si="38"/>
        <v>133.9385513697348</v>
      </c>
      <c r="O277" s="32">
        <f t="shared" si="39"/>
        <v>137.75948250514566</v>
      </c>
      <c r="P277" s="12">
        <f t="shared" si="40"/>
        <v>-1.1529839157998548E-2</v>
      </c>
      <c r="Q277" s="13">
        <f t="shared" si="41"/>
        <v>-8.0204702063427814E-3</v>
      </c>
      <c r="R277" s="49" t="str">
        <f t="shared" si="42"/>
        <v/>
      </c>
    </row>
    <row r="278" spans="1:18" x14ac:dyDescent="0.35">
      <c r="A278" s="64" t="s">
        <v>77</v>
      </c>
      <c r="B278" s="14">
        <v>-8.2173653205839248E-3</v>
      </c>
      <c r="C278" s="12">
        <v>-1.9163185465154942E-2</v>
      </c>
      <c r="D278" s="12">
        <v>-5.2130740587504887E-3</v>
      </c>
      <c r="E278" s="12">
        <v>-1.532966215210585E-2</v>
      </c>
      <c r="F278" s="12">
        <v>-9.5832884677506947E-3</v>
      </c>
      <c r="G278" s="12">
        <v>1.0830102762906968E-2</v>
      </c>
      <c r="H278" s="12">
        <v>1.0169173813205923E-2</v>
      </c>
      <c r="I278" s="12">
        <v>8.506616257088595E-3</v>
      </c>
      <c r="J278" s="12">
        <v>-1.0371846551021302E-2</v>
      </c>
      <c r="K278" s="12">
        <v>-9.0126176647307155E-3</v>
      </c>
      <c r="L278" s="12">
        <v>-1.4965921548067418E-2</v>
      </c>
      <c r="M278" s="13">
        <f t="shared" si="37"/>
        <v>-6.4863505376489671E-3</v>
      </c>
      <c r="N278" s="32">
        <f t="shared" si="38"/>
        <v>133.06977897504578</v>
      </c>
      <c r="O278" s="32">
        <f t="shared" si="39"/>
        <v>136.62746251102629</v>
      </c>
      <c r="P278" s="12">
        <f t="shared" si="40"/>
        <v>-6.4863505376489671E-3</v>
      </c>
      <c r="Q278" s="13">
        <f t="shared" si="41"/>
        <v>1.7310147829349577E-3</v>
      </c>
      <c r="R278" s="49" t="str">
        <f t="shared" si="42"/>
        <v/>
      </c>
    </row>
    <row r="279" spans="1:18" x14ac:dyDescent="0.35">
      <c r="A279" s="64" t="s">
        <v>77</v>
      </c>
      <c r="B279" s="14">
        <v>5.5953687563214949E-4</v>
      </c>
      <c r="C279" s="12">
        <v>-3.3802055164944278E-4</v>
      </c>
      <c r="D279" s="12">
        <v>4.1590417567793914E-4</v>
      </c>
      <c r="E279" s="12">
        <v>4.9274486094317282E-3</v>
      </c>
      <c r="F279" s="12">
        <v>-5.4577081974341857E-3</v>
      </c>
      <c r="G279" s="12">
        <v>-7.3659219577525414E-3</v>
      </c>
      <c r="H279" s="12">
        <v>-2.3844869177955141E-2</v>
      </c>
      <c r="I279" s="12">
        <v>-4.961684767625929E-4</v>
      </c>
      <c r="J279" s="12">
        <v>4.02745995423337E-3</v>
      </c>
      <c r="K279" s="12">
        <v>4.0420371867422311E-4</v>
      </c>
      <c r="L279" s="12">
        <v>8.9998548410510359E-3</v>
      </c>
      <c r="M279" s="13">
        <f t="shared" si="37"/>
        <v>2.3248764293934037E-3</v>
      </c>
      <c r="N279" s="32">
        <f t="shared" si="38"/>
        <v>133.37914976764947</v>
      </c>
      <c r="O279" s="32">
        <f t="shared" si="39"/>
        <v>136.70391061452526</v>
      </c>
      <c r="P279" s="12" t="str">
        <f t="shared" si="40"/>
        <v/>
      </c>
      <c r="Q279" s="13">
        <f t="shared" si="41"/>
        <v>1.7653395537612542E-3</v>
      </c>
      <c r="R279" s="49">
        <f t="shared" si="42"/>
        <v>1</v>
      </c>
    </row>
    <row r="280" spans="1:18" x14ac:dyDescent="0.35">
      <c r="A280" s="64">
        <v>4.05</v>
      </c>
      <c r="B280" s="14">
        <v>7.2268943711955025E-3</v>
      </c>
      <c r="C280" s="12">
        <v>1.433691756272415E-2</v>
      </c>
      <c r="D280" s="12">
        <v>-1.0892159308223182E-2</v>
      </c>
      <c r="E280" s="12">
        <v>1.2904972475408449E-2</v>
      </c>
      <c r="F280" s="12">
        <v>3.4981088349110845E-3</v>
      </c>
      <c r="G280" s="12">
        <v>1.1958788176131385E-2</v>
      </c>
      <c r="H280" s="12">
        <v>7.9365079365079083E-3</v>
      </c>
      <c r="I280" s="12">
        <v>3.2542746828458924E-3</v>
      </c>
      <c r="J280" s="12">
        <v>7.2021150515089172E-3</v>
      </c>
      <c r="K280" s="12">
        <v>-5.050505050505083E-3</v>
      </c>
      <c r="L280" s="12">
        <v>3.5486500743298066E-3</v>
      </c>
      <c r="M280" s="13">
        <f t="shared" si="37"/>
        <v>-1.0981220806817161E-3</v>
      </c>
      <c r="N280" s="32">
        <f t="shared" si="38"/>
        <v>133.23268317818705</v>
      </c>
      <c r="O280" s="32">
        <f t="shared" si="39"/>
        <v>137.69185533666578</v>
      </c>
      <c r="P280" s="12">
        <f t="shared" si="40"/>
        <v>-1.0981220806817161E-3</v>
      </c>
      <c r="Q280" s="13">
        <f t="shared" si="41"/>
        <v>-8.325016451877219E-3</v>
      </c>
      <c r="R280" s="49" t="str">
        <f t="shared" si="42"/>
        <v/>
      </c>
    </row>
    <row r="281" spans="1:18" x14ac:dyDescent="0.35">
      <c r="A281" s="64" t="s">
        <v>77</v>
      </c>
      <c r="B281" s="14">
        <v>-2.1354289008845839E-5</v>
      </c>
      <c r="C281" s="12">
        <v>6.6671111407456962E-5</v>
      </c>
      <c r="D281" s="12">
        <v>-7.5655682582376205E-4</v>
      </c>
      <c r="E281" s="12">
        <v>-1.9303872653837484E-3</v>
      </c>
      <c r="F281" s="12">
        <v>-1.7843526002745191E-2</v>
      </c>
      <c r="G281" s="12">
        <v>-9.0297557723773014E-3</v>
      </c>
      <c r="H281" s="12">
        <v>9.9014569286626219E-4</v>
      </c>
      <c r="I281" s="12">
        <v>6.8173071636703497E-3</v>
      </c>
      <c r="J281" s="12">
        <v>5.4896813902968855E-2</v>
      </c>
      <c r="K281" s="12">
        <v>-5.6852791878172493E-3</v>
      </c>
      <c r="L281" s="12">
        <v>-7.4544846370717677E-3</v>
      </c>
      <c r="M281" s="13">
        <f t="shared" si="37"/>
        <v>-1.7037579068565202E-3</v>
      </c>
      <c r="N281" s="32">
        <f t="shared" si="38"/>
        <v>133.00568694077049</v>
      </c>
      <c r="O281" s="32">
        <f t="shared" si="39"/>
        <v>137.68891502499275</v>
      </c>
      <c r="P281" s="12">
        <f t="shared" si="40"/>
        <v>-1.7037579068565202E-3</v>
      </c>
      <c r="Q281" s="13">
        <f t="shared" si="41"/>
        <v>-1.6824036178476743E-3</v>
      </c>
      <c r="R281" s="49" t="str">
        <f t="shared" si="42"/>
        <v/>
      </c>
    </row>
    <row r="282" spans="1:18" x14ac:dyDescent="0.35">
      <c r="A282" s="64" t="s">
        <v>77</v>
      </c>
      <c r="B282" s="14">
        <v>3.8652088494062209E-3</v>
      </c>
      <c r="C282" s="12">
        <v>6.6666666666665986E-3</v>
      </c>
      <c r="D282" s="12">
        <v>-3.4491461260200973E-3</v>
      </c>
      <c r="E282" s="12">
        <v>1.0235962745856586E-2</v>
      </c>
      <c r="F282" s="12">
        <v>-2.6175687666371017E-3</v>
      </c>
      <c r="G282" s="12">
        <v>-5.19814090019588E-3</v>
      </c>
      <c r="H282" s="12">
        <v>1.3565708902496532E-2</v>
      </c>
      <c r="I282" s="12">
        <v>-1.2067929885873463E-2</v>
      </c>
      <c r="J282" s="12">
        <v>-3.1275472993264386E-2</v>
      </c>
      <c r="K282" s="12">
        <v>-2.552583214212778E-2</v>
      </c>
      <c r="L282" s="12">
        <v>-1.0976842713398494E-2</v>
      </c>
      <c r="M282" s="13">
        <f t="shared" si="37"/>
        <v>-9.428366083056949E-3</v>
      </c>
      <c r="N282" s="32">
        <f t="shared" si="38"/>
        <v>131.75166063316445</v>
      </c>
      <c r="O282" s="32">
        <f t="shared" si="39"/>
        <v>138.22111143781248</v>
      </c>
      <c r="P282" s="12">
        <f t="shared" si="40"/>
        <v>-9.428366083056949E-3</v>
      </c>
      <c r="Q282" s="13">
        <f t="shared" si="41"/>
        <v>-1.329357493246317E-2</v>
      </c>
      <c r="R282" s="49" t="str">
        <f t="shared" si="42"/>
        <v/>
      </c>
    </row>
    <row r="283" spans="1:18" x14ac:dyDescent="0.35">
      <c r="A283" s="64" t="s">
        <v>77</v>
      </c>
      <c r="B283" s="14">
        <v>-2.5952477185219314E-3</v>
      </c>
      <c r="C283" s="12">
        <v>1.6490066225165689E-2</v>
      </c>
      <c r="D283" s="12">
        <v>-3.3766672294445188E-3</v>
      </c>
      <c r="E283" s="12">
        <v>-1.1487143235839881E-3</v>
      </c>
      <c r="F283" s="12">
        <v>-1.4901472354432732E-3</v>
      </c>
      <c r="G283" s="12">
        <v>3.7499231573123737E-3</v>
      </c>
      <c r="H283" s="12">
        <v>-4.7030393159215533E-2</v>
      </c>
      <c r="I283" s="12">
        <v>-7.2407694008399526E-3</v>
      </c>
      <c r="J283" s="12">
        <v>3.6315323294950907E-3</v>
      </c>
      <c r="K283" s="12">
        <v>-8.5917854149203388E-3</v>
      </c>
      <c r="L283" s="12">
        <v>-1.1926203572993344E-2</v>
      </c>
      <c r="M283" s="13">
        <f t="shared" si="37"/>
        <v>-6.432764264756018E-3</v>
      </c>
      <c r="N283" s="32">
        <f t="shared" si="38"/>
        <v>130.90413325882116</v>
      </c>
      <c r="O283" s="32">
        <f t="shared" si="39"/>
        <v>137.86239341370194</v>
      </c>
      <c r="P283" s="12">
        <f t="shared" si="40"/>
        <v>-6.432764264756018E-3</v>
      </c>
      <c r="Q283" s="13">
        <f t="shared" si="41"/>
        <v>-3.8375165462340866E-3</v>
      </c>
      <c r="R283" s="49" t="str">
        <f t="shared" si="42"/>
        <v/>
      </c>
    </row>
    <row r="284" spans="1:18" x14ac:dyDescent="0.35">
      <c r="A284" s="64" t="s">
        <v>77</v>
      </c>
      <c r="B284" s="14">
        <v>3.3698039968435012E-3</v>
      </c>
      <c r="C284" s="12">
        <v>2.8536060981171341E-2</v>
      </c>
      <c r="D284" s="12">
        <v>-1.1858377096391703E-2</v>
      </c>
      <c r="E284" s="12">
        <v>6.3399386647793321E-3</v>
      </c>
      <c r="F284" s="12">
        <v>1.1582581579241413E-3</v>
      </c>
      <c r="G284" s="12">
        <v>-5.3895149436550271E-3</v>
      </c>
      <c r="H284" s="12">
        <v>-8.436555154588854E-3</v>
      </c>
      <c r="I284" s="12">
        <v>-1.8929903680195981E-2</v>
      </c>
      <c r="J284" s="12">
        <v>2.7799841143765214E-3</v>
      </c>
      <c r="K284" s="12">
        <v>8.6662439230607013E-3</v>
      </c>
      <c r="L284" s="12">
        <v>-7.6854862548034752E-3</v>
      </c>
      <c r="M284" s="13">
        <f t="shared" si="37"/>
        <v>-5.3889732986451711E-3</v>
      </c>
      <c r="N284" s="32">
        <f t="shared" si="38"/>
        <v>130.19869438000708</v>
      </c>
      <c r="O284" s="32">
        <f t="shared" si="39"/>
        <v>138.32696265804185</v>
      </c>
      <c r="P284" s="12">
        <f t="shared" si="40"/>
        <v>-5.3889732986451711E-3</v>
      </c>
      <c r="Q284" s="13">
        <f t="shared" si="41"/>
        <v>-8.7587772954886723E-3</v>
      </c>
      <c r="R284" s="49" t="str">
        <f t="shared" si="42"/>
        <v/>
      </c>
    </row>
    <row r="285" spans="1:18" x14ac:dyDescent="0.35">
      <c r="A285" s="64">
        <v>4.03</v>
      </c>
      <c r="B285" s="14">
        <v>-1.3816558614092589E-3</v>
      </c>
      <c r="C285" s="12">
        <v>1.6975992905555293E-2</v>
      </c>
      <c r="D285" s="12">
        <v>-5.2288702211554794E-3</v>
      </c>
      <c r="E285" s="12">
        <v>5.3916253992440932E-3</v>
      </c>
      <c r="F285" s="12">
        <v>-2.1069259349901004E-2</v>
      </c>
      <c r="G285" s="12">
        <v>3.0172413793101427E-3</v>
      </c>
      <c r="H285" s="12">
        <v>-1.2147740126887352E-2</v>
      </c>
      <c r="I285" s="12">
        <v>-1.5152375007093877E-2</v>
      </c>
      <c r="J285" s="12">
        <v>-5.773377337733776E-2</v>
      </c>
      <c r="K285" s="12">
        <v>-5.4484492875104262E-3</v>
      </c>
      <c r="L285" s="12">
        <v>-4.8654552675999607E-3</v>
      </c>
      <c r="M285" s="13">
        <f t="shared" si="37"/>
        <v>-5.6514834509395441E-3</v>
      </c>
      <c r="N285" s="32">
        <f t="shared" si="38"/>
        <v>129.46287861338453</v>
      </c>
      <c r="O285" s="32">
        <f t="shared" si="39"/>
        <v>138.13584239929443</v>
      </c>
      <c r="P285" s="12">
        <f t="shared" si="40"/>
        <v>-5.6514834509395441E-3</v>
      </c>
      <c r="Q285" s="13">
        <f t="shared" si="41"/>
        <v>-4.2698275895302852E-3</v>
      </c>
      <c r="R285" s="49" t="str">
        <f t="shared" si="42"/>
        <v/>
      </c>
    </row>
    <row r="286" spans="1:18" x14ac:dyDescent="0.35">
      <c r="A286" s="64" t="s">
        <v>77</v>
      </c>
      <c r="B286" s="14">
        <v>-3.214133673903885E-3</v>
      </c>
      <c r="C286" s="12">
        <v>2.9274369355341001E-3</v>
      </c>
      <c r="D286" s="12">
        <v>3.6191296854803934E-3</v>
      </c>
      <c r="E286" s="12">
        <v>-9.5596164495351799E-3</v>
      </c>
      <c r="F286" s="12">
        <v>-5.5909090909090908E-3</v>
      </c>
      <c r="G286" s="12">
        <v>-1.9583768187120154E-2</v>
      </c>
      <c r="H286" s="12">
        <v>-2.6286966046002225E-2</v>
      </c>
      <c r="I286" s="12">
        <v>-1.5212631093695861E-2</v>
      </c>
      <c r="J286" s="12">
        <v>-1.9754354831177268E-2</v>
      </c>
      <c r="K286" s="12">
        <v>1.6856300042140671E-2</v>
      </c>
      <c r="L286" s="12">
        <v>9.6787068449410985E-3</v>
      </c>
      <c r="M286" s="13">
        <f t="shared" si="37"/>
        <v>2.1552760105874947E-3</v>
      </c>
      <c r="N286" s="32">
        <f t="shared" si="38"/>
        <v>129.74190684992155</v>
      </c>
      <c r="O286" s="32">
        <f t="shared" si="39"/>
        <v>137.69185533666578</v>
      </c>
      <c r="P286" s="12" t="str">
        <f t="shared" si="40"/>
        <v/>
      </c>
      <c r="Q286" s="13">
        <f t="shared" si="41"/>
        <v>5.3694096844913797E-3</v>
      </c>
      <c r="R286" s="49">
        <f t="shared" si="42"/>
        <v>1</v>
      </c>
    </row>
    <row r="287" spans="1:18" x14ac:dyDescent="0.35">
      <c r="A287" s="64" t="s">
        <v>77</v>
      </c>
      <c r="B287" s="14">
        <v>1.6656345426979691E-3</v>
      </c>
      <c r="C287" s="12">
        <v>2.4220593715065242E-3</v>
      </c>
      <c r="D287" s="12">
        <v>2.7474886236800167E-3</v>
      </c>
      <c r="E287" s="12">
        <v>-6.3266927581436816E-3</v>
      </c>
      <c r="F287" s="12">
        <v>2.1917996068930856E-2</v>
      </c>
      <c r="G287" s="12">
        <v>6.1991233562930237E-3</v>
      </c>
      <c r="H287" s="12">
        <v>1.4878821965436106E-2</v>
      </c>
      <c r="I287" s="12">
        <v>-2.9256875365712975E-4</v>
      </c>
      <c r="J287" s="12">
        <v>-3.6684135302526011E-3</v>
      </c>
      <c r="K287" s="12">
        <v>7.0451719850808114E-3</v>
      </c>
      <c r="L287" s="12">
        <v>1.4576539183713821E-2</v>
      </c>
      <c r="M287" s="13">
        <f t="shared" si="37"/>
        <v>3.875738857914676E-3</v>
      </c>
      <c r="N287" s="32">
        <f t="shared" si="38"/>
        <v>130.24475259979974</v>
      </c>
      <c r="O287" s="32">
        <f t="shared" si="39"/>
        <v>137.92119964716269</v>
      </c>
      <c r="P287" s="12" t="str">
        <f t="shared" si="40"/>
        <v/>
      </c>
      <c r="Q287" s="13">
        <f t="shared" si="41"/>
        <v>2.210104315216707E-3</v>
      </c>
      <c r="R287" s="49">
        <f t="shared" si="42"/>
        <v>1</v>
      </c>
    </row>
    <row r="288" spans="1:18" x14ac:dyDescent="0.35">
      <c r="A288" s="64" t="s">
        <v>77</v>
      </c>
      <c r="B288" s="14">
        <v>2.3024282090093884E-3</v>
      </c>
      <c r="C288" s="12">
        <v>3.2835635958119447E-3</v>
      </c>
      <c r="D288" s="12">
        <v>-5.1374261494996354E-4</v>
      </c>
      <c r="E288" s="12">
        <v>6.8111821843164222E-4</v>
      </c>
      <c r="F288" s="12">
        <v>6.7765526804286491E-3</v>
      </c>
      <c r="G288" s="12">
        <v>-2.8004231750574649E-3</v>
      </c>
      <c r="H288" s="12">
        <v>2.3981056980200366E-2</v>
      </c>
      <c r="I288" s="12">
        <v>4.4483465027802538E-3</v>
      </c>
      <c r="J288" s="12">
        <v>7.0291206426624786E-3</v>
      </c>
      <c r="K288" s="12">
        <v>5.1440329218106484E-3</v>
      </c>
      <c r="L288" s="12">
        <v>8.4741635416158978E-3</v>
      </c>
      <c r="M288" s="13">
        <f t="shared" si="37"/>
        <v>3.4029263525576833E-3</v>
      </c>
      <c r="N288" s="32">
        <f t="shared" si="38"/>
        <v>130.68796590070394</v>
      </c>
      <c r="O288" s="32">
        <f t="shared" si="39"/>
        <v>138.23875330785074</v>
      </c>
      <c r="P288" s="12" t="str">
        <f t="shared" si="40"/>
        <v/>
      </c>
      <c r="Q288" s="13">
        <f t="shared" si="41"/>
        <v>1.1004981435482949E-3</v>
      </c>
      <c r="R288" s="49">
        <f t="shared" si="42"/>
        <v>1</v>
      </c>
    </row>
    <row r="289" spans="1:18" x14ac:dyDescent="0.35">
      <c r="A289" s="64" t="s">
        <v>77</v>
      </c>
      <c r="B289" s="14">
        <v>-2.2737424226310643E-2</v>
      </c>
      <c r="C289" s="12">
        <v>-3.1678399407187863E-2</v>
      </c>
      <c r="D289" s="12">
        <v>-7.8814357919986255E-3</v>
      </c>
      <c r="E289" s="12">
        <v>-2.4355597644343252E-2</v>
      </c>
      <c r="F289" s="12">
        <v>-2.2769681890883242E-2</v>
      </c>
      <c r="G289" s="12">
        <v>-6.4902646030954303E-3</v>
      </c>
      <c r="H289" s="12">
        <v>-2.7552275522755187E-2</v>
      </c>
      <c r="I289" s="12">
        <v>-8.61837888234952E-2</v>
      </c>
      <c r="J289" s="12">
        <v>-5.4083570750237397E-2</v>
      </c>
      <c r="K289" s="12">
        <v>-1.1258955987717645E-2</v>
      </c>
      <c r="L289" s="12">
        <v>-4.0276235089583223E-2</v>
      </c>
      <c r="M289" s="13">
        <f t="shared" si="37"/>
        <v>-3.1514551908096447E-2</v>
      </c>
      <c r="N289" s="32">
        <f t="shared" si="38"/>
        <v>126.56939321556267</v>
      </c>
      <c r="O289" s="32">
        <f t="shared" si="39"/>
        <v>135.09556012937384</v>
      </c>
      <c r="P289" s="12">
        <f t="shared" si="40"/>
        <v>-3.1514551908096447E-2</v>
      </c>
      <c r="Q289" s="13">
        <f t="shared" si="41"/>
        <v>-8.777127681785804E-3</v>
      </c>
      <c r="R289" s="49" t="str">
        <f t="shared" si="42"/>
        <v/>
      </c>
    </row>
    <row r="290" spans="1:18" x14ac:dyDescent="0.35">
      <c r="A290" s="64">
        <v>4.08</v>
      </c>
      <c r="B290" s="14">
        <v>1.3211160928045862E-2</v>
      </c>
      <c r="C290" s="12">
        <v>2.1873604999681273E-2</v>
      </c>
      <c r="D290" s="12">
        <v>2.3227700543994478E-2</v>
      </c>
      <c r="E290" s="12">
        <v>2.1081048289250059E-2</v>
      </c>
      <c r="F290" s="12">
        <v>2.7482894228364918E-2</v>
      </c>
      <c r="G290" s="12">
        <v>3.4547738693468943E-3</v>
      </c>
      <c r="H290" s="12">
        <v>-6.8808499873515006E-3</v>
      </c>
      <c r="I290" s="12">
        <v>6.631807167453152E-3</v>
      </c>
      <c r="J290" s="12">
        <v>-3.5640781085287676E-3</v>
      </c>
      <c r="K290" s="12">
        <v>-1.5734989648033104E-2</v>
      </c>
      <c r="L290" s="12">
        <v>-1.4139787651587632E-2</v>
      </c>
      <c r="M290" s="13">
        <f t="shared" si="37"/>
        <v>4.6575970010672135E-3</v>
      </c>
      <c r="N290" s="32">
        <f t="shared" si="38"/>
        <v>127.15890244183036</v>
      </c>
      <c r="O290" s="32">
        <f t="shared" si="39"/>
        <v>136.8803293149075</v>
      </c>
      <c r="P290" s="12" t="str">
        <f t="shared" si="40"/>
        <v/>
      </c>
      <c r="Q290" s="13">
        <f t="shared" si="41"/>
        <v>-8.5535639269786485E-3</v>
      </c>
      <c r="R290" s="49">
        <f t="shared" si="42"/>
        <v>1</v>
      </c>
    </row>
    <row r="291" spans="1:18" x14ac:dyDescent="0.35">
      <c r="A291" s="64" t="s">
        <v>77</v>
      </c>
      <c r="B291" s="14">
        <v>-1.8967628294631944E-2</v>
      </c>
      <c r="C291" s="12">
        <v>3.1577633549675577E-2</v>
      </c>
      <c r="D291" s="12">
        <v>-1.1814345991561281E-2</v>
      </c>
      <c r="E291" s="12">
        <v>-1.7942548198318642E-2</v>
      </c>
      <c r="F291" s="12">
        <v>-1.7212389380530935E-2</v>
      </c>
      <c r="G291" s="12">
        <v>-2.3912363067292608E-2</v>
      </c>
      <c r="H291" s="12">
        <v>-1.2838147638697728E-2</v>
      </c>
      <c r="I291" s="12">
        <v>-3.5221081971367085E-2</v>
      </c>
      <c r="J291" s="12">
        <v>-3.2745591939546959E-3</v>
      </c>
      <c r="K291" s="12">
        <v>-1.3883045856121101E-2</v>
      </c>
      <c r="L291" s="12">
        <v>-1.3117599020008086E-2</v>
      </c>
      <c r="M291" s="13">
        <f t="shared" si="37"/>
        <v>-1.7857324784018854E-2</v>
      </c>
      <c r="N291" s="32">
        <f t="shared" si="38"/>
        <v>124.88818462174724</v>
      </c>
      <c r="O291" s="32">
        <f t="shared" si="39"/>
        <v>134.28403410761553</v>
      </c>
      <c r="P291" s="12">
        <f t="shared" si="40"/>
        <v>-1.7857324784018854E-2</v>
      </c>
      <c r="Q291" s="13">
        <f t="shared" si="41"/>
        <v>1.11030351061309E-3</v>
      </c>
      <c r="R291" s="49" t="str">
        <f t="shared" si="42"/>
        <v/>
      </c>
    </row>
    <row r="292" spans="1:18" x14ac:dyDescent="0.35">
      <c r="A292" s="64" t="s">
        <v>77</v>
      </c>
      <c r="B292" s="14">
        <v>-1.1823954455879138E-2</v>
      </c>
      <c r="C292" s="12">
        <v>-3.2062915910465728E-3</v>
      </c>
      <c r="D292" s="12">
        <v>-1.5371477369768849E-3</v>
      </c>
      <c r="E292" s="12">
        <v>-1.5426963913003355E-3</v>
      </c>
      <c r="F292" s="12">
        <v>2.7013641889150897E-4</v>
      </c>
      <c r="G292" s="12">
        <v>1.3788238312063106E-2</v>
      </c>
      <c r="H292" s="12">
        <v>-1.8630334933168236E-2</v>
      </c>
      <c r="I292" s="12">
        <v>-1.4707813525935753E-2</v>
      </c>
      <c r="J292" s="12">
        <v>-4.8824867323730037E-2</v>
      </c>
      <c r="K292" s="12">
        <v>-2.4957337883959041E-2</v>
      </c>
      <c r="L292" s="12">
        <v>-9.7232997155417555E-3</v>
      </c>
      <c r="M292" s="13">
        <f t="shared" si="37"/>
        <v>-1.0707485639820215E-2</v>
      </c>
      <c r="N292" s="32">
        <f t="shared" si="38"/>
        <v>123.55094617832667</v>
      </c>
      <c r="O292" s="32">
        <f t="shared" si="39"/>
        <v>132.69626580417537</v>
      </c>
      <c r="P292" s="12">
        <f t="shared" si="40"/>
        <v>-1.0707485639820215E-2</v>
      </c>
      <c r="Q292" s="13">
        <f t="shared" si="41"/>
        <v>1.1164688160589225E-3</v>
      </c>
      <c r="R292" s="49" t="str">
        <f t="shared" si="42"/>
        <v/>
      </c>
    </row>
    <row r="293" spans="1:18" x14ac:dyDescent="0.35">
      <c r="A293" s="64">
        <v>4.07</v>
      </c>
      <c r="B293" s="14">
        <v>1.4203412364281132E-2</v>
      </c>
      <c r="C293" s="12">
        <v>-6.1297566304546747E-3</v>
      </c>
      <c r="D293" s="12">
        <v>-1.7105713308240844E-4</v>
      </c>
      <c r="E293" s="12">
        <v>-1.7874454677653251E-3</v>
      </c>
      <c r="F293" s="12">
        <v>3.7808885087995403E-3</v>
      </c>
      <c r="G293" s="12">
        <v>-6.2626518218623639E-3</v>
      </c>
      <c r="H293" s="12">
        <v>4.2753470761464074E-2</v>
      </c>
      <c r="I293" s="12">
        <v>4.471544715447151E-2</v>
      </c>
      <c r="J293" s="12">
        <v>7.5402518731069623E-2</v>
      </c>
      <c r="K293" s="12">
        <v>-1.2032378035440883E-2</v>
      </c>
      <c r="L293" s="12">
        <v>2.7785031597639342E-2</v>
      </c>
      <c r="M293" s="13">
        <f t="shared" si="37"/>
        <v>1.0349375130999851E-2</v>
      </c>
      <c r="N293" s="32">
        <f t="shared" si="38"/>
        <v>124.82962126811613</v>
      </c>
      <c r="O293" s="32">
        <f t="shared" si="39"/>
        <v>134.58100558659234</v>
      </c>
      <c r="P293" s="12" t="str">
        <f t="shared" si="40"/>
        <v/>
      </c>
      <c r="Q293" s="13">
        <f t="shared" si="41"/>
        <v>-3.8540372332812808E-3</v>
      </c>
      <c r="R293" s="49">
        <f t="shared" si="42"/>
        <v>1</v>
      </c>
    </row>
    <row r="294" spans="1:18" x14ac:dyDescent="0.35">
      <c r="A294" s="64" t="s">
        <v>77</v>
      </c>
      <c r="B294" s="14">
        <v>-8.4551353477093638E-3</v>
      </c>
      <c r="C294" s="12">
        <v>-1.1724474841230959E-2</v>
      </c>
      <c r="D294" s="12">
        <v>1.6595380667236981E-2</v>
      </c>
      <c r="E294" s="12">
        <v>-1.9666757716470973E-2</v>
      </c>
      <c r="F294" s="12">
        <v>7.3987713555445644E-3</v>
      </c>
      <c r="G294" s="12">
        <v>1.4577630657584884E-2</v>
      </c>
      <c r="H294" s="12">
        <v>-9.9349437692268783E-3</v>
      </c>
      <c r="I294" s="12">
        <v>-5.2943803023538516E-3</v>
      </c>
      <c r="J294" s="12">
        <v>-1.9221266923609037E-2</v>
      </c>
      <c r="K294" s="12">
        <v>1.5057573073516517E-2</v>
      </c>
      <c r="L294" s="12">
        <v>5.132374612531132E-3</v>
      </c>
      <c r="M294" s="13">
        <f t="shared" si="37"/>
        <v>5.0483690517118453E-3</v>
      </c>
      <c r="N294" s="32">
        <f t="shared" si="38"/>
        <v>125.45980726486299</v>
      </c>
      <c r="O294" s="32">
        <f t="shared" si="39"/>
        <v>133.44310496912686</v>
      </c>
      <c r="P294" s="12" t="str">
        <f t="shared" si="40"/>
        <v/>
      </c>
      <c r="Q294" s="13">
        <f t="shared" si="41"/>
        <v>1.3503504399421209E-2</v>
      </c>
      <c r="R294" s="49">
        <f t="shared" si="42"/>
        <v>1</v>
      </c>
    </row>
    <row r="295" spans="1:18" x14ac:dyDescent="0.35">
      <c r="A295" s="64" t="s">
        <v>77</v>
      </c>
      <c r="B295" s="14">
        <v>1.1744227040366706E-2</v>
      </c>
      <c r="C295" s="12">
        <v>2.1502718734552673E-2</v>
      </c>
      <c r="D295" s="12">
        <v>9.0037024570850388E-3</v>
      </c>
      <c r="E295" s="12">
        <v>9.8448964428345942E-3</v>
      </c>
      <c r="F295" s="12">
        <v>2.4014065699278886E-2</v>
      </c>
      <c r="G295" s="12">
        <v>2.2336554147320831E-2</v>
      </c>
      <c r="H295" s="12">
        <v>3.2396088019559954E-2</v>
      </c>
      <c r="I295" s="12">
        <v>3.0396306271643025E-2</v>
      </c>
      <c r="J295" s="12">
        <v>3.7231094765479256E-2</v>
      </c>
      <c r="K295" s="12">
        <v>1.068935427574158E-2</v>
      </c>
      <c r="L295" s="12">
        <v>1.7593528816986836E-2</v>
      </c>
      <c r="M295" s="13">
        <f t="shared" si="37"/>
        <v>1.5078351094912462E-2</v>
      </c>
      <c r="N295" s="32">
        <f t="shared" si="38"/>
        <v>127.35153428710264</v>
      </c>
      <c r="O295" s="32">
        <f t="shared" si="39"/>
        <v>135.01029109085579</v>
      </c>
      <c r="P295" s="12" t="str">
        <f t="shared" si="40"/>
        <v/>
      </c>
      <c r="Q295" s="13">
        <f t="shared" si="41"/>
        <v>3.3341240545457559E-3</v>
      </c>
      <c r="R295" s="49">
        <f t="shared" si="42"/>
        <v>1</v>
      </c>
    </row>
    <row r="296" spans="1:18" x14ac:dyDescent="0.35">
      <c r="A296" s="64" t="s">
        <v>77</v>
      </c>
      <c r="B296" s="14">
        <v>2.0711283402661484E-2</v>
      </c>
      <c r="C296" s="12">
        <v>3.5446406968304034E-2</v>
      </c>
      <c r="D296" s="12">
        <v>1.3927112000667208E-2</v>
      </c>
      <c r="E296" s="12">
        <v>2.6763542720500411E-2</v>
      </c>
      <c r="F296" s="12">
        <v>1.0041077133728926E-2</v>
      </c>
      <c r="G296" s="12">
        <v>2.5776359396096904E-3</v>
      </c>
      <c r="H296" s="12">
        <v>2.3139925004933781E-2</v>
      </c>
      <c r="I296" s="12">
        <v>3.9021657953696609E-2</v>
      </c>
      <c r="J296" s="12">
        <v>1.4328735185545005E-2</v>
      </c>
      <c r="K296" s="12">
        <v>-3.2376429958989039E-3</v>
      </c>
      <c r="L296" s="12">
        <v>1.5947933227345112E-2</v>
      </c>
      <c r="M296" s="13">
        <f t="shared" si="37"/>
        <v>1.7045188727631864E-2</v>
      </c>
      <c r="N296" s="32">
        <f t="shared" si="38"/>
        <v>129.52226522377978</v>
      </c>
      <c r="O296" s="32">
        <f t="shared" si="39"/>
        <v>137.80652749191432</v>
      </c>
      <c r="P296" s="12" t="str">
        <f t="shared" si="40"/>
        <v/>
      </c>
      <c r="Q296" s="13">
        <f t="shared" si="41"/>
        <v>-3.6660946750296207E-3</v>
      </c>
      <c r="R296" s="49">
        <f t="shared" si="42"/>
        <v>1</v>
      </c>
    </row>
    <row r="297" spans="1:18" x14ac:dyDescent="0.35">
      <c r="A297" s="64" t="s">
        <v>77</v>
      </c>
      <c r="B297" s="14">
        <v>3.0724588205170988E-3</v>
      </c>
      <c r="C297" s="12">
        <v>2.2783035401331864E-2</v>
      </c>
      <c r="D297" s="12">
        <v>1.1844053298239787E-2</v>
      </c>
      <c r="E297" s="12">
        <v>1.4928938253921942E-4</v>
      </c>
      <c r="F297" s="12">
        <v>8.8868805543003138E-3</v>
      </c>
      <c r="G297" s="12">
        <v>5.9990205680704456E-3</v>
      </c>
      <c r="H297" s="12">
        <v>7.8121232579446698E-3</v>
      </c>
      <c r="I297" s="12">
        <v>1.1859838274932644E-2</v>
      </c>
      <c r="J297" s="12">
        <v>1.0534884834554337E-2</v>
      </c>
      <c r="K297" s="12">
        <v>-9.9610220874837285E-3</v>
      </c>
      <c r="L297" s="12">
        <v>-1.4670644041273606E-3</v>
      </c>
      <c r="M297" s="13">
        <f t="shared" si="37"/>
        <v>3.078306744663294E-3</v>
      </c>
      <c r="N297" s="32">
        <f t="shared" si="38"/>
        <v>129.92097448640223</v>
      </c>
      <c r="O297" s="32">
        <f t="shared" si="39"/>
        <v>138.22993237283168</v>
      </c>
      <c r="P297" s="12" t="str">
        <f t="shared" si="40"/>
        <v/>
      </c>
      <c r="Q297" s="13">
        <f t="shared" si="41"/>
        <v>5.8479241461951298E-6</v>
      </c>
      <c r="R297" s="49">
        <f t="shared" si="42"/>
        <v>1</v>
      </c>
    </row>
    <row r="298" spans="1:18" x14ac:dyDescent="0.35">
      <c r="A298" s="64">
        <v>4.07</v>
      </c>
      <c r="B298" s="14">
        <v>-7.1896537054368936E-3</v>
      </c>
      <c r="C298" s="12">
        <v>-2.970070824765858E-3</v>
      </c>
      <c r="D298" s="12">
        <v>4.4708177532108984E-3</v>
      </c>
      <c r="E298" s="12">
        <v>-5.582589485625622E-3</v>
      </c>
      <c r="F298" s="12">
        <v>9.5124344153905138E-3</v>
      </c>
      <c r="G298" s="12">
        <v>9.4925155166118991E-3</v>
      </c>
      <c r="H298" s="12">
        <v>1.1483803052777519E-2</v>
      </c>
      <c r="I298" s="12">
        <v>-5.3868466228614853E-3</v>
      </c>
      <c r="J298" s="12">
        <v>-1.6443159740321289E-2</v>
      </c>
      <c r="K298" s="12">
        <v>9.8425196850393526E-3</v>
      </c>
      <c r="L298" s="12">
        <v>-2.9384396885256958E-4</v>
      </c>
      <c r="M298" s="13">
        <f t="shared" si="37"/>
        <v>1.5674459370049036E-3</v>
      </c>
      <c r="N298" s="32">
        <f t="shared" si="38"/>
        <v>130.12461858999268</v>
      </c>
      <c r="O298" s="32">
        <f t="shared" si="39"/>
        <v>137.23610702734507</v>
      </c>
      <c r="P298" s="12" t="str">
        <f t="shared" si="40"/>
        <v/>
      </c>
      <c r="Q298" s="13">
        <f t="shared" si="41"/>
        <v>8.7570996424417968E-3</v>
      </c>
      <c r="R298" s="49">
        <f t="shared" si="42"/>
        <v>1</v>
      </c>
    </row>
    <row r="299" spans="1:18" x14ac:dyDescent="0.35">
      <c r="A299" s="64" t="s">
        <v>77</v>
      </c>
      <c r="B299" s="14">
        <v>9.5556412563739812E-3</v>
      </c>
      <c r="C299" s="12">
        <v>2.8013290559119941E-2</v>
      </c>
      <c r="D299" s="12">
        <v>4.2081411345795683E-3</v>
      </c>
      <c r="E299" s="12">
        <v>2.8339837886520503E-2</v>
      </c>
      <c r="F299" s="12">
        <v>1.0373531648778966E-2</v>
      </c>
      <c r="G299" s="12">
        <v>-2.4713682941530646E-3</v>
      </c>
      <c r="H299" s="12">
        <v>9.5084914139742516E-3</v>
      </c>
      <c r="I299" s="12">
        <v>-5.8921556957505228E-3</v>
      </c>
      <c r="J299" s="12">
        <v>-1.2044709963384137E-2</v>
      </c>
      <c r="K299" s="12">
        <v>1.8193632228719947E-2</v>
      </c>
      <c r="L299" s="12">
        <v>-3.2822221133590457E-3</v>
      </c>
      <c r="M299" s="13">
        <f t="shared" si="37"/>
        <v>7.4710375451613169E-3</v>
      </c>
      <c r="N299" s="32">
        <f t="shared" si="38"/>
        <v>131.09678450102831</v>
      </c>
      <c r="O299" s="32">
        <f t="shared" si="39"/>
        <v>138.54748603351973</v>
      </c>
      <c r="P299" s="12" t="str">
        <f t="shared" si="40"/>
        <v/>
      </c>
      <c r="Q299" s="13">
        <f t="shared" si="41"/>
        <v>-2.0846037112126643E-3</v>
      </c>
      <c r="R299" s="49">
        <f t="shared" si="42"/>
        <v>1</v>
      </c>
    </row>
    <row r="300" spans="1:18" x14ac:dyDescent="0.35">
      <c r="A300" s="64" t="s">
        <v>77</v>
      </c>
      <c r="B300" s="14">
        <v>-9.1256366723260207E-3</v>
      </c>
      <c r="C300" s="12">
        <v>-2.0674282529952515E-2</v>
      </c>
      <c r="D300" s="12">
        <v>-1.2168587315658064E-2</v>
      </c>
      <c r="E300" s="12">
        <v>-9.1668126350208379E-3</v>
      </c>
      <c r="F300" s="12">
        <v>-1.881939652469411E-4</v>
      </c>
      <c r="G300" s="12">
        <v>1.7886277116441862E-2</v>
      </c>
      <c r="H300" s="12">
        <v>-1.1152764761012124E-2</v>
      </c>
      <c r="I300" s="12">
        <v>-2.2331317727354305E-2</v>
      </c>
      <c r="J300" s="12">
        <v>-3.7354920511069922E-2</v>
      </c>
      <c r="K300" s="12">
        <v>1.8081259306530484E-2</v>
      </c>
      <c r="L300" s="12">
        <v>-1.0862085913693198E-2</v>
      </c>
      <c r="M300" s="13">
        <f t="shared" si="37"/>
        <v>-6.7170247869530221E-3</v>
      </c>
      <c r="N300" s="32">
        <f t="shared" si="38"/>
        <v>130.21620415004506</v>
      </c>
      <c r="O300" s="32">
        <f t="shared" si="39"/>
        <v>137.28315201411365</v>
      </c>
      <c r="P300" s="12">
        <f t="shared" si="40"/>
        <v>-6.7170247869530221E-3</v>
      </c>
      <c r="Q300" s="13">
        <f t="shared" si="41"/>
        <v>2.4086118853729986E-3</v>
      </c>
      <c r="R300" s="49" t="str">
        <f t="shared" si="42"/>
        <v/>
      </c>
    </row>
    <row r="301" spans="1:18" x14ac:dyDescent="0.35">
      <c r="A301" s="64" t="s">
        <v>77</v>
      </c>
      <c r="B301" s="14">
        <v>-7.4748340115655676E-3</v>
      </c>
      <c r="C301" s="12">
        <v>-8.0232161147149039E-3</v>
      </c>
      <c r="D301" s="12">
        <v>9.6263664545603866E-3</v>
      </c>
      <c r="E301" s="12">
        <v>-3.2586918090748429E-2</v>
      </c>
      <c r="F301" s="12">
        <v>2.7606977036014335E-3</v>
      </c>
      <c r="G301" s="12">
        <v>1.0923122588305079E-2</v>
      </c>
      <c r="H301" s="12">
        <v>-4.928442801630295E-3</v>
      </c>
      <c r="I301" s="12">
        <v>-2.7556644213105885E-3</v>
      </c>
      <c r="J301" s="12">
        <v>-9.6251266464032481E-3</v>
      </c>
      <c r="K301" s="12">
        <v>9.4024237358965035E-3</v>
      </c>
      <c r="L301" s="12">
        <v>1.9378881987577312E-3</v>
      </c>
      <c r="M301" s="13">
        <f t="shared" si="37"/>
        <v>1.948894281164859E-5</v>
      </c>
      <c r="N301" s="32">
        <f t="shared" si="38"/>
        <v>130.21874192620089</v>
      </c>
      <c r="O301" s="32">
        <f t="shared" si="39"/>
        <v>136.25698324022363</v>
      </c>
      <c r="P301" s="12" t="str">
        <f t="shared" si="40"/>
        <v/>
      </c>
      <c r="Q301" s="13">
        <f t="shared" si="41"/>
        <v>7.4943229543772165E-3</v>
      </c>
      <c r="R301" s="49">
        <f t="shared" si="42"/>
        <v>1</v>
      </c>
    </row>
    <row r="302" spans="1:18" x14ac:dyDescent="0.35">
      <c r="A302" s="64" t="s">
        <v>77</v>
      </c>
      <c r="B302" s="14">
        <v>1.6357005675319725E-2</v>
      </c>
      <c r="C302" s="12">
        <v>2.8509149314518423E-2</v>
      </c>
      <c r="D302" s="12">
        <v>-5.2521008403362268E-3</v>
      </c>
      <c r="E302" s="12">
        <v>1.9217883900834565E-2</v>
      </c>
      <c r="F302" s="12">
        <v>3.1118341467484267E-2</v>
      </c>
      <c r="G302" s="12">
        <v>4.9914851136296789E-3</v>
      </c>
      <c r="H302" s="12">
        <v>1.109629488522712E-2</v>
      </c>
      <c r="I302" s="12">
        <v>-3.7457783236105602E-3</v>
      </c>
      <c r="J302" s="12">
        <v>-3.580562659846187E-4</v>
      </c>
      <c r="K302" s="12">
        <v>5.7959014696751243E-3</v>
      </c>
      <c r="L302" s="12">
        <v>4.5129934536800587E-3</v>
      </c>
      <c r="M302" s="13">
        <f t="shared" si="37"/>
        <v>2.5710916336703533E-3</v>
      </c>
      <c r="N302" s="32">
        <f t="shared" si="38"/>
        <v>130.55354624411441</v>
      </c>
      <c r="O302" s="32">
        <f t="shared" si="39"/>
        <v>138.48573948838592</v>
      </c>
      <c r="P302" s="12" t="str">
        <f t="shared" si="40"/>
        <v/>
      </c>
      <c r="Q302" s="13">
        <f t="shared" si="41"/>
        <v>-1.3785914041649371E-2</v>
      </c>
      <c r="R302" s="49">
        <f t="shared" si="42"/>
        <v>1</v>
      </c>
    </row>
    <row r="303" spans="1:18" x14ac:dyDescent="0.35">
      <c r="A303" s="64">
        <v>4.0599999999999996</v>
      </c>
      <c r="B303" s="14">
        <v>-8.7475317947302011E-3</v>
      </c>
      <c r="C303" s="12">
        <v>-3.9263803680981701E-2</v>
      </c>
      <c r="D303" s="12">
        <v>2.2906343920071626E-2</v>
      </c>
      <c r="E303" s="12">
        <v>-2.9134917077543676E-2</v>
      </c>
      <c r="F303" s="12">
        <v>-3.0745580322828481E-3</v>
      </c>
      <c r="G303" s="12">
        <v>1.0926726656538488E-2</v>
      </c>
      <c r="H303" s="12">
        <v>9.7027930855824174E-3</v>
      </c>
      <c r="I303" s="12">
        <v>4.6844181459566592E-3</v>
      </c>
      <c r="J303" s="12">
        <v>-2.3742516502072375E-2</v>
      </c>
      <c r="K303" s="12">
        <v>-1.6670096727721795E-2</v>
      </c>
      <c r="L303" s="12">
        <v>1.7872130338187908E-2</v>
      </c>
      <c r="M303" s="13">
        <f t="shared" si="37"/>
        <v>2.4552089931019383E-3</v>
      </c>
      <c r="N303" s="32">
        <f t="shared" si="38"/>
        <v>130.87408248493432</v>
      </c>
      <c r="O303" s="32">
        <f t="shared" si="39"/>
        <v>137.27433107909454</v>
      </c>
      <c r="P303" s="12" t="str">
        <f t="shared" si="40"/>
        <v/>
      </c>
      <c r="Q303" s="13">
        <f t="shared" si="41"/>
        <v>1.1202740787832139E-2</v>
      </c>
      <c r="R303" s="49">
        <f t="shared" si="42"/>
        <v>1</v>
      </c>
    </row>
    <row r="304" spans="1:18" x14ac:dyDescent="0.35">
      <c r="A304" s="64" t="s">
        <v>77</v>
      </c>
      <c r="B304" s="14">
        <v>-1.030265384368223E-2</v>
      </c>
      <c r="C304" s="12">
        <v>-6.5017996052478821E-3</v>
      </c>
      <c r="D304" s="12">
        <v>1.1673151750972721E-2</v>
      </c>
      <c r="E304" s="12">
        <v>-3.3856571252691703E-3</v>
      </c>
      <c r="F304" s="12">
        <v>-1.1646309296757695E-2</v>
      </c>
      <c r="G304" s="12">
        <v>-2.7628460782613717E-2</v>
      </c>
      <c r="H304" s="12">
        <v>-1.1615431263703013E-2</v>
      </c>
      <c r="I304" s="12">
        <v>-1.8343558282208683E-2</v>
      </c>
      <c r="J304" s="12">
        <v>9.6441113265894884E-3</v>
      </c>
      <c r="K304" s="12">
        <v>-3.2021766429468412E-2</v>
      </c>
      <c r="L304" s="12">
        <v>-2.3281757772711797E-2</v>
      </c>
      <c r="M304" s="13">
        <f t="shared" si="37"/>
        <v>-1.1923437912225367E-2</v>
      </c>
      <c r="N304" s="32">
        <f t="shared" si="38"/>
        <v>129.31361348810574</v>
      </c>
      <c r="O304" s="32">
        <f t="shared" si="39"/>
        <v>135.86004116436359</v>
      </c>
      <c r="P304" s="12">
        <f t="shared" si="40"/>
        <v>-1.1923437912225367E-2</v>
      </c>
      <c r="Q304" s="13">
        <f t="shared" si="41"/>
        <v>-1.6207840685431366E-3</v>
      </c>
      <c r="R304" s="49" t="str">
        <f t="shared" si="42"/>
        <v/>
      </c>
    </row>
    <row r="305" spans="1:18" x14ac:dyDescent="0.35">
      <c r="A305" s="64" t="s">
        <v>77</v>
      </c>
      <c r="B305" s="14">
        <v>-1.1383802969311407E-2</v>
      </c>
      <c r="C305" s="12">
        <v>-8.122005375715724E-3</v>
      </c>
      <c r="D305" s="12">
        <v>-2.6687598116169609E-3</v>
      </c>
      <c r="E305" s="12">
        <v>-1.2013588634959826E-2</v>
      </c>
      <c r="F305" s="12">
        <v>-6.9592708162259376E-3</v>
      </c>
      <c r="G305" s="12">
        <v>-2.8532366403137832E-3</v>
      </c>
      <c r="H305" s="12">
        <v>-1.4819709269397685E-2</v>
      </c>
      <c r="I305" s="12">
        <v>-2.5748390725579662E-2</v>
      </c>
      <c r="J305" s="12">
        <v>-2.1543892436276857E-2</v>
      </c>
      <c r="K305" s="12">
        <v>3.2432432432432101E-3</v>
      </c>
      <c r="L305" s="12">
        <v>-2.9348959626558035E-2</v>
      </c>
      <c r="M305" s="13">
        <f t="shared" si="37"/>
        <v>-1.1627298272588555E-2</v>
      </c>
      <c r="N305" s="32">
        <f t="shared" si="38"/>
        <v>127.81004553337331</v>
      </c>
      <c r="O305" s="32">
        <f t="shared" si="39"/>
        <v>134.31343722434593</v>
      </c>
      <c r="P305" s="12">
        <f t="shared" si="40"/>
        <v>-1.1627298272588555E-2</v>
      </c>
      <c r="Q305" s="13">
        <f t="shared" si="41"/>
        <v>-2.4349530327714801E-4</v>
      </c>
      <c r="R305" s="49" t="str">
        <f t="shared" si="42"/>
        <v/>
      </c>
    </row>
    <row r="306" spans="1:18" x14ac:dyDescent="0.35">
      <c r="A306" s="64" t="s">
        <v>77</v>
      </c>
      <c r="B306" s="14">
        <v>1.7775831873905412E-2</v>
      </c>
      <c r="C306" s="12">
        <v>1.9086892488954454E-2</v>
      </c>
      <c r="D306" s="12">
        <v>1.5032268219738576E-2</v>
      </c>
      <c r="E306" s="12">
        <v>2.3068988152918024E-2</v>
      </c>
      <c r="F306" s="12">
        <v>7.1940958799330268E-3</v>
      </c>
      <c r="G306" s="12">
        <v>-3.2190760059611634E-3</v>
      </c>
      <c r="H306" s="12">
        <v>3.1809907061415954E-2</v>
      </c>
      <c r="I306" s="12">
        <v>3.220219385464107E-2</v>
      </c>
      <c r="J306" s="12">
        <v>5.8573853989813296E-2</v>
      </c>
      <c r="K306" s="12">
        <v>3.0172413793103647E-3</v>
      </c>
      <c r="L306" s="12">
        <v>1.4580988437531861E-2</v>
      </c>
      <c r="M306" s="13">
        <f t="shared" si="37"/>
        <v>1.66894307384183E-2</v>
      </c>
      <c r="N306" s="32">
        <f t="shared" si="38"/>
        <v>129.94312243597662</v>
      </c>
      <c r="O306" s="32">
        <f t="shared" si="39"/>
        <v>136.70097030285226</v>
      </c>
      <c r="P306" s="12" t="str">
        <f t="shared" si="40"/>
        <v/>
      </c>
      <c r="Q306" s="13">
        <f t="shared" si="41"/>
        <v>-1.0864011354871118E-3</v>
      </c>
      <c r="R306" s="49">
        <f t="shared" si="42"/>
        <v>1</v>
      </c>
    </row>
    <row r="307" spans="1:18" x14ac:dyDescent="0.35">
      <c r="A307" s="64" t="s">
        <v>77</v>
      </c>
      <c r="B307" s="14">
        <v>1.0195302417620455E-2</v>
      </c>
      <c r="C307" s="12">
        <v>1.5318804555176424E-2</v>
      </c>
      <c r="D307" s="12">
        <v>6.047918120493101E-3</v>
      </c>
      <c r="E307" s="12">
        <v>1.8057380304928206E-2</v>
      </c>
      <c r="F307" s="12">
        <v>1.4203320949898401E-2</v>
      </c>
      <c r="G307" s="12">
        <v>4.3059625620476272E-3</v>
      </c>
      <c r="H307" s="12">
        <v>1.1978828117745532E-2</v>
      </c>
      <c r="I307" s="12">
        <v>9.6948604810143113E-3</v>
      </c>
      <c r="J307" s="12">
        <v>1.0876102646351082E-2</v>
      </c>
      <c r="K307" s="12">
        <v>1.2892135797164528E-3</v>
      </c>
      <c r="L307" s="12">
        <v>1.9363622611063613E-2</v>
      </c>
      <c r="M307" s="13">
        <f t="shared" si="37"/>
        <v>9.619175573702482E-3</v>
      </c>
      <c r="N307" s="32">
        <f t="shared" si="38"/>
        <v>131.19306814528341</v>
      </c>
      <c r="O307" s="32">
        <f t="shared" si="39"/>
        <v>138.09467803587199</v>
      </c>
      <c r="P307" s="12" t="str">
        <f t="shared" si="40"/>
        <v/>
      </c>
      <c r="Q307" s="13">
        <f t="shared" si="41"/>
        <v>-5.7612684391797342E-4</v>
      </c>
      <c r="R307" s="49">
        <f t="shared" si="42"/>
        <v>1</v>
      </c>
    </row>
    <row r="308" spans="1:18" x14ac:dyDescent="0.35">
      <c r="A308" s="64">
        <v>4.0599999999999996</v>
      </c>
      <c r="B308" s="14">
        <v>6.2172635523569664E-3</v>
      </c>
      <c r="C308" s="12">
        <v>3.6438168982009245E-3</v>
      </c>
      <c r="D308" s="12">
        <v>6.7822736030829223E-3</v>
      </c>
      <c r="E308" s="12">
        <v>4.4717887154861469E-3</v>
      </c>
      <c r="F308" s="12">
        <v>2.5296986622953543E-3</v>
      </c>
      <c r="G308" s="12">
        <v>1.9055558863811939E-3</v>
      </c>
      <c r="H308" s="12">
        <v>-6.1479170489998625E-3</v>
      </c>
      <c r="I308" s="12">
        <v>1.0586569828275882E-2</v>
      </c>
      <c r="J308" s="12">
        <v>1.2544003173186491E-2</v>
      </c>
      <c r="K308" s="12">
        <v>-2.1459227467811592E-3</v>
      </c>
      <c r="L308" s="12">
        <v>2.003462775166942E-2</v>
      </c>
      <c r="M308" s="13">
        <f t="shared" si="37"/>
        <v>7.4506214127899517E-3</v>
      </c>
      <c r="N308" s="32">
        <f t="shared" si="38"/>
        <v>132.17053802801624</v>
      </c>
      <c r="O308" s="32">
        <f t="shared" si="39"/>
        <v>138.95324904439889</v>
      </c>
      <c r="P308" s="12" t="str">
        <f t="shared" si="40"/>
        <v/>
      </c>
      <c r="Q308" s="13">
        <f t="shared" si="41"/>
        <v>1.2333578604329853E-3</v>
      </c>
      <c r="R308" s="49">
        <f t="shared" si="42"/>
        <v>1</v>
      </c>
    </row>
    <row r="309" spans="1:18" x14ac:dyDescent="0.35">
      <c r="A309" s="64" t="s">
        <v>77</v>
      </c>
      <c r="B309" s="14">
        <v>1.3838926742562041E-2</v>
      </c>
      <c r="C309" s="12">
        <v>2.2974812797821764E-2</v>
      </c>
      <c r="D309" s="12">
        <v>7.5786572762766014E-3</v>
      </c>
      <c r="E309" s="12">
        <v>2.3185634467716376E-2</v>
      </c>
      <c r="F309" s="12">
        <v>8.3168476724937435E-3</v>
      </c>
      <c r="G309" s="12">
        <v>8.4398216939078896E-3</v>
      </c>
      <c r="H309" s="12">
        <v>4.6625427015047904E-3</v>
      </c>
      <c r="I309" s="12">
        <v>1.2181009805711795E-3</v>
      </c>
      <c r="J309" s="12">
        <v>-5.1415140534718518E-3</v>
      </c>
      <c r="K309" s="12">
        <v>9.0322580645161299E-3</v>
      </c>
      <c r="L309" s="12">
        <v>8.7293889427741966E-4</v>
      </c>
      <c r="M309" s="13">
        <f t="shared" si="37"/>
        <v>7.7065381257479361E-3</v>
      </c>
      <c r="N309" s="32">
        <f t="shared" si="38"/>
        <v>133.18911531842977</v>
      </c>
      <c r="O309" s="32">
        <f t="shared" si="39"/>
        <v>140.8762128785653</v>
      </c>
      <c r="P309" s="12" t="str">
        <f t="shared" si="40"/>
        <v/>
      </c>
      <c r="Q309" s="13">
        <f t="shared" si="41"/>
        <v>-6.1323886168141049E-3</v>
      </c>
      <c r="R309" s="49">
        <f t="shared" si="42"/>
        <v>1</v>
      </c>
    </row>
    <row r="310" spans="1:18" x14ac:dyDescent="0.35">
      <c r="A310" s="64" t="s">
        <v>77</v>
      </c>
      <c r="B310" s="14">
        <v>-1.0018367006178197E-3</v>
      </c>
      <c r="C310" s="12">
        <v>-5.767204569400608E-3</v>
      </c>
      <c r="D310" s="12">
        <v>7.6736058349793357E-3</v>
      </c>
      <c r="E310" s="12">
        <v>-3.504161191414723E-3</v>
      </c>
      <c r="F310" s="12">
        <v>6.8868868868869892E-3</v>
      </c>
      <c r="G310" s="12">
        <v>4.0077798078623772E-3</v>
      </c>
      <c r="H310" s="12">
        <v>1.9298809906722614E-3</v>
      </c>
      <c r="I310" s="12">
        <v>1.2166190157558709E-4</v>
      </c>
      <c r="J310" s="12">
        <v>1.4569080080720553E-2</v>
      </c>
      <c r="K310" s="12">
        <v>1.4279624893435594E-2</v>
      </c>
      <c r="L310" s="12">
        <v>1.1629033821107804E-3</v>
      </c>
      <c r="M310" s="13">
        <f t="shared" si="37"/>
        <v>5.0371393518073579E-3</v>
      </c>
      <c r="N310" s="32">
        <f t="shared" si="38"/>
        <v>133.86000745243265</v>
      </c>
      <c r="O310" s="32">
        <f t="shared" si="39"/>
        <v>140.73507791825949</v>
      </c>
      <c r="P310" s="12" t="str">
        <f t="shared" si="40"/>
        <v/>
      </c>
      <c r="Q310" s="13">
        <f t="shared" si="41"/>
        <v>6.0389760524251776E-3</v>
      </c>
      <c r="R310" s="49">
        <f t="shared" si="42"/>
        <v>1</v>
      </c>
    </row>
    <row r="311" spans="1:18" x14ac:dyDescent="0.35">
      <c r="A311" s="64" t="s">
        <v>77</v>
      </c>
      <c r="B311" s="14">
        <v>1.3997994317234141E-3</v>
      </c>
      <c r="C311" s="12">
        <v>5.0198003234980249E-4</v>
      </c>
      <c r="D311" s="12">
        <v>5.4286360551911716E-3</v>
      </c>
      <c r="E311" s="12">
        <v>2.0512820512819108E-3</v>
      </c>
      <c r="F311" s="12">
        <v>5.2491350856960217E-3</v>
      </c>
      <c r="G311" s="12">
        <v>7.0443205165835465E-3</v>
      </c>
      <c r="H311" s="12">
        <v>5.5033249254754502E-4</v>
      </c>
      <c r="I311" s="12">
        <v>-3.5277659509761472E-3</v>
      </c>
      <c r="J311" s="12">
        <v>-1.1982729345558663E-2</v>
      </c>
      <c r="K311" s="12">
        <v>-4.202563563774353E-4</v>
      </c>
      <c r="L311" s="12">
        <v>3.4362598006001388E-3</v>
      </c>
      <c r="M311" s="13">
        <f t="shared" si="37"/>
        <v>1.5870828852318523E-3</v>
      </c>
      <c r="N311" s="32">
        <f t="shared" si="38"/>
        <v>134.07245437927742</v>
      </c>
      <c r="O311" s="32">
        <f t="shared" si="39"/>
        <v>140.93207880035303</v>
      </c>
      <c r="P311" s="12" t="str">
        <f t="shared" si="40"/>
        <v/>
      </c>
      <c r="Q311" s="13">
        <f t="shared" si="41"/>
        <v>1.8728345350843816E-4</v>
      </c>
      <c r="R311" s="49">
        <f t="shared" si="42"/>
        <v>1</v>
      </c>
    </row>
    <row r="312" spans="1:18" x14ac:dyDescent="0.35">
      <c r="A312" s="64" t="s">
        <v>77</v>
      </c>
      <c r="B312" s="14">
        <v>-3.0043187081431055E-3</v>
      </c>
      <c r="C312" s="12">
        <v>-6.5782138476976337E-3</v>
      </c>
      <c r="D312" s="12">
        <v>4.1994750656169089E-3</v>
      </c>
      <c r="E312" s="12">
        <v>-7.6911829214797445E-3</v>
      </c>
      <c r="F312" s="12">
        <v>-2.2746152933263986E-3</v>
      </c>
      <c r="G312" s="12">
        <v>4.4301952783445397E-3</v>
      </c>
      <c r="H312" s="12">
        <v>-1.3750744832010664E-3</v>
      </c>
      <c r="I312" s="12">
        <v>2.0142830983336246E-3</v>
      </c>
      <c r="J312" s="12">
        <v>-4.6646371403318287E-3</v>
      </c>
      <c r="K312" s="12">
        <v>3.1532478452807045E-3</v>
      </c>
      <c r="L312" s="12">
        <v>-6.0290358365889807E-3</v>
      </c>
      <c r="M312" s="13">
        <f t="shared" si="37"/>
        <v>1.5244048705992884E-4</v>
      </c>
      <c r="N312" s="32">
        <f t="shared" si="38"/>
        <v>134.0928924495243</v>
      </c>
      <c r="O312" s="32">
        <f t="shared" si="39"/>
        <v>140.50867391943564</v>
      </c>
      <c r="P312" s="12" t="str">
        <f t="shared" si="40"/>
        <v/>
      </c>
      <c r="Q312" s="13">
        <f t="shared" si="41"/>
        <v>3.1567591952030346E-3</v>
      </c>
      <c r="R312" s="49">
        <f t="shared" si="42"/>
        <v>1</v>
      </c>
    </row>
    <row r="313" spans="1:18" x14ac:dyDescent="0.35">
      <c r="A313" s="64">
        <v>4.07</v>
      </c>
      <c r="B313" s="14">
        <v>-2.6157741645217447E-3</v>
      </c>
      <c r="C313" s="12">
        <v>-3.5353535353535026E-3</v>
      </c>
      <c r="D313" s="12">
        <v>-1.8669255470091795E-3</v>
      </c>
      <c r="E313" s="12">
        <v>-8.8412118354356251E-3</v>
      </c>
      <c r="F313" s="12">
        <v>-4.5397775707234356E-3</v>
      </c>
      <c r="G313" s="12">
        <v>-7.1963321919795709E-3</v>
      </c>
      <c r="H313" s="12">
        <v>-5.3242759443704601E-3</v>
      </c>
      <c r="I313" s="12">
        <v>-3.4113060428849762E-3</v>
      </c>
      <c r="J313" s="12">
        <v>-6.8570864782201424E-3</v>
      </c>
      <c r="K313" s="12">
        <v>1.0687342833193503E-2</v>
      </c>
      <c r="L313" s="12">
        <v>3.2026397515527716E-3</v>
      </c>
      <c r="M313" s="13">
        <f t="shared" si="37"/>
        <v>5.3861250723157223E-4</v>
      </c>
      <c r="N313" s="32">
        <f t="shared" si="38"/>
        <v>134.16511655852847</v>
      </c>
      <c r="O313" s="32">
        <f t="shared" si="39"/>
        <v>140.14113496030598</v>
      </c>
      <c r="P313" s="12" t="str">
        <f t="shared" si="40"/>
        <v/>
      </c>
      <c r="Q313" s="13">
        <f t="shared" si="41"/>
        <v>3.1543866717533169E-3</v>
      </c>
      <c r="R313" s="49">
        <f t="shared" si="42"/>
        <v>1</v>
      </c>
    </row>
    <row r="314" spans="1:18" x14ac:dyDescent="0.35">
      <c r="A314" s="64" t="s">
        <v>77</v>
      </c>
      <c r="B314" s="14">
        <v>6.3782468213673393E-3</v>
      </c>
      <c r="C314" s="12">
        <v>2.5004223686433402E-2</v>
      </c>
      <c r="D314" s="12">
        <v>1.7806374382762113E-2</v>
      </c>
      <c r="E314" s="12">
        <v>-4.6681731684110606E-3</v>
      </c>
      <c r="F314" s="12">
        <v>2.788067072927447E-4</v>
      </c>
      <c r="G314" s="12">
        <v>2.7474133395686273E-3</v>
      </c>
      <c r="H314" s="12">
        <v>2.1780259332748741E-2</v>
      </c>
      <c r="I314" s="12">
        <v>2.8178484107579616E-2</v>
      </c>
      <c r="J314" s="12">
        <v>3.2485595072521356E-2</v>
      </c>
      <c r="K314" s="12">
        <v>-2.0733982998133449E-4</v>
      </c>
      <c r="L314" s="12">
        <v>1.2576182644867817E-3</v>
      </c>
      <c r="M314" s="13">
        <f t="shared" si="37"/>
        <v>9.8347092580694066E-3</v>
      </c>
      <c r="N314" s="32">
        <f t="shared" si="38"/>
        <v>135.4845914724566</v>
      </c>
      <c r="O314" s="32">
        <f t="shared" si="39"/>
        <v>141.03498970890936</v>
      </c>
      <c r="P314" s="12" t="str">
        <f t="shared" si="40"/>
        <v/>
      </c>
      <c r="Q314" s="13">
        <f t="shared" si="41"/>
        <v>3.4564624367020673E-3</v>
      </c>
      <c r="R314" s="49">
        <f t="shared" si="42"/>
        <v>1</v>
      </c>
    </row>
    <row r="315" spans="1:18" x14ac:dyDescent="0.35">
      <c r="A315" s="64" t="s">
        <v>77</v>
      </c>
      <c r="B315" s="14">
        <v>-6.4629112287872825E-4</v>
      </c>
      <c r="C315" s="12">
        <v>-1.2691610351079574E-2</v>
      </c>
      <c r="D315" s="12">
        <v>1.4554542781535007E-2</v>
      </c>
      <c r="E315" s="12">
        <v>-1.7147124719940288E-2</v>
      </c>
      <c r="F315" s="12">
        <v>-2.2656685514055863E-2</v>
      </c>
      <c r="G315" s="12">
        <v>-2.6815902996384366E-3</v>
      </c>
      <c r="H315" s="12">
        <v>4.651582893013595E-3</v>
      </c>
      <c r="I315" s="12">
        <v>3.2102728731942198E-2</v>
      </c>
      <c r="J315" s="12">
        <v>2.7759068603868009E-2</v>
      </c>
      <c r="K315" s="12">
        <v>-1.8457071754458765E-2</v>
      </c>
      <c r="L315" s="12">
        <v>5.3526570048309186E-2</v>
      </c>
      <c r="M315" s="13">
        <f t="shared" si="37"/>
        <v>1.2772711773777871E-2</v>
      </c>
      <c r="N315" s="32">
        <f t="shared" si="38"/>
        <v>137.21509710912233</v>
      </c>
      <c r="O315" s="32">
        <f t="shared" si="39"/>
        <v>140.9438400470452</v>
      </c>
      <c r="P315" s="12" t="str">
        <f t="shared" si="40"/>
        <v/>
      </c>
      <c r="Q315" s="13">
        <f t="shared" si="41"/>
        <v>1.3419002896656599E-2</v>
      </c>
      <c r="R315" s="49">
        <f t="shared" si="42"/>
        <v>1</v>
      </c>
    </row>
    <row r="316" spans="1:18" x14ac:dyDescent="0.35">
      <c r="A316" s="64" t="s">
        <v>77</v>
      </c>
      <c r="B316" s="14">
        <v>-1.9380410973192763E-2</v>
      </c>
      <c r="C316" s="12">
        <v>-2.6599888703394581E-2</v>
      </c>
      <c r="D316" s="12">
        <v>1.4490653528473896E-3</v>
      </c>
      <c r="E316" s="12">
        <v>-3.8387890945563941E-2</v>
      </c>
      <c r="F316" s="12">
        <v>-2.4648604603788593E-3</v>
      </c>
      <c r="G316" s="12">
        <v>6.6635492167406163E-3</v>
      </c>
      <c r="H316" s="12">
        <v>-1.1058167760496285E-2</v>
      </c>
      <c r="I316" s="12">
        <v>-1.0656068198836577E-2</v>
      </c>
      <c r="J316" s="12">
        <v>-2.6213546786499897E-3</v>
      </c>
      <c r="K316" s="12">
        <v>1.3522079019649302E-2</v>
      </c>
      <c r="L316" s="12">
        <v>7.6577402787967319E-3</v>
      </c>
      <c r="M316" s="13">
        <f t="shared" si="37"/>
        <v>-2.6582329104723442E-3</v>
      </c>
      <c r="N316" s="32">
        <f t="shared" si="38"/>
        <v>136.8503474221732</v>
      </c>
      <c r="O316" s="32">
        <f t="shared" si="39"/>
        <v>138.21229050279351</v>
      </c>
      <c r="P316" s="12">
        <f t="shared" si="40"/>
        <v>-2.6582329104723442E-3</v>
      </c>
      <c r="Q316" s="13">
        <f t="shared" si="41"/>
        <v>1.672217806272042E-2</v>
      </c>
      <c r="R316" s="49" t="str">
        <f t="shared" si="42"/>
        <v/>
      </c>
    </row>
    <row r="317" spans="1:18" x14ac:dyDescent="0.35">
      <c r="A317" s="64" t="s">
        <v>77</v>
      </c>
      <c r="B317" s="14">
        <v>-9.5732459685993199E-4</v>
      </c>
      <c r="C317" s="12">
        <v>-1.669334552938484E-2</v>
      </c>
      <c r="D317" s="12">
        <v>-2.0836347851251547E-2</v>
      </c>
      <c r="E317" s="12">
        <v>-7.9018901321196156E-3</v>
      </c>
      <c r="F317" s="12">
        <v>-4.0923849782515509E-2</v>
      </c>
      <c r="G317" s="12">
        <v>-3.4258506561375413E-3</v>
      </c>
      <c r="H317" s="12">
        <v>-1.136363636363602E-3</v>
      </c>
      <c r="I317" s="12">
        <v>6.6371681415930972E-3</v>
      </c>
      <c r="J317" s="12">
        <v>-8.1193973811423126E-3</v>
      </c>
      <c r="K317" s="12">
        <v>-2.7100271002709064E-3</v>
      </c>
      <c r="L317" s="12">
        <v>1.0193401592718976E-2</v>
      </c>
      <c r="M317" s="13">
        <f t="shared" si="37"/>
        <v>-4.4139406490112379E-3</v>
      </c>
      <c r="N317" s="32">
        <f t="shared" si="38"/>
        <v>136.24629811085515</v>
      </c>
      <c r="O317" s="32">
        <f t="shared" si="39"/>
        <v>138.07997647750685</v>
      </c>
      <c r="P317" s="12">
        <f t="shared" si="40"/>
        <v>-4.4139406490112379E-3</v>
      </c>
      <c r="Q317" s="13">
        <f t="shared" si="41"/>
        <v>-3.4566160521513059E-3</v>
      </c>
      <c r="R317" s="49" t="str">
        <f t="shared" si="42"/>
        <v/>
      </c>
    </row>
    <row r="318" spans="1:18" x14ac:dyDescent="0.35">
      <c r="A318" s="64">
        <v>4.0599999999999996</v>
      </c>
      <c r="B318" s="14">
        <v>-4.0672047017739077E-3</v>
      </c>
      <c r="C318" s="12">
        <v>9.8837209302327089E-4</v>
      </c>
      <c r="D318" s="12">
        <v>-3.7682872764888131E-3</v>
      </c>
      <c r="E318" s="12">
        <v>5.0974894864297404E-4</v>
      </c>
      <c r="F318" s="12">
        <v>-2.3528159267539595E-2</v>
      </c>
      <c r="G318" s="12">
        <v>1.3517450329196379E-2</v>
      </c>
      <c r="H318" s="12">
        <v>-1.2696245733788358E-2</v>
      </c>
      <c r="I318" s="12">
        <v>8.5598611914401435E-3</v>
      </c>
      <c r="J318" s="12">
        <v>1.9683921642850377E-2</v>
      </c>
      <c r="K318" s="12">
        <v>9.6153846153845812E-3</v>
      </c>
      <c r="L318" s="12">
        <v>9.910356322356817E-3</v>
      </c>
      <c r="M318" s="13">
        <f t="shared" si="37"/>
        <v>4.5219561630224225E-3</v>
      </c>
      <c r="N318" s="32">
        <f t="shared" si="38"/>
        <v>136.86239789828653</v>
      </c>
      <c r="O318" s="32">
        <f t="shared" si="39"/>
        <v>137.51837694795671</v>
      </c>
      <c r="P318" s="12" t="str">
        <f t="shared" si="40"/>
        <v/>
      </c>
      <c r="Q318" s="13">
        <f t="shared" si="41"/>
        <v>8.5891608647963302E-3</v>
      </c>
      <c r="R318" s="49">
        <f t="shared" si="42"/>
        <v>1</v>
      </c>
    </row>
    <row r="319" spans="1:18" x14ac:dyDescent="0.35">
      <c r="A319" s="64" t="s">
        <v>77</v>
      </c>
      <c r="B319" s="14">
        <v>-1.4325422279238831E-3</v>
      </c>
      <c r="C319" s="12">
        <v>1.1616425625837756E-4</v>
      </c>
      <c r="D319" s="12">
        <v>1.4833494029518057E-3</v>
      </c>
      <c r="E319" s="12">
        <v>7.3239077824460708E-4</v>
      </c>
      <c r="F319" s="12">
        <v>1.3955516790230993E-2</v>
      </c>
      <c r="G319" s="12">
        <v>-4.9439494107501591E-3</v>
      </c>
      <c r="H319" s="12">
        <v>-2.2999631268436627E-2</v>
      </c>
      <c r="I319" s="12">
        <v>-3.6701456589057768E-3</v>
      </c>
      <c r="J319" s="12">
        <v>-2.8723897911832941E-2</v>
      </c>
      <c r="K319" s="12">
        <v>-2.0703933747411307E-3</v>
      </c>
      <c r="L319" s="12">
        <v>-1.1374280744011811E-2</v>
      </c>
      <c r="M319" s="13">
        <f t="shared" si="37"/>
        <v>-2.5960598888924739E-3</v>
      </c>
      <c r="N319" s="32">
        <f t="shared" si="38"/>
        <v>136.50709491680516</v>
      </c>
      <c r="O319" s="32">
        <f t="shared" si="39"/>
        <v>137.32137606586321</v>
      </c>
      <c r="P319" s="12">
        <f t="shared" si="40"/>
        <v>-2.5960598888924739E-3</v>
      </c>
      <c r="Q319" s="13">
        <f t="shared" si="41"/>
        <v>-1.1635176609685908E-3</v>
      </c>
      <c r="R319" s="49" t="str">
        <f t="shared" si="42"/>
        <v/>
      </c>
    </row>
    <row r="320" spans="1:18" x14ac:dyDescent="0.35">
      <c r="A320" s="64" t="s">
        <v>77</v>
      </c>
      <c r="B320" s="14">
        <v>9.1642935143352311E-3</v>
      </c>
      <c r="C320" s="12">
        <v>1.6783785353388758E-2</v>
      </c>
      <c r="D320" s="12">
        <v>-1.5996445234392365E-2</v>
      </c>
      <c r="E320" s="12">
        <v>2.2592038692845762E-3</v>
      </c>
      <c r="F320" s="12">
        <v>8.6021505376343566E-3</v>
      </c>
      <c r="G320" s="12">
        <v>-1.0630307932289584E-2</v>
      </c>
      <c r="H320" s="12">
        <v>1.1369533424541167E-2</v>
      </c>
      <c r="I320" s="12">
        <v>9.4393921952342641E-3</v>
      </c>
      <c r="J320" s="12">
        <v>3.2057713439396229E-2</v>
      </c>
      <c r="K320" s="12">
        <v>-2.6970954356847487E-3</v>
      </c>
      <c r="L320" s="12">
        <v>-7.6249774408951865E-3</v>
      </c>
      <c r="M320" s="13">
        <f t="shared" si="37"/>
        <v>-4.1622760750232406E-3</v>
      </c>
      <c r="N320" s="32">
        <f t="shared" si="38"/>
        <v>135.938914701562</v>
      </c>
      <c r="O320" s="32">
        <f t="shared" si="39"/>
        <v>138.5798294619232</v>
      </c>
      <c r="P320" s="12">
        <f t="shared" si="40"/>
        <v>-4.1622760750232406E-3</v>
      </c>
      <c r="Q320" s="13">
        <f t="shared" si="41"/>
        <v>-1.3326569589358472E-2</v>
      </c>
      <c r="R320" s="49" t="str">
        <f t="shared" si="42"/>
        <v/>
      </c>
    </row>
    <row r="321" spans="1:18" x14ac:dyDescent="0.35">
      <c r="A321" s="64" t="s">
        <v>77</v>
      </c>
      <c r="B321" s="14">
        <v>2.8219218773204435E-3</v>
      </c>
      <c r="C321" s="12">
        <v>2.5702535983549435E-3</v>
      </c>
      <c r="D321" s="12">
        <v>5.4188304357642991E-3</v>
      </c>
      <c r="E321" s="12">
        <v>1.0445107625880912E-2</v>
      </c>
      <c r="F321" s="12">
        <v>1.0063965884861359E-2</v>
      </c>
      <c r="G321" s="12">
        <v>-8.5255474452554658E-3</v>
      </c>
      <c r="H321" s="12">
        <v>6.2039369344155659E-3</v>
      </c>
      <c r="I321" s="12">
        <v>-5.1887330368343143E-3</v>
      </c>
      <c r="J321" s="12">
        <v>6.6197574298674233E-3</v>
      </c>
      <c r="K321" s="12">
        <v>-5.4087788641563606E-3</v>
      </c>
      <c r="L321" s="12">
        <v>1.1138895203455457E-2</v>
      </c>
      <c r="M321" s="13">
        <f t="shared" si="37"/>
        <v>2.624892276423907E-3</v>
      </c>
      <c r="N321" s="32">
        <f t="shared" si="38"/>
        <v>136.29573970882757</v>
      </c>
      <c r="O321" s="32">
        <f t="shared" si="39"/>
        <v>138.97089091443712</v>
      </c>
      <c r="P321" s="12" t="str">
        <f t="shared" si="40"/>
        <v/>
      </c>
      <c r="Q321" s="13">
        <f t="shared" si="41"/>
        <v>-1.9702960089653656E-4</v>
      </c>
      <c r="R321" s="49">
        <f t="shared" si="42"/>
        <v>1</v>
      </c>
    </row>
    <row r="322" spans="1:18" x14ac:dyDescent="0.35">
      <c r="A322" s="64" t="s">
        <v>77</v>
      </c>
      <c r="B322" s="14">
        <v>-1.4260324983073724E-2</v>
      </c>
      <c r="C322" s="12">
        <v>-1.9028086367002817E-2</v>
      </c>
      <c r="D322" s="12">
        <v>8.7581405793846212E-3</v>
      </c>
      <c r="E322" s="12">
        <v>-4.2322556320105509E-2</v>
      </c>
      <c r="F322" s="12">
        <v>-1.3277885670860412E-2</v>
      </c>
      <c r="G322" s="12">
        <v>-6.0663172153837541E-3</v>
      </c>
      <c r="H322" s="12">
        <v>-3.2914561216448313E-3</v>
      </c>
      <c r="I322" s="12">
        <v>-6.763340402361484E-3</v>
      </c>
      <c r="J322" s="12">
        <v>2.9661991262359244E-2</v>
      </c>
      <c r="K322" s="12">
        <v>1.4222965906714125E-2</v>
      </c>
      <c r="L322" s="12">
        <v>2.0683453237410054E-2</v>
      </c>
      <c r="M322" s="13">
        <f t="shared" si="37"/>
        <v>1.9248525508990936E-3</v>
      </c>
      <c r="N322" s="32">
        <f t="shared" si="38"/>
        <v>136.55808891108276</v>
      </c>
      <c r="O322" s="32">
        <f t="shared" si="39"/>
        <v>136.98912084680995</v>
      </c>
      <c r="P322" s="12" t="str">
        <f t="shared" si="40"/>
        <v/>
      </c>
      <c r="Q322" s="13">
        <f t="shared" si="41"/>
        <v>1.6185177533972819E-2</v>
      </c>
      <c r="R322" s="49">
        <f t="shared" si="42"/>
        <v>1</v>
      </c>
    </row>
    <row r="323" spans="1:18" x14ac:dyDescent="0.35">
      <c r="A323" s="64">
        <v>4.05</v>
      </c>
      <c r="B323" s="14">
        <v>8.370895041853732E-4</v>
      </c>
      <c r="C323" s="12">
        <v>5.110633602415815E-3</v>
      </c>
      <c r="D323" s="12">
        <v>-4.0813297714453745E-3</v>
      </c>
      <c r="E323" s="12">
        <v>1.7716535433070835E-2</v>
      </c>
      <c r="F323" s="12">
        <v>2.6955907836467841E-3</v>
      </c>
      <c r="G323" s="12">
        <v>-5.4515287982933591E-3</v>
      </c>
      <c r="H323" s="12">
        <v>-1.5348837209302468E-3</v>
      </c>
      <c r="I323" s="12">
        <v>-2.8218593109815893E-2</v>
      </c>
      <c r="J323" s="12">
        <v>9.200535953550748E-3</v>
      </c>
      <c r="K323" s="12">
        <v>-2.8871932357187324E-3</v>
      </c>
      <c r="L323" s="12">
        <v>8.5462555066078139E-3</v>
      </c>
      <c r="M323" s="13">
        <f t="shared" si="37"/>
        <v>-3.2850456505217978E-3</v>
      </c>
      <c r="N323" s="32">
        <f t="shared" si="38"/>
        <v>136.10948935506184</v>
      </c>
      <c r="O323" s="32">
        <f t="shared" si="39"/>
        <v>137.10379300205841</v>
      </c>
      <c r="P323" s="12">
        <f t="shared" si="40"/>
        <v>-3.2850456505217978E-3</v>
      </c>
      <c r="Q323" s="13">
        <f t="shared" si="41"/>
        <v>-4.1221351547071714E-3</v>
      </c>
      <c r="R323" s="49" t="str">
        <f t="shared" si="42"/>
        <v/>
      </c>
    </row>
    <row r="324" spans="1:18" x14ac:dyDescent="0.35">
      <c r="A324" s="64" t="s">
        <v>77</v>
      </c>
      <c r="B324" s="14">
        <v>-1.8400566171266619E-2</v>
      </c>
      <c r="C324" s="12">
        <v>-1.889408909689716E-2</v>
      </c>
      <c r="D324" s="12">
        <v>-9.462782206989151E-3</v>
      </c>
      <c r="E324" s="12">
        <v>-2.4339136041263698E-2</v>
      </c>
      <c r="F324" s="12">
        <v>-1.6428769549168942E-2</v>
      </c>
      <c r="G324" s="12">
        <v>-4.4089609151573006E-3</v>
      </c>
      <c r="H324" s="12">
        <v>4.8446452694834718E-3</v>
      </c>
      <c r="I324" s="12">
        <v>-1.3242280285035712E-2</v>
      </c>
      <c r="J324" s="12">
        <v>-4.2042839440609159E-3</v>
      </c>
      <c r="K324" s="12">
        <v>-1.7373319544984556E-2</v>
      </c>
      <c r="L324" s="12">
        <v>4.0621997029790524E-3</v>
      </c>
      <c r="M324" s="13">
        <f t="shared" si="37"/>
        <v>-1.1726309734468516E-2</v>
      </c>
      <c r="N324" s="32">
        <f t="shared" si="38"/>
        <v>134.51342732508402</v>
      </c>
      <c r="O324" s="32">
        <f t="shared" si="39"/>
        <v>134.5810055865924</v>
      </c>
      <c r="P324" s="12">
        <f t="shared" si="40"/>
        <v>-1.1726309734468516E-2</v>
      </c>
      <c r="Q324" s="13">
        <f t="shared" si="41"/>
        <v>6.6742564367981028E-3</v>
      </c>
      <c r="R324" s="49" t="str">
        <f t="shared" si="42"/>
        <v/>
      </c>
    </row>
    <row r="325" spans="1:18" x14ac:dyDescent="0.35">
      <c r="A325" s="64" t="s">
        <v>77</v>
      </c>
      <c r="B325" s="14">
        <v>-9.6786174652072621E-3</v>
      </c>
      <c r="C325" s="12">
        <v>-2.102473498233226E-2</v>
      </c>
      <c r="D325" s="12">
        <v>-1.0230179028132835E-2</v>
      </c>
      <c r="E325" s="12">
        <v>2.2468197587972583E-3</v>
      </c>
      <c r="F325" s="12">
        <v>3.3189440118006619E-3</v>
      </c>
      <c r="G325" s="12">
        <v>-3.111909036504934E-3</v>
      </c>
      <c r="H325" s="12">
        <v>-4.7749293032312012E-3</v>
      </c>
      <c r="I325" s="12">
        <v>-2.8765721851116366E-2</v>
      </c>
      <c r="J325" s="12">
        <v>-3.5242878094306818E-2</v>
      </c>
      <c r="K325" s="12">
        <v>9.892654178067728E-3</v>
      </c>
      <c r="L325" s="12">
        <v>-3.5715839387479908E-2</v>
      </c>
      <c r="M325" s="13">
        <f t="shared" si="37"/>
        <v>-1.1898907398825842E-2</v>
      </c>
      <c r="N325" s="32">
        <f t="shared" si="38"/>
        <v>132.91286450944415</v>
      </c>
      <c r="O325" s="32">
        <f t="shared" si="39"/>
        <v>133.27844751543685</v>
      </c>
      <c r="P325" s="12">
        <f t="shared" si="40"/>
        <v>-1.1898907398825842E-2</v>
      </c>
      <c r="Q325" s="13">
        <f t="shared" si="41"/>
        <v>-2.2202899336185803E-3</v>
      </c>
      <c r="R325" s="49" t="str">
        <f t="shared" si="42"/>
        <v/>
      </c>
    </row>
    <row r="326" spans="1:18" x14ac:dyDescent="0.35">
      <c r="A326" s="64" t="s">
        <v>77</v>
      </c>
      <c r="B326" s="14">
        <v>-1.1052770914225296E-2</v>
      </c>
      <c r="C326" s="12">
        <v>-1.034710942669792E-2</v>
      </c>
      <c r="D326" s="12">
        <v>-5.7759537923698367E-3</v>
      </c>
      <c r="E326" s="12">
        <v>-5.7033593775754898E-3</v>
      </c>
      <c r="F326" s="12">
        <v>1.0377929603044844E-3</v>
      </c>
      <c r="G326" s="12">
        <v>-7.9841517589147593E-3</v>
      </c>
      <c r="H326" s="12">
        <v>-1.5371716042482664E-3</v>
      </c>
      <c r="I326" s="12">
        <v>-2.912200260239195E-3</v>
      </c>
      <c r="J326" s="12">
        <v>-1.3313064308089206E-2</v>
      </c>
      <c r="K326" s="12">
        <v>-1.8966235931638153E-2</v>
      </c>
      <c r="L326" s="12">
        <v>-2.2692411801858658E-2</v>
      </c>
      <c r="M326" s="13">
        <f t="shared" si="37"/>
        <v>-1.1044176633060499E-2</v>
      </c>
      <c r="N326" s="32">
        <f t="shared" si="38"/>
        <v>131.4449513569958</v>
      </c>
      <c r="O326" s="32">
        <f t="shared" si="39"/>
        <v>131.80535136724512</v>
      </c>
      <c r="P326" s="12">
        <f t="shared" si="40"/>
        <v>-1.1044176633060499E-2</v>
      </c>
      <c r="Q326" s="13">
        <f t="shared" si="41"/>
        <v>8.594281164796963E-6</v>
      </c>
      <c r="R326" s="49" t="str">
        <f t="shared" si="42"/>
        <v/>
      </c>
    </row>
    <row r="327" spans="1:18" x14ac:dyDescent="0.35">
      <c r="A327" s="64" t="s">
        <v>77</v>
      </c>
      <c r="B327" s="14">
        <v>-1.8917170455305943E-2</v>
      </c>
      <c r="C327" s="12">
        <v>-1.2765181447936258E-2</v>
      </c>
      <c r="D327" s="12">
        <v>-1.1236813942822166E-2</v>
      </c>
      <c r="E327" s="12">
        <v>-1.8468169761273412E-2</v>
      </c>
      <c r="F327" s="12">
        <v>-3.9524838012958696E-3</v>
      </c>
      <c r="G327" s="12">
        <v>-2.2995461422087304E-3</v>
      </c>
      <c r="H327" s="12">
        <v>-3.9281548868672633E-2</v>
      </c>
      <c r="I327" s="12">
        <v>-1.3547104151130918E-2</v>
      </c>
      <c r="J327" s="12">
        <v>-4.0851580372566421E-2</v>
      </c>
      <c r="K327" s="12">
        <v>-7.2232844699384735E-3</v>
      </c>
      <c r="L327" s="12">
        <v>-1.1725061164197026E-2</v>
      </c>
      <c r="M327" s="13">
        <f t="shared" si="37"/>
        <v>-1.1871233115167048E-2</v>
      </c>
      <c r="N327" s="32">
        <f t="shared" si="38"/>
        <v>129.88453769762512</v>
      </c>
      <c r="O327" s="32">
        <f t="shared" si="39"/>
        <v>129.31196706850946</v>
      </c>
      <c r="P327" s="12">
        <f t="shared" si="40"/>
        <v>-1.1871233115167048E-2</v>
      </c>
      <c r="Q327" s="13">
        <f t="shared" si="41"/>
        <v>7.0459373401388949E-3</v>
      </c>
      <c r="R327" s="49" t="str">
        <f t="shared" si="42"/>
        <v/>
      </c>
    </row>
    <row r="328" spans="1:18" x14ac:dyDescent="0.35">
      <c r="A328" s="64">
        <v>4.07</v>
      </c>
      <c r="B328" s="14">
        <v>2.7740512517340221E-3</v>
      </c>
      <c r="C328" s="12">
        <v>-4.8642324979988327E-3</v>
      </c>
      <c r="D328" s="12">
        <v>-4.0974101275609298E-3</v>
      </c>
      <c r="E328" s="12">
        <v>1.1485322433537615E-3</v>
      </c>
      <c r="F328" s="12">
        <v>2.3852375479758159E-3</v>
      </c>
      <c r="G328" s="12">
        <v>-1.1524231212470482E-2</v>
      </c>
      <c r="H328" s="12">
        <v>-1.981255766522616E-2</v>
      </c>
      <c r="I328" s="12">
        <v>1.1969257906010444E-3</v>
      </c>
      <c r="J328" s="12">
        <v>-6.0358255451713472E-3</v>
      </c>
      <c r="K328" s="12">
        <v>0</v>
      </c>
      <c r="L328" s="12">
        <v>1.1210238684666862E-3</v>
      </c>
      <c r="M328" s="13">
        <f t="shared" si="37"/>
        <v>-5.4445701891899705E-4</v>
      </c>
      <c r="N328" s="32">
        <f t="shared" si="38"/>
        <v>129.81382114942659</v>
      </c>
      <c r="O328" s="32">
        <f t="shared" si="39"/>
        <v>129.67068509262006</v>
      </c>
      <c r="P328" s="12">
        <f t="shared" si="40"/>
        <v>-5.4445701891899705E-4</v>
      </c>
      <c r="Q328" s="13">
        <f t="shared" si="41"/>
        <v>-3.3185082706530191E-3</v>
      </c>
      <c r="R328" s="49" t="str">
        <f t="shared" si="42"/>
        <v/>
      </c>
    </row>
    <row r="329" spans="1:18" x14ac:dyDescent="0.35">
      <c r="A329" s="64" t="s">
        <v>77</v>
      </c>
      <c r="B329" s="14">
        <v>-1.2176594635042504E-2</v>
      </c>
      <c r="C329" s="12">
        <v>-1.1384729612671673E-2</v>
      </c>
      <c r="D329" s="12">
        <v>5.6512963825492868E-2</v>
      </c>
      <c r="E329" s="12">
        <v>-2.6588386138947873E-2</v>
      </c>
      <c r="F329" s="12">
        <v>-1.1746381984554466E-2</v>
      </c>
      <c r="G329" s="12">
        <v>2.8594219795054387E-2</v>
      </c>
      <c r="H329" s="12">
        <v>7.4312608372562039E-4</v>
      </c>
      <c r="I329" s="12">
        <v>8.9221669917573854E-2</v>
      </c>
      <c r="J329" s="12">
        <v>-4.8971596474045587E-4</v>
      </c>
      <c r="K329" s="12">
        <v>-2.1613524502460901E-2</v>
      </c>
      <c r="L329" s="12">
        <v>-9.3314048430048757E-5</v>
      </c>
      <c r="M329" s="13">
        <f t="shared" si="37"/>
        <v>2.4152750913281638E-2</v>
      </c>
      <c r="N329" s="32">
        <f t="shared" si="38"/>
        <v>132.94918203674999</v>
      </c>
      <c r="O329" s="32">
        <f t="shared" si="39"/>
        <v>128.09173772419896</v>
      </c>
      <c r="P329" s="12" t="str">
        <f t="shared" si="40"/>
        <v/>
      </c>
      <c r="Q329" s="13">
        <f t="shared" si="41"/>
        <v>3.6329345548324142E-2</v>
      </c>
      <c r="R329" s="49">
        <f t="shared" si="42"/>
        <v>1</v>
      </c>
    </row>
    <row r="330" spans="1:18" x14ac:dyDescent="0.35">
      <c r="A330" s="64" t="s">
        <v>77</v>
      </c>
      <c r="B330" s="14">
        <v>-1.4920576622899917E-3</v>
      </c>
      <c r="C330" s="12">
        <v>-5.6327450244086918E-4</v>
      </c>
      <c r="D330" s="12">
        <v>-1.3519470977222614E-2</v>
      </c>
      <c r="E330" s="12">
        <v>2.8493188672050973E-2</v>
      </c>
      <c r="F330" s="12">
        <v>3.4804307853955052E-3</v>
      </c>
      <c r="G330" s="12">
        <v>4.4741394738412321E-3</v>
      </c>
      <c r="H330" s="12">
        <v>1.9158415841584286E-2</v>
      </c>
      <c r="I330" s="12">
        <v>1.2766449078620346E-2</v>
      </c>
      <c r="J330" s="12">
        <v>-4.8162665360117485E-2</v>
      </c>
      <c r="K330" s="12">
        <v>-1.0279965004374447E-2</v>
      </c>
      <c r="L330" s="12">
        <v>-9.3322756754332659E-5</v>
      </c>
      <c r="M330" s="13">
        <f t="shared" si="37"/>
        <v>3.8771171506737402E-4</v>
      </c>
      <c r="N330" s="32">
        <f t="shared" si="38"/>
        <v>133.00072799213427</v>
      </c>
      <c r="O330" s="32">
        <f t="shared" si="39"/>
        <v>127.90061746545153</v>
      </c>
      <c r="P330" s="12" t="str">
        <f t="shared" si="40"/>
        <v/>
      </c>
      <c r="Q330" s="13">
        <f t="shared" si="41"/>
        <v>1.8797693773573657E-3</v>
      </c>
      <c r="R330" s="49">
        <f t="shared" si="42"/>
        <v>1</v>
      </c>
    </row>
    <row r="331" spans="1:18" x14ac:dyDescent="0.35">
      <c r="A331" s="64" t="s">
        <v>77</v>
      </c>
      <c r="B331" s="14">
        <v>-5.379434009977202E-3</v>
      </c>
      <c r="C331" s="12">
        <v>-2.9432024547560998E-3</v>
      </c>
      <c r="D331" s="12">
        <v>-1.2959928496946049E-2</v>
      </c>
      <c r="E331" s="12">
        <v>1.0549020929527142E-2</v>
      </c>
      <c r="F331" s="12">
        <v>6.9149052199899419E-3</v>
      </c>
      <c r="G331" s="12">
        <v>1.3125074236845169E-2</v>
      </c>
      <c r="H331" s="12">
        <v>1.3600816048962017E-3</v>
      </c>
      <c r="I331" s="12">
        <v>-1.9507186858316206E-2</v>
      </c>
      <c r="J331" s="12">
        <v>-2.3266587738714262E-2</v>
      </c>
      <c r="K331" s="12">
        <v>6.6298342541437627E-4</v>
      </c>
      <c r="L331" s="12">
        <v>-9.8931354706239816E-3</v>
      </c>
      <c r="M331" s="13">
        <f t="shared" si="37"/>
        <v>-7.3843929298882359E-3</v>
      </c>
      <c r="N331" s="32">
        <f t="shared" si="38"/>
        <v>132.01859835667918</v>
      </c>
      <c r="O331" s="32">
        <f t="shared" si="39"/>
        <v>127.21258453396079</v>
      </c>
      <c r="P331" s="12">
        <f t="shared" si="40"/>
        <v>-7.3843929298882359E-3</v>
      </c>
      <c r="Q331" s="13">
        <f t="shared" si="41"/>
        <v>-2.0049589199110339E-3</v>
      </c>
      <c r="R331" s="49" t="str">
        <f t="shared" si="42"/>
        <v/>
      </c>
    </row>
    <row r="332" spans="1:18" x14ac:dyDescent="0.35">
      <c r="A332" s="64" t="s">
        <v>77</v>
      </c>
      <c r="B332" s="14">
        <v>2.4361493123772116E-2</v>
      </c>
      <c r="C332" s="12">
        <v>6.9777666122346593E-2</v>
      </c>
      <c r="D332" s="12">
        <v>1.4941140959854993E-2</v>
      </c>
      <c r="E332" s="12">
        <v>2.8081643543223178E-2</v>
      </c>
      <c r="F332" s="12">
        <v>9.6620450606585973E-3</v>
      </c>
      <c r="G332" s="12">
        <v>7.0344099888621781E-3</v>
      </c>
      <c r="H332" s="12">
        <v>0.10599078341013812</v>
      </c>
      <c r="I332" s="12">
        <v>3.0017452006980694E-2</v>
      </c>
      <c r="J332" s="12">
        <v>4.3214756258234122E-3</v>
      </c>
      <c r="K332" s="12">
        <v>1.2367491166077826E-2</v>
      </c>
      <c r="L332" s="12">
        <v>-5.1892350473676685E-2</v>
      </c>
      <c r="M332" s="13">
        <f t="shared" si="37"/>
        <v>7.7229399376737753E-3</v>
      </c>
      <c r="N332" s="32">
        <f t="shared" si="38"/>
        <v>133.03817006244367</v>
      </c>
      <c r="O332" s="32">
        <f t="shared" si="39"/>
        <v>130.31167303734216</v>
      </c>
      <c r="P332" s="12" t="str">
        <f t="shared" si="40"/>
        <v/>
      </c>
      <c r="Q332" s="13">
        <f t="shared" si="41"/>
        <v>-1.6638553186098338E-2</v>
      </c>
      <c r="R332" s="49">
        <f t="shared" si="42"/>
        <v>1</v>
      </c>
    </row>
    <row r="333" spans="1:18" x14ac:dyDescent="0.35">
      <c r="A333" s="64">
        <v>4.0199999999999996</v>
      </c>
      <c r="B333" s="14">
        <v>1.8885805185135274E-2</v>
      </c>
      <c r="C333" s="12">
        <v>2.6125755885633595E-2</v>
      </c>
      <c r="D333" s="12">
        <v>-6.9144981412639916E-3</v>
      </c>
      <c r="E333" s="12">
        <v>8.8237202361642897E-3</v>
      </c>
      <c r="F333" s="12">
        <v>1.3968158606187941E-2</v>
      </c>
      <c r="G333" s="12">
        <v>2.9105302986203174E-3</v>
      </c>
      <c r="H333" s="12">
        <v>-8.0263157894737702E-3</v>
      </c>
      <c r="I333" s="12">
        <v>1.558793629278199E-2</v>
      </c>
      <c r="J333" s="12">
        <v>5.0742509314162909E-2</v>
      </c>
      <c r="K333" s="12">
        <v>1.6579406631762605E-2</v>
      </c>
      <c r="L333" s="12">
        <v>1.9884668920262527E-3</v>
      </c>
      <c r="M333" s="13">
        <f t="shared" si="37"/>
        <v>6.3767973577653937E-3</v>
      </c>
      <c r="N333" s="32">
        <f t="shared" si="38"/>
        <v>133.88652751377978</v>
      </c>
      <c r="O333" s="32">
        <f t="shared" si="39"/>
        <v>132.77271390767444</v>
      </c>
      <c r="P333" s="12" t="str">
        <f t="shared" si="40"/>
        <v/>
      </c>
      <c r="Q333" s="13">
        <f t="shared" si="41"/>
        <v>-1.250900782736988E-2</v>
      </c>
      <c r="R333" s="49">
        <f t="shared" si="42"/>
        <v>1</v>
      </c>
    </row>
    <row r="334" spans="1:18" x14ac:dyDescent="0.35">
      <c r="A334" s="64" t="s">
        <v>77</v>
      </c>
      <c r="B334" s="14">
        <v>6.8429444592079669E-3</v>
      </c>
      <c r="C334" s="12">
        <v>-9.7265133310442398E-4</v>
      </c>
      <c r="D334" s="12">
        <v>1.4673953732125433E-2</v>
      </c>
      <c r="E334" s="12">
        <v>-7.1387227474436488E-3</v>
      </c>
      <c r="F334" s="12">
        <v>-8.8029286666524431E-3</v>
      </c>
      <c r="G334" s="12">
        <v>-8.1838760229845375E-3</v>
      </c>
      <c r="H334" s="12">
        <v>2.7368793385506685E-2</v>
      </c>
      <c r="I334" s="12">
        <v>2.0687354020687332E-2</v>
      </c>
      <c r="J334" s="12">
        <v>4.0451458250099881E-2</v>
      </c>
      <c r="K334" s="12">
        <v>7.9399141630900338E-3</v>
      </c>
      <c r="L334" s="12">
        <v>1.8803333994840132E-2</v>
      </c>
      <c r="M334" s="13">
        <f t="shared" si="37"/>
        <v>1.1997149718472704E-2</v>
      </c>
      <c r="N334" s="32">
        <f t="shared" si="38"/>
        <v>135.49278422964903</v>
      </c>
      <c r="O334" s="32">
        <f t="shared" si="39"/>
        <v>133.68127021464298</v>
      </c>
      <c r="P334" s="12" t="str">
        <f t="shared" si="40"/>
        <v/>
      </c>
      <c r="Q334" s="13">
        <f t="shared" si="41"/>
        <v>5.1542052592647367E-3</v>
      </c>
      <c r="R334" s="49">
        <f t="shared" si="42"/>
        <v>1</v>
      </c>
    </row>
    <row r="335" spans="1:18" x14ac:dyDescent="0.35">
      <c r="A335" s="64" t="s">
        <v>77</v>
      </c>
      <c r="B335" s="14">
        <v>9.4358297591552454E-3</v>
      </c>
      <c r="C335" s="12">
        <v>7.0442700876238717E-3</v>
      </c>
      <c r="D335" s="12">
        <v>1.2690917140116609E-2</v>
      </c>
      <c r="E335" s="12">
        <v>1.5222179038735462E-2</v>
      </c>
      <c r="F335" s="12">
        <v>2.4273606455882613E-2</v>
      </c>
      <c r="G335" s="12">
        <v>1.1060393258427004E-2</v>
      </c>
      <c r="H335" s="12">
        <v>1.3169220175589524E-2</v>
      </c>
      <c r="I335" s="12">
        <v>3.3780102429987746E-3</v>
      </c>
      <c r="J335" s="12">
        <v>-3.9358740520303304E-3</v>
      </c>
      <c r="K335" s="12">
        <v>-4.2580370449218918E-4</v>
      </c>
      <c r="L335" s="12">
        <v>-1.9965911857803276E-3</v>
      </c>
      <c r="M335" s="13">
        <f t="shared" si="37"/>
        <v>5.8153380725790476E-3</v>
      </c>
      <c r="N335" s="32">
        <f t="shared" si="38"/>
        <v>136.28072057633943</v>
      </c>
      <c r="O335" s="32">
        <f t="shared" si="39"/>
        <v>134.94266392237597</v>
      </c>
      <c r="P335" s="12" t="str">
        <f t="shared" si="40"/>
        <v/>
      </c>
      <c r="Q335" s="13">
        <f t="shared" si="41"/>
        <v>-3.6204916865761978E-3</v>
      </c>
      <c r="R335" s="49">
        <f t="shared" si="42"/>
        <v>1</v>
      </c>
    </row>
    <row r="336" spans="1:18" x14ac:dyDescent="0.35">
      <c r="A336" s="64" t="s">
        <v>77</v>
      </c>
      <c r="B336" s="14">
        <v>-2.4404061533098043E-2</v>
      </c>
      <c r="C336" s="12">
        <v>-1.671974522292996E-2</v>
      </c>
      <c r="D336" s="12">
        <v>3.8615664845174091E-3</v>
      </c>
      <c r="E336" s="12">
        <v>-3.8952338416384791E-2</v>
      </c>
      <c r="F336" s="12">
        <v>1.87377548042853E-2</v>
      </c>
      <c r="G336" s="12">
        <v>-5.7880419054301413E-5</v>
      </c>
      <c r="H336" s="12">
        <v>-1.6481182567326447E-2</v>
      </c>
      <c r="I336" s="12">
        <v>-6.5160729800173289E-4</v>
      </c>
      <c r="J336" s="12">
        <v>-5.445258288357846E-3</v>
      </c>
      <c r="K336" s="12">
        <v>1.0649627263044081E-3</v>
      </c>
      <c r="L336" s="12">
        <v>-2.1225724602322638E-2</v>
      </c>
      <c r="M336" s="13">
        <f t="shared" si="37"/>
        <v>-7.8494617988556625E-3</v>
      </c>
      <c r="N336" s="32">
        <f t="shared" si="38"/>
        <v>135.21099026625492</v>
      </c>
      <c r="O336" s="32">
        <f t="shared" si="39"/>
        <v>131.64951484857414</v>
      </c>
      <c r="P336" s="12">
        <f t="shared" si="40"/>
        <v>-7.8494617988556625E-3</v>
      </c>
      <c r="Q336" s="13">
        <f t="shared" si="41"/>
        <v>1.6554599734242378E-2</v>
      </c>
      <c r="R336" s="49" t="str">
        <f t="shared" si="42"/>
        <v/>
      </c>
    </row>
    <row r="337" spans="1:18" x14ac:dyDescent="0.35">
      <c r="A337" s="64" t="s">
        <v>77</v>
      </c>
      <c r="B337" s="14">
        <v>5.1592442042256437E-3</v>
      </c>
      <c r="C337" s="12">
        <v>-2.9496818970504712E-3</v>
      </c>
      <c r="D337" s="12">
        <v>-4.5725068950500658E-3</v>
      </c>
      <c r="E337" s="12">
        <v>1.5568464730290499E-2</v>
      </c>
      <c r="F337" s="12">
        <v>-1.1457331669292192E-2</v>
      </c>
      <c r="G337" s="12">
        <v>-6.5408659411900771E-3</v>
      </c>
      <c r="H337" s="12">
        <v>-1.3604560767038087E-2</v>
      </c>
      <c r="I337" s="12">
        <v>9.8348185177135061E-3</v>
      </c>
      <c r="J337" s="12">
        <v>2.9071175929074045E-4</v>
      </c>
      <c r="K337" s="12">
        <v>-1.191489361702136E-2</v>
      </c>
      <c r="L337" s="12">
        <v>-1.0867939578244168E-2</v>
      </c>
      <c r="M337" s="13">
        <f t="shared" ref="M337:M400" si="43">SUMPRODUCT($C$2:$L$2,C337:L337)</f>
        <v>-1.7143804320042971E-3</v>
      </c>
      <c r="N337" s="32">
        <f t="shared" ref="N337:N400" si="44">+(N336*(1+M337))</f>
        <v>134.97918719035053</v>
      </c>
      <c r="O337" s="32">
        <f t="shared" ref="O337:O400" si="45">+(O336*(1+B337))</f>
        <v>132.32872684504576</v>
      </c>
      <c r="P337" s="12">
        <f t="shared" ref="P337:P400" si="46">+IF(M337&lt;0,M337,"")</f>
        <v>-1.7143804320042971E-3</v>
      </c>
      <c r="Q337" s="13">
        <f t="shared" ref="Q337:Q400" si="47">M337-B337</f>
        <v>-6.8736246362299403E-3</v>
      </c>
      <c r="R337" s="49" t="str">
        <f t="shared" ref="R337:R400" si="48">+IF(M337&gt;0,1,"")</f>
        <v/>
      </c>
    </row>
    <row r="338" spans="1:18" x14ac:dyDescent="0.35">
      <c r="A338" s="64">
        <v>4.04</v>
      </c>
      <c r="B338" s="14">
        <v>-3.6884790578824989E-3</v>
      </c>
      <c r="C338" s="12">
        <v>-4.2345843726433463E-3</v>
      </c>
      <c r="D338" s="12">
        <v>6.5621582209263174E-4</v>
      </c>
      <c r="E338" s="12">
        <v>-1.6310387657710645E-2</v>
      </c>
      <c r="F338" s="12">
        <v>1.09692240826198E-3</v>
      </c>
      <c r="G338" s="12">
        <v>-3.3210977101905126E-3</v>
      </c>
      <c r="H338" s="12">
        <v>-5.3855247602784262E-3</v>
      </c>
      <c r="I338" s="12">
        <v>1.0868980360505764E-2</v>
      </c>
      <c r="J338" s="12">
        <v>2.6495519496245956E-2</v>
      </c>
      <c r="K338" s="12">
        <v>-9.6899224806200612E-3</v>
      </c>
      <c r="L338" s="12">
        <v>7.1064966483544989E-3</v>
      </c>
      <c r="M338" s="13">
        <f t="shared" si="43"/>
        <v>-9.5217581865095777E-4</v>
      </c>
      <c r="N338" s="32">
        <f t="shared" si="44"/>
        <v>134.85066327228671</v>
      </c>
      <c r="O338" s="32">
        <f t="shared" si="45"/>
        <v>131.84063510732156</v>
      </c>
      <c r="P338" s="12">
        <f t="shared" si="46"/>
        <v>-9.5217581865095777E-4</v>
      </c>
      <c r="Q338" s="13">
        <f t="shared" si="47"/>
        <v>2.7363032392315411E-3</v>
      </c>
      <c r="R338" s="49" t="str">
        <f t="shared" si="48"/>
        <v/>
      </c>
    </row>
    <row r="339" spans="1:18" x14ac:dyDescent="0.35">
      <c r="A339" s="64" t="s">
        <v>77</v>
      </c>
      <c r="B339" s="14">
        <v>8.3855572158166858E-3</v>
      </c>
      <c r="C339" s="12">
        <v>1.846673657229414E-2</v>
      </c>
      <c r="D339" s="12">
        <v>-1.6030311862430535E-3</v>
      </c>
      <c r="E339" s="12">
        <v>1.1995348064462563E-2</v>
      </c>
      <c r="F339" s="12">
        <v>2.0074426297291836E-2</v>
      </c>
      <c r="G339" s="12">
        <v>2.6306559102069471E-3</v>
      </c>
      <c r="H339" s="12">
        <v>3.4337031167459564E-3</v>
      </c>
      <c r="I339" s="12">
        <v>3.2628945547453103E-2</v>
      </c>
      <c r="J339" s="12">
        <v>6.3703284258211923E-3</v>
      </c>
      <c r="K339" s="12">
        <v>2.1743857360290164E-4</v>
      </c>
      <c r="L339" s="12">
        <v>8.4075668101291079E-3</v>
      </c>
      <c r="M339" s="13">
        <f t="shared" si="43"/>
        <v>8.988033899191207E-3</v>
      </c>
      <c r="N339" s="32">
        <f t="shared" si="44"/>
        <v>136.06270560510643</v>
      </c>
      <c r="O339" s="32">
        <f t="shared" si="45"/>
        <v>132.94619229638363</v>
      </c>
      <c r="P339" s="12" t="str">
        <f t="shared" si="46"/>
        <v/>
      </c>
      <c r="Q339" s="13">
        <f t="shared" si="47"/>
        <v>6.0247668337452126E-4</v>
      </c>
      <c r="R339" s="49">
        <f t="shared" si="48"/>
        <v>1</v>
      </c>
    </row>
    <row r="340" spans="1:18" x14ac:dyDescent="0.35">
      <c r="A340" s="64" t="s">
        <v>77</v>
      </c>
      <c r="B340" s="14">
        <v>1.4530576136237983E-2</v>
      </c>
      <c r="C340" s="12">
        <v>8.2937710919177565E-3</v>
      </c>
      <c r="D340" s="12">
        <v>5.6196175740765852E-3</v>
      </c>
      <c r="E340" s="12">
        <v>2.1834778040451752E-2</v>
      </c>
      <c r="F340" s="12">
        <v>9.5052795849293048E-3</v>
      </c>
      <c r="G340" s="12">
        <v>-1.1661127631035217E-4</v>
      </c>
      <c r="H340" s="12">
        <v>1.2854259892954412E-2</v>
      </c>
      <c r="I340" s="12">
        <v>1.2371134020618513E-2</v>
      </c>
      <c r="J340" s="12">
        <v>1.2144230318375859E-2</v>
      </c>
      <c r="K340" s="12">
        <v>-2.1739130434782483E-3</v>
      </c>
      <c r="L340" s="12">
        <v>1.042183622828774E-2</v>
      </c>
      <c r="M340" s="13">
        <f t="shared" si="43"/>
        <v>8.2453789678675234E-3</v>
      </c>
      <c r="N340" s="32">
        <f t="shared" si="44"/>
        <v>137.18459417621392</v>
      </c>
      <c r="O340" s="32">
        <f t="shared" si="45"/>
        <v>134.87797706556916</v>
      </c>
      <c r="P340" s="12" t="str">
        <f t="shared" si="46"/>
        <v/>
      </c>
      <c r="Q340" s="13">
        <f t="shared" si="47"/>
        <v>-6.2851971683704592E-3</v>
      </c>
      <c r="R340" s="49">
        <f t="shared" si="48"/>
        <v>1</v>
      </c>
    </row>
    <row r="341" spans="1:18" x14ac:dyDescent="0.35">
      <c r="A341" s="64" t="s">
        <v>77</v>
      </c>
      <c r="B341" s="14">
        <v>-1.8115626089989401E-2</v>
      </c>
      <c r="C341" s="12">
        <v>-2.359882005899705E-2</v>
      </c>
      <c r="D341" s="12">
        <v>-3.0989186443137973E-2</v>
      </c>
      <c r="E341" s="12">
        <v>-2.8373124256932614E-2</v>
      </c>
      <c r="F341" s="12">
        <v>-2.2846817908050543E-2</v>
      </c>
      <c r="G341" s="12">
        <v>-1.2070674674908299E-2</v>
      </c>
      <c r="H341" s="12">
        <v>-2.2870013427469971E-2</v>
      </c>
      <c r="I341" s="12">
        <v>-4.5315682281059644E-3</v>
      </c>
      <c r="J341" s="12">
        <v>1.338830723617157E-2</v>
      </c>
      <c r="K341" s="12">
        <v>-1.1764705882352899E-2</v>
      </c>
      <c r="L341" s="12">
        <v>-2.6031434184675684E-3</v>
      </c>
      <c r="M341" s="13">
        <f t="shared" si="43"/>
        <v>-1.6399934402192479E-2</v>
      </c>
      <c r="N341" s="32">
        <f t="shared" si="44"/>
        <v>134.93477583073263</v>
      </c>
      <c r="O341" s="32">
        <f t="shared" si="45"/>
        <v>132.43457806527513</v>
      </c>
      <c r="P341" s="12">
        <f t="shared" si="46"/>
        <v>-1.6399934402192479E-2</v>
      </c>
      <c r="Q341" s="13">
        <f t="shared" si="47"/>
        <v>1.7156916877969219E-3</v>
      </c>
      <c r="R341" s="49" t="str">
        <f t="shared" si="48"/>
        <v/>
      </c>
    </row>
    <row r="342" spans="1:18" x14ac:dyDescent="0.35">
      <c r="A342" s="64" t="s">
        <v>77</v>
      </c>
      <c r="B342" s="14">
        <v>-1.8973823849381732E-2</v>
      </c>
      <c r="C342" s="12">
        <v>-2.0218452242621532E-2</v>
      </c>
      <c r="D342" s="12">
        <v>-6.2162971839425651E-3</v>
      </c>
      <c r="E342" s="12">
        <v>-2.4274092201865161E-2</v>
      </c>
      <c r="F342" s="12">
        <v>-1.7648750821827819E-2</v>
      </c>
      <c r="G342" s="12">
        <v>-1.0093259355447914E-2</v>
      </c>
      <c r="H342" s="12">
        <v>-3.9895385433751374E-3</v>
      </c>
      <c r="I342" s="12">
        <v>-1.8924863178353957E-2</v>
      </c>
      <c r="J342" s="12">
        <v>-2.9485714285714226E-2</v>
      </c>
      <c r="K342" s="12">
        <v>-5.5114638447971709E-3</v>
      </c>
      <c r="L342" s="12">
        <v>-9.0116708524153877E-3</v>
      </c>
      <c r="M342" s="13">
        <f t="shared" si="43"/>
        <v>-1.1489897107870781E-2</v>
      </c>
      <c r="N342" s="32">
        <f t="shared" si="44"/>
        <v>133.3843891401639</v>
      </c>
      <c r="O342" s="32">
        <f t="shared" si="45"/>
        <v>129.92178770949741</v>
      </c>
      <c r="P342" s="12">
        <f t="shared" si="46"/>
        <v>-1.1489897107870781E-2</v>
      </c>
      <c r="Q342" s="13">
        <f t="shared" si="47"/>
        <v>7.4839267415109517E-3</v>
      </c>
      <c r="R342" s="49" t="str">
        <f t="shared" si="48"/>
        <v/>
      </c>
    </row>
    <row r="343" spans="1:18" x14ac:dyDescent="0.35">
      <c r="A343" s="64">
        <v>4</v>
      </c>
      <c r="B343" s="14">
        <v>-3.8405482229827426E-3</v>
      </c>
      <c r="C343" s="12">
        <v>1.4231499051233776E-3</v>
      </c>
      <c r="D343" s="12">
        <v>-1.9142361896148818E-2</v>
      </c>
      <c r="E343" s="12">
        <v>-1.3557483731030384E-4</v>
      </c>
      <c r="F343" s="12">
        <v>-7.8012256080982612E-3</v>
      </c>
      <c r="G343" s="12">
        <v>-1.2581241428656686E-2</v>
      </c>
      <c r="H343" s="12">
        <v>2.8928746272642858E-3</v>
      </c>
      <c r="I343" s="12">
        <v>2.8152859600645286E-3</v>
      </c>
      <c r="J343" s="12">
        <v>-1.0645313235986942E-2</v>
      </c>
      <c r="K343" s="12">
        <v>-1.0197295499889125E-2</v>
      </c>
      <c r="L343" s="12">
        <v>-6.7084078711986406E-3</v>
      </c>
      <c r="M343" s="13">
        <f t="shared" si="43"/>
        <v>-8.1567591776469592E-3</v>
      </c>
      <c r="N343" s="32">
        <f t="shared" si="44"/>
        <v>132.29640479989004</v>
      </c>
      <c r="O343" s="32">
        <f t="shared" si="45"/>
        <v>129.42281681858296</v>
      </c>
      <c r="P343" s="12">
        <f t="shared" si="46"/>
        <v>-8.1567591776469592E-3</v>
      </c>
      <c r="Q343" s="13">
        <f t="shared" si="47"/>
        <v>-4.3162109546642166E-3</v>
      </c>
      <c r="R343" s="49" t="str">
        <f t="shared" si="48"/>
        <v/>
      </c>
    </row>
    <row r="344" spans="1:18" x14ac:dyDescent="0.35">
      <c r="A344" s="64" t="s">
        <v>77</v>
      </c>
      <c r="B344" s="14">
        <v>1.5766743077059386E-2</v>
      </c>
      <c r="C344" s="12">
        <v>2.3152534343912734E-2</v>
      </c>
      <c r="D344" s="12">
        <v>-1.6135228582405681E-3</v>
      </c>
      <c r="E344" s="12">
        <v>1.8542372881356073E-2</v>
      </c>
      <c r="F344" s="12">
        <v>8.0733558178753828E-3</v>
      </c>
      <c r="G344" s="12">
        <v>1.0326086956521818E-2</v>
      </c>
      <c r="H344" s="12">
        <v>1.1005591550545812E-2</v>
      </c>
      <c r="I344" s="12">
        <v>2.9269560696646657E-2</v>
      </c>
      <c r="J344" s="12">
        <v>3.6612073890687435E-2</v>
      </c>
      <c r="K344" s="12">
        <v>3.1354983202687148E-3</v>
      </c>
      <c r="L344" s="12">
        <v>1.7609685326929858E-2</v>
      </c>
      <c r="M344" s="13">
        <f t="shared" si="43"/>
        <v>1.146644908025626E-2</v>
      </c>
      <c r="N344" s="32">
        <f t="shared" si="44"/>
        <v>133.81337478902896</v>
      </c>
      <c r="O344" s="32">
        <f t="shared" si="45"/>
        <v>131.46339311967088</v>
      </c>
      <c r="P344" s="12" t="str">
        <f t="shared" si="46"/>
        <v/>
      </c>
      <c r="Q344" s="13">
        <f t="shared" si="47"/>
        <v>-4.3002939968031263E-3</v>
      </c>
      <c r="R344" s="49">
        <f t="shared" si="48"/>
        <v>1</v>
      </c>
    </row>
    <row r="345" spans="1:18" x14ac:dyDescent="0.35">
      <c r="A345" s="64" t="s">
        <v>77</v>
      </c>
      <c r="B345" s="14">
        <v>8.8122082633468324E-4</v>
      </c>
      <c r="C345" s="12">
        <v>-1.3889692690548516E-3</v>
      </c>
      <c r="D345" s="12">
        <v>-5.8488533169154255E-3</v>
      </c>
      <c r="E345" s="12">
        <v>-3.2282757014012731E-3</v>
      </c>
      <c r="F345" s="12">
        <v>3.8057001861029338E-3</v>
      </c>
      <c r="G345" s="12">
        <v>-5.9769290538513875E-4</v>
      </c>
      <c r="H345" s="12">
        <v>4.3894302519533746E-3</v>
      </c>
      <c r="I345" s="12">
        <v>2.0204061016264596E-3</v>
      </c>
      <c r="J345" s="12">
        <v>5.5114132182061404E-3</v>
      </c>
      <c r="K345" s="12">
        <v>-6.251395400759141E-3</v>
      </c>
      <c r="L345" s="12">
        <v>1.1307212034805669E-3</v>
      </c>
      <c r="M345" s="13">
        <f t="shared" si="43"/>
        <v>-2.8721628229775903E-3</v>
      </c>
      <c r="N345" s="32">
        <f t="shared" si="44"/>
        <v>133.42904098874274</v>
      </c>
      <c r="O345" s="32">
        <f t="shared" si="45"/>
        <v>131.57924139958857</v>
      </c>
      <c r="P345" s="12">
        <f t="shared" si="46"/>
        <v>-2.8721628229775903E-3</v>
      </c>
      <c r="Q345" s="13">
        <f t="shared" si="47"/>
        <v>-3.7533836493122735E-3</v>
      </c>
      <c r="R345" s="49" t="str">
        <f t="shared" si="48"/>
        <v/>
      </c>
    </row>
    <row r="346" spans="1:18" x14ac:dyDescent="0.35">
      <c r="A346" s="64" t="s">
        <v>77</v>
      </c>
      <c r="B346" s="14">
        <v>-2.1173137043269175E-2</v>
      </c>
      <c r="C346" s="12">
        <v>-2.1269197334106149E-2</v>
      </c>
      <c r="D346" s="12">
        <v>-3.259018423904636E-2</v>
      </c>
      <c r="E346" s="12">
        <v>-2.9282136894824617E-2</v>
      </c>
      <c r="F346" s="12">
        <v>-2.0227059681283244E-2</v>
      </c>
      <c r="G346" s="12">
        <v>-6.1001136295676384E-3</v>
      </c>
      <c r="H346" s="12">
        <v>-1.8398741368761407E-2</v>
      </c>
      <c r="I346" s="12">
        <v>-1.3459018046173998E-2</v>
      </c>
      <c r="J346" s="12">
        <v>-2.4437034668615465E-2</v>
      </c>
      <c r="K346" s="12">
        <v>3.9991013255448182E-2</v>
      </c>
      <c r="L346" s="12">
        <v>-4.3704576703987308E-2</v>
      </c>
      <c r="M346" s="13">
        <f t="shared" si="43"/>
        <v>-1.4096180663601576E-2</v>
      </c>
      <c r="N346" s="32">
        <f t="shared" si="44"/>
        <v>131.54820112119432</v>
      </c>
      <c r="O346" s="32">
        <f t="shared" si="45"/>
        <v>128.79329608938568</v>
      </c>
      <c r="P346" s="12">
        <f t="shared" si="46"/>
        <v>-1.4096180663601576E-2</v>
      </c>
      <c r="Q346" s="13">
        <f t="shared" si="47"/>
        <v>7.0769563796675983E-3</v>
      </c>
      <c r="R346" s="49" t="str">
        <f t="shared" si="48"/>
        <v/>
      </c>
    </row>
    <row r="347" spans="1:18" x14ac:dyDescent="0.35">
      <c r="A347" s="64" t="s">
        <v>77</v>
      </c>
      <c r="B347" s="14">
        <v>-7.1662412733491943E-3</v>
      </c>
      <c r="C347" s="12">
        <v>-9.3557555660823688E-3</v>
      </c>
      <c r="D347" s="12">
        <v>-4.961190685764616E-3</v>
      </c>
      <c r="E347" s="12">
        <v>-9.6309290406907389E-3</v>
      </c>
      <c r="F347" s="12">
        <v>-5.3790874686396872E-3</v>
      </c>
      <c r="G347" s="12">
        <v>-1.702870208797147E-2</v>
      </c>
      <c r="H347" s="12">
        <v>-8.5481501268867E-3</v>
      </c>
      <c r="I347" s="12">
        <v>-4.2409687803383056E-3</v>
      </c>
      <c r="J347" s="12">
        <v>-2.1303492836407978E-2</v>
      </c>
      <c r="K347" s="12">
        <v>-6.2648520198747004E-3</v>
      </c>
      <c r="L347" s="12">
        <v>-1.4326794700626588E-2</v>
      </c>
      <c r="M347" s="13">
        <f t="shared" si="43"/>
        <v>-7.3564103523120501E-3</v>
      </c>
      <c r="N347" s="32">
        <f t="shared" si="44"/>
        <v>130.58047857263836</v>
      </c>
      <c r="O347" s="32">
        <f t="shared" si="45"/>
        <v>127.87033225521924</v>
      </c>
      <c r="P347" s="12">
        <f t="shared" si="46"/>
        <v>-7.3564103523120501E-3</v>
      </c>
      <c r="Q347" s="13">
        <f t="shared" si="47"/>
        <v>-1.901690789628558E-4</v>
      </c>
      <c r="R347" s="49" t="str">
        <f t="shared" si="48"/>
        <v/>
      </c>
    </row>
    <row r="348" spans="1:18" x14ac:dyDescent="0.35">
      <c r="A348" s="64">
        <v>4.03</v>
      </c>
      <c r="B348" s="14">
        <v>-1.0142864698185927E-2</v>
      </c>
      <c r="C348" s="12">
        <v>-1.781231320980281E-2</v>
      </c>
      <c r="D348" s="12">
        <v>-3.4579815038198181E-3</v>
      </c>
      <c r="E348" s="12">
        <v>-7.2934393776258322E-4</v>
      </c>
      <c r="F348" s="12">
        <v>-1.132938586178156E-2</v>
      </c>
      <c r="G348" s="12">
        <v>-1.3589618021547678E-2</v>
      </c>
      <c r="H348" s="12">
        <v>-6.1520499348870494E-3</v>
      </c>
      <c r="I348" s="12">
        <v>-1.2520525451559905E-2</v>
      </c>
      <c r="J348" s="12">
        <v>-4.9227383629144139E-2</v>
      </c>
      <c r="K348" s="12">
        <v>-1.1304347826087024E-2</v>
      </c>
      <c r="L348" s="12">
        <v>-3.8551706173481914E-3</v>
      </c>
      <c r="M348" s="13">
        <f t="shared" si="43"/>
        <v>-6.6472728568100197E-3</v>
      </c>
      <c r="N348" s="32">
        <f t="shared" si="44"/>
        <v>129.7124745017932</v>
      </c>
      <c r="O348" s="32">
        <f t="shared" si="45"/>
        <v>126.57336077624247</v>
      </c>
      <c r="P348" s="12">
        <f t="shared" si="46"/>
        <v>-6.6472728568100197E-3</v>
      </c>
      <c r="Q348" s="13">
        <f t="shared" si="47"/>
        <v>3.4955918413759075E-3</v>
      </c>
      <c r="R348" s="49" t="str">
        <f t="shared" si="48"/>
        <v/>
      </c>
    </row>
    <row r="349" spans="1:18" x14ac:dyDescent="0.35">
      <c r="A349" s="64" t="s">
        <v>77</v>
      </c>
      <c r="B349" s="14">
        <v>-1.8412176288573612E-2</v>
      </c>
      <c r="C349" s="12">
        <v>-2.5864167478091504E-2</v>
      </c>
      <c r="D349" s="12">
        <v>-1.4928986442866443E-2</v>
      </c>
      <c r="E349" s="12">
        <v>-2.589322952870865E-2</v>
      </c>
      <c r="F349" s="12">
        <v>-6.2485135456530339E-3</v>
      </c>
      <c r="G349" s="12">
        <v>4.9646270323955299E-4</v>
      </c>
      <c r="H349" s="12">
        <v>-2.4263509849991038E-2</v>
      </c>
      <c r="I349" s="12">
        <v>-1.8135522760340916E-2</v>
      </c>
      <c r="J349" s="12">
        <v>-1.1673543322934576E-2</v>
      </c>
      <c r="K349" s="12">
        <v>-1.0114335971855626E-2</v>
      </c>
      <c r="L349" s="12">
        <v>-2.3743528058156049E-2</v>
      </c>
      <c r="M349" s="13">
        <f t="shared" si="43"/>
        <v>-1.7491906398359524E-2</v>
      </c>
      <c r="N349" s="32">
        <f t="shared" si="44"/>
        <v>127.44355603910823</v>
      </c>
      <c r="O349" s="32">
        <f t="shared" si="45"/>
        <v>124.24286974419306</v>
      </c>
      <c r="P349" s="12">
        <f t="shared" si="46"/>
        <v>-1.7491906398359524E-2</v>
      </c>
      <c r="Q349" s="13">
        <f t="shared" si="47"/>
        <v>9.2026989021408781E-4</v>
      </c>
      <c r="R349" s="49" t="str">
        <f t="shared" si="48"/>
        <v/>
      </c>
    </row>
    <row r="350" spans="1:18" x14ac:dyDescent="0.35">
      <c r="A350" s="64" t="s">
        <v>77</v>
      </c>
      <c r="B350" s="14">
        <v>1.4956809844988816E-2</v>
      </c>
      <c r="C350" s="12">
        <v>1.6680202411445189E-2</v>
      </c>
      <c r="D350" s="12">
        <v>-8.1920209715735659E-4</v>
      </c>
      <c r="E350" s="12">
        <v>5.1093588325543227E-2</v>
      </c>
      <c r="F350" s="12">
        <v>-8.1153996779949056E-3</v>
      </c>
      <c r="G350" s="12">
        <v>-1.9104329487656724E-2</v>
      </c>
      <c r="H350" s="12">
        <v>6.2514470942349742E-3</v>
      </c>
      <c r="I350" s="12">
        <v>-3.1754432389520248E-3</v>
      </c>
      <c r="J350" s="12">
        <v>1.0233173811220908E-2</v>
      </c>
      <c r="K350" s="12">
        <v>-3.998223011994706E-3</v>
      </c>
      <c r="L350" s="12">
        <v>-1.0606953447259815E-2</v>
      </c>
      <c r="M350" s="13">
        <f t="shared" si="43"/>
        <v>3.5625087982687305E-3</v>
      </c>
      <c r="N350" s="32">
        <f t="shared" si="44"/>
        <v>127.89757482878021</v>
      </c>
      <c r="O350" s="32">
        <f t="shared" si="45"/>
        <v>126.10114672155267</v>
      </c>
      <c r="P350" s="12" t="str">
        <f t="shared" si="46"/>
        <v/>
      </c>
      <c r="Q350" s="13">
        <f t="shared" si="47"/>
        <v>-1.1394301046720085E-2</v>
      </c>
      <c r="R350" s="49">
        <f t="shared" si="48"/>
        <v>1</v>
      </c>
    </row>
    <row r="351" spans="1:18" x14ac:dyDescent="0.35">
      <c r="A351" s="64" t="s">
        <v>77</v>
      </c>
      <c r="B351" s="14">
        <v>2.2372746986266234E-2</v>
      </c>
      <c r="C351" s="12">
        <v>1.2965466388103586E-2</v>
      </c>
      <c r="D351" s="12">
        <v>1.8119209641715317E-2</v>
      </c>
      <c r="E351" s="12">
        <v>9.233171526528583E-3</v>
      </c>
      <c r="F351" s="12">
        <v>4.3563140231196229E-2</v>
      </c>
      <c r="G351" s="12">
        <v>4.9702794991779431E-2</v>
      </c>
      <c r="H351" s="12">
        <v>9.0658076392085007E-3</v>
      </c>
      <c r="I351" s="12">
        <v>2.8457658614281955E-2</v>
      </c>
      <c r="J351" s="12">
        <v>1.5370659678475951E-2</v>
      </c>
      <c r="K351" s="12">
        <v>1.3826940231935758E-2</v>
      </c>
      <c r="L351" s="12">
        <v>1.2832313606583989E-2</v>
      </c>
      <c r="M351" s="13">
        <f t="shared" si="43"/>
        <v>1.7015391480831314E-2</v>
      </c>
      <c r="N351" s="32">
        <f t="shared" si="44"/>
        <v>130.07380213394083</v>
      </c>
      <c r="O351" s="32">
        <f t="shared" si="45"/>
        <v>128.92237577183201</v>
      </c>
      <c r="P351" s="12" t="str">
        <f t="shared" si="46"/>
        <v/>
      </c>
      <c r="Q351" s="13">
        <f t="shared" si="47"/>
        <v>-5.3573555054349208E-3</v>
      </c>
      <c r="R351" s="49">
        <f t="shared" si="48"/>
        <v>1</v>
      </c>
    </row>
    <row r="352" spans="1:18" x14ac:dyDescent="0.35">
      <c r="A352" s="64" t="s">
        <v>77</v>
      </c>
      <c r="B352" s="14">
        <v>-2.4426122951660689E-3</v>
      </c>
      <c r="C352" s="12">
        <v>1.6378525932667642E-3</v>
      </c>
      <c r="D352" s="12">
        <v>-1.3448220325334215E-2</v>
      </c>
      <c r="E352" s="12">
        <v>4.9779691231375267E-3</v>
      </c>
      <c r="F352" s="12">
        <v>2.5223331581702979E-4</v>
      </c>
      <c r="G352" s="12">
        <v>-8.6144578313253062E-3</v>
      </c>
      <c r="H352" s="12">
        <v>-1.4365850321521489E-2</v>
      </c>
      <c r="I352" s="12">
        <v>4.2847555624385691E-3</v>
      </c>
      <c r="J352" s="12">
        <v>1.9158229104625946E-2</v>
      </c>
      <c r="K352" s="12">
        <v>-9.0189177298725109E-3</v>
      </c>
      <c r="L352" s="12">
        <v>2.7798567304608834E-3</v>
      </c>
      <c r="M352" s="13">
        <f t="shared" si="43"/>
        <v>-3.7217249501284278E-3</v>
      </c>
      <c r="N352" s="32">
        <f t="shared" si="44"/>
        <v>129.58970321918088</v>
      </c>
      <c r="O352" s="32">
        <f t="shared" si="45"/>
        <v>128.60746839164972</v>
      </c>
      <c r="P352" s="12">
        <f t="shared" si="46"/>
        <v>-3.7217249501284278E-3</v>
      </c>
      <c r="Q352" s="13">
        <f t="shared" si="47"/>
        <v>-1.2791126549623589E-3</v>
      </c>
      <c r="R352" s="49" t="str">
        <f t="shared" si="48"/>
        <v/>
      </c>
    </row>
    <row r="353" spans="1:18" x14ac:dyDescent="0.35">
      <c r="A353" s="64">
        <v>4.3</v>
      </c>
      <c r="B353" s="14">
        <v>-1.5473463284818578E-2</v>
      </c>
      <c r="C353" s="12">
        <v>-1.1627906976744318E-2</v>
      </c>
      <c r="D353" s="12">
        <v>-9.4686148069546006E-3</v>
      </c>
      <c r="E353" s="12">
        <v>-1.2851835737474615E-2</v>
      </c>
      <c r="F353" s="12">
        <v>7.9853741568070014E-4</v>
      </c>
      <c r="G353" s="12">
        <v>-3.4635717323934223E-3</v>
      </c>
      <c r="H353" s="12">
        <v>-3.3083472145104542E-2</v>
      </c>
      <c r="I353" s="12">
        <v>-8.4712655495013833E-2</v>
      </c>
      <c r="J353" s="12">
        <v>-5.0793805395928704E-2</v>
      </c>
      <c r="K353" s="12">
        <v>6.2153163152054436E-3</v>
      </c>
      <c r="L353" s="12">
        <v>-2.5322529054270126E-2</v>
      </c>
      <c r="M353" s="13">
        <f t="shared" si="43"/>
        <v>-2.3614550313196186E-2</v>
      </c>
      <c r="N353" s="32">
        <f t="shared" si="44"/>
        <v>126.52950065243937</v>
      </c>
      <c r="O353" s="32">
        <f t="shared" si="45"/>
        <v>126.61746545133806</v>
      </c>
      <c r="P353" s="12">
        <f t="shared" si="46"/>
        <v>-2.3614550313196186E-2</v>
      </c>
      <c r="Q353" s="13">
        <f t="shared" si="47"/>
        <v>-8.1410870283776075E-3</v>
      </c>
      <c r="R353" s="49" t="str">
        <f t="shared" si="48"/>
        <v/>
      </c>
    </row>
    <row r="354" spans="1:18" x14ac:dyDescent="0.35">
      <c r="A354" s="64" t="s">
        <v>77</v>
      </c>
      <c r="B354" s="14">
        <v>1.8642627244987553E-2</v>
      </c>
      <c r="C354" s="12">
        <v>2.0588235294117796E-2</v>
      </c>
      <c r="D354" s="12">
        <v>2.0683971981870775E-2</v>
      </c>
      <c r="E354" s="12">
        <v>1.7765723003899003E-2</v>
      </c>
      <c r="F354" s="12">
        <v>1.9170603674540709E-2</v>
      </c>
      <c r="G354" s="12">
        <v>1.2439024390243913E-2</v>
      </c>
      <c r="H354" s="12">
        <v>-2.3448341867253752E-3</v>
      </c>
      <c r="I354" s="12">
        <v>1.2636190048298301E-2</v>
      </c>
      <c r="J354" s="12">
        <v>1.4878661946539529E-2</v>
      </c>
      <c r="K354" s="12">
        <v>1.323626737260053E-3</v>
      </c>
      <c r="L354" s="12">
        <v>5.3492315265547319E-2</v>
      </c>
      <c r="M354" s="13">
        <f t="shared" si="43"/>
        <v>1.997851888142535E-2</v>
      </c>
      <c r="N354" s="32">
        <f t="shared" si="44"/>
        <v>129.05737267028147</v>
      </c>
      <c r="O354" s="32">
        <f t="shared" si="45"/>
        <v>128.97794766245244</v>
      </c>
      <c r="P354" s="12" t="str">
        <f t="shared" si="46"/>
        <v/>
      </c>
      <c r="Q354" s="13">
        <f t="shared" si="47"/>
        <v>1.3358916364377971E-3</v>
      </c>
      <c r="R354" s="49">
        <f t="shared" si="48"/>
        <v>1</v>
      </c>
    </row>
    <row r="355" spans="1:18" x14ac:dyDescent="0.35">
      <c r="A355" s="64" t="s">
        <v>77</v>
      </c>
      <c r="B355" s="14">
        <v>-5.2547110022934662E-3</v>
      </c>
      <c r="C355" s="12">
        <v>-1.9812680115274262E-3</v>
      </c>
      <c r="D355" s="12">
        <v>1.6712417245277056E-2</v>
      </c>
      <c r="E355" s="12">
        <v>-1.4224324594423465E-2</v>
      </c>
      <c r="F355" s="12">
        <v>2.4928921669620241E-3</v>
      </c>
      <c r="G355" s="12">
        <v>1.4695254155625115E-2</v>
      </c>
      <c r="H355" s="12">
        <v>-5.9957789716039711E-3</v>
      </c>
      <c r="I355" s="12">
        <v>-2.3293217236981523E-3</v>
      </c>
      <c r="J355" s="12">
        <v>-4.5295991102573208E-2</v>
      </c>
      <c r="K355" s="12">
        <v>2.2912535800837075E-2</v>
      </c>
      <c r="L355" s="12">
        <v>1.1629718083173257E-2</v>
      </c>
      <c r="M355" s="13">
        <f t="shared" si="43"/>
        <v>9.270683810136307E-3</v>
      </c>
      <c r="N355" s="32">
        <f t="shared" si="44"/>
        <v>130.25382276567458</v>
      </c>
      <c r="O355" s="32">
        <f t="shared" si="45"/>
        <v>128.30020582181731</v>
      </c>
      <c r="P355" s="12" t="str">
        <f t="shared" si="46"/>
        <v/>
      </c>
      <c r="Q355" s="13">
        <f t="shared" si="47"/>
        <v>1.4525394812429773E-2</v>
      </c>
      <c r="R355" s="49">
        <f t="shared" si="48"/>
        <v>1</v>
      </c>
    </row>
    <row r="356" spans="1:18" x14ac:dyDescent="0.35">
      <c r="A356" s="64" t="s">
        <v>77</v>
      </c>
      <c r="B356" s="14">
        <v>-7.93401612012401E-3</v>
      </c>
      <c r="C356" s="12">
        <v>-1.840822956145105E-2</v>
      </c>
      <c r="D356" s="12">
        <v>5.4792344953544792E-3</v>
      </c>
      <c r="E356" s="12">
        <v>-2.0478507704785098E-2</v>
      </c>
      <c r="F356" s="12">
        <v>2.4784726361002152E-2</v>
      </c>
      <c r="G356" s="12">
        <v>5.9354226020893464E-3</v>
      </c>
      <c r="H356" s="12">
        <v>-3.3489359648699479E-2</v>
      </c>
      <c r="I356" s="12">
        <v>-3.857913169158933E-2</v>
      </c>
      <c r="J356" s="12">
        <v>-4.2414614773629844E-2</v>
      </c>
      <c r="K356" s="12">
        <v>2.5414602627611416E-2</v>
      </c>
      <c r="L356" s="12">
        <v>4.1570438799076737E-3</v>
      </c>
      <c r="M356" s="13">
        <f t="shared" si="43"/>
        <v>-2.3743641981634231E-3</v>
      </c>
      <c r="N356" s="32">
        <f t="shared" si="44"/>
        <v>129.94455275222586</v>
      </c>
      <c r="O356" s="32">
        <f t="shared" si="45"/>
        <v>127.28226992061178</v>
      </c>
      <c r="P356" s="12">
        <f t="shared" si="46"/>
        <v>-2.3743641981634231E-3</v>
      </c>
      <c r="Q356" s="13">
        <f t="shared" si="47"/>
        <v>5.5596519219605865E-3</v>
      </c>
      <c r="R356" s="49" t="str">
        <f t="shared" si="48"/>
        <v/>
      </c>
    </row>
    <row r="357" spans="1:18" x14ac:dyDescent="0.35">
      <c r="A357" s="64" t="s">
        <v>77</v>
      </c>
      <c r="B357" s="14">
        <v>-2.9518095946517109E-2</v>
      </c>
      <c r="C357" s="12">
        <v>-2.3717595146166448E-2</v>
      </c>
      <c r="D357" s="12">
        <v>-4.3437055757384879E-3</v>
      </c>
      <c r="E357" s="12">
        <v>-3.777685779341744E-2</v>
      </c>
      <c r="F357" s="12">
        <v>-2.3623784217386867E-2</v>
      </c>
      <c r="G357" s="12">
        <v>1.6108095350483964E-2</v>
      </c>
      <c r="H357" s="12">
        <v>-4.7880573168905149E-2</v>
      </c>
      <c r="I357" s="12">
        <v>-7.9907487713211878E-2</v>
      </c>
      <c r="J357" s="12">
        <v>-6.4532183145321942E-2</v>
      </c>
      <c r="K357" s="12">
        <v>-8.1915563957152271E-3</v>
      </c>
      <c r="L357" s="12">
        <v>5.3153429418377751E-3</v>
      </c>
      <c r="M357" s="13">
        <f t="shared" si="43"/>
        <v>-2.2755924835421708E-2</v>
      </c>
      <c r="N357" s="32">
        <f t="shared" si="44"/>
        <v>126.98754427702373</v>
      </c>
      <c r="O357" s="32">
        <f t="shared" si="45"/>
        <v>123.52513966480467</v>
      </c>
      <c r="P357" s="12">
        <f t="shared" si="46"/>
        <v>-2.2755924835421708E-2</v>
      </c>
      <c r="Q357" s="13">
        <f t="shared" si="47"/>
        <v>6.7621711110954011E-3</v>
      </c>
      <c r="R357" s="49" t="str">
        <f t="shared" si="48"/>
        <v/>
      </c>
    </row>
    <row r="358" spans="1:18" x14ac:dyDescent="0.35">
      <c r="A358" s="64">
        <v>4.3</v>
      </c>
      <c r="B358" s="14">
        <v>-7.2338369327961116E-3</v>
      </c>
      <c r="C358" s="12">
        <v>-1.167608286252364E-2</v>
      </c>
      <c r="D358" s="12">
        <v>-3.0935194733083815E-3</v>
      </c>
      <c r="E358" s="12">
        <v>-1.0971281058405946E-2</v>
      </c>
      <c r="F358" s="12">
        <v>-2.7543286708977766E-2</v>
      </c>
      <c r="G358" s="12">
        <v>-2.026595435805123E-2</v>
      </c>
      <c r="H358" s="12">
        <v>5.2962768746722677E-3</v>
      </c>
      <c r="I358" s="12">
        <v>5.7814365613022556E-3</v>
      </c>
      <c r="J358" s="12">
        <v>2.7368918839037804E-2</v>
      </c>
      <c r="K358" s="12">
        <v>-2.0542143159678061E-2</v>
      </c>
      <c r="L358" s="12">
        <v>6.7615658362989439E-2</v>
      </c>
      <c r="M358" s="13">
        <f t="shared" si="43"/>
        <v>5.6465833264303204E-3</v>
      </c>
      <c r="N358" s="32">
        <f t="shared" si="44"/>
        <v>127.7045900272027</v>
      </c>
      <c r="O358" s="32">
        <f t="shared" si="45"/>
        <v>122.63157894736861</v>
      </c>
      <c r="P358" s="12" t="str">
        <f t="shared" si="46"/>
        <v/>
      </c>
      <c r="Q358" s="13">
        <f t="shared" si="47"/>
        <v>1.2880420259226432E-2</v>
      </c>
      <c r="R358" s="49">
        <f t="shared" si="48"/>
        <v>1</v>
      </c>
    </row>
    <row r="359" spans="1:18" x14ac:dyDescent="0.35">
      <c r="A359" s="64" t="s">
        <v>77</v>
      </c>
      <c r="B359" s="14">
        <v>2.5698324022346508E-2</v>
      </c>
      <c r="C359" s="12">
        <v>3.4997459349593418E-2</v>
      </c>
      <c r="D359" s="12">
        <v>4.2966263526416082E-3</v>
      </c>
      <c r="E359" s="12">
        <v>4.5858256298712874E-2</v>
      </c>
      <c r="F359" s="12">
        <v>2.5577662315718452E-2</v>
      </c>
      <c r="G359" s="12">
        <v>3.7932669511617778E-3</v>
      </c>
      <c r="H359" s="12">
        <v>4.1990506494183899E-2</v>
      </c>
      <c r="I359" s="12">
        <v>5.3733208372383601E-2</v>
      </c>
      <c r="J359" s="12">
        <v>2.7387802071346279E-2</v>
      </c>
      <c r="K359" s="12">
        <v>5.1891891891893138E-3</v>
      </c>
      <c r="L359" s="12">
        <v>-1.047619047619075E-3</v>
      </c>
      <c r="M359" s="13">
        <f t="shared" si="43"/>
        <v>1.8880103819244539E-2</v>
      </c>
      <c r="N359" s="32">
        <f t="shared" si="44"/>
        <v>130.11566594511035</v>
      </c>
      <c r="O359" s="32">
        <f t="shared" si="45"/>
        <v>125.78300499853006</v>
      </c>
      <c r="P359" s="12" t="str">
        <f t="shared" si="46"/>
        <v/>
      </c>
      <c r="Q359" s="13">
        <f t="shared" si="47"/>
        <v>-6.8182202031019691E-3</v>
      </c>
      <c r="R359" s="49">
        <f t="shared" si="48"/>
        <v>1</v>
      </c>
    </row>
    <row r="360" spans="1:18" x14ac:dyDescent="0.35">
      <c r="A360" s="64" t="s">
        <v>77</v>
      </c>
      <c r="B360" s="14">
        <v>-4.2918454935622075E-3</v>
      </c>
      <c r="C360" s="12">
        <v>-2.7186253451979003E-2</v>
      </c>
      <c r="D360" s="12">
        <v>-1.4815401679607043E-2</v>
      </c>
      <c r="E360" s="12">
        <v>-1.0086655112651721E-2</v>
      </c>
      <c r="F360" s="12">
        <v>1.2088885227670598E-2</v>
      </c>
      <c r="G360" s="12">
        <v>1.7713745866791974E-3</v>
      </c>
      <c r="H360" s="12">
        <v>-8.9607529034841926E-3</v>
      </c>
      <c r="I360" s="12">
        <v>5.6329676845536802E-3</v>
      </c>
      <c r="J360" s="12">
        <v>-9.5206093189970087E-4</v>
      </c>
      <c r="K360" s="12">
        <v>2.2585502258550161E-2</v>
      </c>
      <c r="L360" s="12">
        <v>9.5814662980264753E-3</v>
      </c>
      <c r="M360" s="13">
        <f t="shared" si="43"/>
        <v>2.2989601903624221E-3</v>
      </c>
      <c r="N360" s="32">
        <f t="shared" si="44"/>
        <v>130.41479668126067</v>
      </c>
      <c r="O360" s="32">
        <f t="shared" si="45"/>
        <v>125.2431637753604</v>
      </c>
      <c r="P360" s="12" t="str">
        <f t="shared" si="46"/>
        <v/>
      </c>
      <c r="Q360" s="13">
        <f t="shared" si="47"/>
        <v>6.5908056839246295E-3</v>
      </c>
      <c r="R360" s="49">
        <f t="shared" si="48"/>
        <v>1</v>
      </c>
    </row>
    <row r="361" spans="1:18" x14ac:dyDescent="0.35">
      <c r="A361" s="64" t="s">
        <v>77</v>
      </c>
      <c r="B361" s="14">
        <v>-1.2961554353542182E-2</v>
      </c>
      <c r="C361" s="12">
        <v>-2.3908655059298622E-2</v>
      </c>
      <c r="D361" s="12">
        <v>-3.1363088057900779E-3</v>
      </c>
      <c r="E361" s="12">
        <v>-1.9328407857417962E-2</v>
      </c>
      <c r="F361" s="12">
        <v>-1.7438547940745508E-2</v>
      </c>
      <c r="G361" s="12">
        <v>-1.8271837793233381E-3</v>
      </c>
      <c r="H361" s="12">
        <v>-6.3646006970752289E-3</v>
      </c>
      <c r="I361" s="12">
        <v>-1.0023584905660354E-2</v>
      </c>
      <c r="J361" s="12">
        <v>-1.2108302034867457E-2</v>
      </c>
      <c r="K361" s="12">
        <v>-3.786285233487563E-3</v>
      </c>
      <c r="L361" s="12">
        <v>1.435384106898363E-2</v>
      </c>
      <c r="M361" s="13">
        <f t="shared" si="43"/>
        <v>-3.8816969508330499E-3</v>
      </c>
      <c r="N361" s="32">
        <f t="shared" si="44"/>
        <v>129.9085659626395</v>
      </c>
      <c r="O361" s="32">
        <f t="shared" si="45"/>
        <v>123.61981770067648</v>
      </c>
      <c r="P361" s="12">
        <f t="shared" si="46"/>
        <v>-3.8816969508330499E-3</v>
      </c>
      <c r="Q361" s="13">
        <f t="shared" si="47"/>
        <v>9.0798574027091319E-3</v>
      </c>
      <c r="R361" s="49" t="str">
        <f t="shared" si="48"/>
        <v/>
      </c>
    </row>
    <row r="362" spans="1:18" x14ac:dyDescent="0.35">
      <c r="A362" s="64" t="s">
        <v>77</v>
      </c>
      <c r="B362" s="14">
        <v>-7.4209561140831104E-3</v>
      </c>
      <c r="C362" s="12">
        <v>-2.6562399017643568E-2</v>
      </c>
      <c r="D362" s="12">
        <v>-1.6134236850595673E-4</v>
      </c>
      <c r="E362" s="12">
        <v>-1.2961045452922426E-2</v>
      </c>
      <c r="F362" s="12">
        <v>1.0458301406175652E-2</v>
      </c>
      <c r="G362" s="12">
        <v>1.3817537643932676E-2</v>
      </c>
      <c r="H362" s="12">
        <v>1.8402724823344041E-2</v>
      </c>
      <c r="I362" s="12">
        <v>2.9124478856462188E-2</v>
      </c>
      <c r="J362" s="12">
        <v>-4.0288259660669068E-3</v>
      </c>
      <c r="K362" s="12">
        <v>1.3935810810810967E-2</v>
      </c>
      <c r="L362" s="12">
        <v>2.8394544523575593E-3</v>
      </c>
      <c r="M362" s="13">
        <f t="shared" si="43"/>
        <v>7.3645289916265556E-3</v>
      </c>
      <c r="N362" s="32">
        <f t="shared" si="44"/>
        <v>130.865281362932</v>
      </c>
      <c r="O362" s="32">
        <f t="shared" si="45"/>
        <v>122.7024404586888</v>
      </c>
      <c r="P362" s="12" t="str">
        <f t="shared" si="46"/>
        <v/>
      </c>
      <c r="Q362" s="13">
        <f t="shared" si="47"/>
        <v>1.4785485105709666E-2</v>
      </c>
      <c r="R362" s="49">
        <f t="shared" si="48"/>
        <v>1</v>
      </c>
    </row>
    <row r="363" spans="1:18" x14ac:dyDescent="0.35">
      <c r="A363" s="64">
        <v>4.3</v>
      </c>
      <c r="B363" s="14">
        <v>2.1408493905025416E-2</v>
      </c>
      <c r="C363" s="12">
        <v>2.96773336874252E-2</v>
      </c>
      <c r="D363" s="12">
        <v>1.3716314345651126E-2</v>
      </c>
      <c r="E363" s="12">
        <v>3.8742584285920811E-2</v>
      </c>
      <c r="F363" s="12">
        <v>2.0474667978357175E-2</v>
      </c>
      <c r="G363" s="12">
        <v>2.5918807152425893E-2</v>
      </c>
      <c r="H363" s="12">
        <v>2.9002146458343647E-2</v>
      </c>
      <c r="I363" s="12">
        <v>1.8808958851785462E-2</v>
      </c>
      <c r="J363" s="12">
        <v>2.4897447584320664E-2</v>
      </c>
      <c r="K363" s="12">
        <v>1.1870054144106579E-2</v>
      </c>
      <c r="L363" s="12">
        <v>4.7344968436688895E-3</v>
      </c>
      <c r="M363" s="13">
        <f t="shared" si="43"/>
        <v>1.6232426317392173E-2</v>
      </c>
      <c r="N363" s="32">
        <f t="shared" si="44"/>
        <v>132.98954240016056</v>
      </c>
      <c r="O363" s="32">
        <f t="shared" si="45"/>
        <v>125.32931490738038</v>
      </c>
      <c r="P363" s="12" t="str">
        <f t="shared" si="46"/>
        <v/>
      </c>
      <c r="Q363" s="13">
        <f t="shared" si="47"/>
        <v>-5.1760675876332436E-3</v>
      </c>
      <c r="R363" s="49">
        <f t="shared" si="48"/>
        <v>1</v>
      </c>
    </row>
    <row r="364" spans="1:18" x14ac:dyDescent="0.35">
      <c r="A364" s="64" t="s">
        <v>77</v>
      </c>
      <c r="B364" s="14">
        <v>2.2383840279651235E-2</v>
      </c>
      <c r="C364" s="12">
        <v>2.9015410406860509E-2</v>
      </c>
      <c r="D364" s="12">
        <v>1.1142948105698824E-2</v>
      </c>
      <c r="E364" s="12">
        <v>2.5213303151663036E-2</v>
      </c>
      <c r="F364" s="12">
        <v>7.0293828201872799E-4</v>
      </c>
      <c r="G364" s="12">
        <v>-9.1972294765526597E-3</v>
      </c>
      <c r="H364" s="12">
        <v>2.7796643058116022E-2</v>
      </c>
      <c r="I364" s="12">
        <v>2.5960009088843661E-2</v>
      </c>
      <c r="J364" s="12">
        <v>5.0586469509144694E-2</v>
      </c>
      <c r="K364" s="12">
        <v>-2.8812512862729234E-3</v>
      </c>
      <c r="L364" s="12">
        <v>-1.7555206504665799E-3</v>
      </c>
      <c r="M364" s="13">
        <f t="shared" si="43"/>
        <v>1.0617981702171401E-2</v>
      </c>
      <c r="N364" s="32">
        <f t="shared" si="44"/>
        <v>134.40162292794562</v>
      </c>
      <c r="O364" s="32">
        <f t="shared" si="45"/>
        <v>128.13466627462529</v>
      </c>
      <c r="P364" s="12" t="str">
        <f t="shared" si="46"/>
        <v/>
      </c>
      <c r="Q364" s="13">
        <f t="shared" si="47"/>
        <v>-1.1765858577479834E-2</v>
      </c>
      <c r="R364" s="49">
        <f t="shared" si="48"/>
        <v>1</v>
      </c>
    </row>
    <row r="365" spans="1:18" x14ac:dyDescent="0.35">
      <c r="A365" s="64" t="s">
        <v>77</v>
      </c>
      <c r="B365" s="14">
        <v>1.2347803738532281E-2</v>
      </c>
      <c r="C365" s="12">
        <v>6.454038473588497E-3</v>
      </c>
      <c r="D365" s="12">
        <v>7.2418136020149237E-3</v>
      </c>
      <c r="E365" s="12">
        <v>2.819389245558801E-3</v>
      </c>
      <c r="F365" s="12">
        <v>1.7581182515152616E-2</v>
      </c>
      <c r="G365" s="12">
        <v>1.3064405225762021E-2</v>
      </c>
      <c r="H365" s="12">
        <v>7.457403124557338E-3</v>
      </c>
      <c r="I365" s="12">
        <v>3.521399701013217E-2</v>
      </c>
      <c r="J365" s="12">
        <v>6.3495423038255616E-3</v>
      </c>
      <c r="K365" s="12">
        <v>-2.2703818369452788E-3</v>
      </c>
      <c r="L365" s="12">
        <v>2.6008885597926579E-2</v>
      </c>
      <c r="M365" s="13">
        <f t="shared" si="43"/>
        <v>1.3077851228272201E-2</v>
      </c>
      <c r="N365" s="32">
        <f t="shared" si="44"/>
        <v>136.15930735743561</v>
      </c>
      <c r="O365" s="32">
        <f t="shared" si="45"/>
        <v>129.71684798588669</v>
      </c>
      <c r="P365" s="12" t="str">
        <f t="shared" si="46"/>
        <v/>
      </c>
      <c r="Q365" s="13">
        <f t="shared" si="47"/>
        <v>7.3004748973991979E-4</v>
      </c>
      <c r="R365" s="49">
        <f t="shared" si="48"/>
        <v>1</v>
      </c>
    </row>
    <row r="366" spans="1:18" x14ac:dyDescent="0.35">
      <c r="A366" s="64" t="s">
        <v>77</v>
      </c>
      <c r="B366" s="14">
        <v>1.1662250349640857E-2</v>
      </c>
      <c r="C366" s="12">
        <v>2.0918939110945001E-2</v>
      </c>
      <c r="D366" s="12">
        <v>6.251953735542326E-3</v>
      </c>
      <c r="E366" s="12">
        <v>1.7647855836325332E-2</v>
      </c>
      <c r="F366" s="12">
        <v>-1.7750779061969091E-3</v>
      </c>
      <c r="G366" s="12">
        <v>-1.1085972850678805E-2</v>
      </c>
      <c r="H366" s="12">
        <v>2.6516748653080402E-2</v>
      </c>
      <c r="I366" s="12">
        <v>2.0056693587206409E-2</v>
      </c>
      <c r="J366" s="12">
        <v>1.3880855986119212E-2</v>
      </c>
      <c r="K366" s="12">
        <v>2.8961522548611729E-3</v>
      </c>
      <c r="L366" s="12">
        <v>-3.5633739287325161E-3</v>
      </c>
      <c r="M366" s="13">
        <f t="shared" si="43"/>
        <v>8.0723631059730731E-3</v>
      </c>
      <c r="N366" s="32">
        <f t="shared" si="44"/>
        <v>137.25843472668262</v>
      </c>
      <c r="O366" s="32">
        <f t="shared" si="45"/>
        <v>131.22963834166441</v>
      </c>
      <c r="P366" s="12" t="str">
        <f t="shared" si="46"/>
        <v/>
      </c>
      <c r="Q366" s="13">
        <f t="shared" si="47"/>
        <v>-3.5898872436677838E-3</v>
      </c>
      <c r="R366" s="49">
        <f t="shared" si="48"/>
        <v>1</v>
      </c>
    </row>
    <row r="367" spans="1:18" x14ac:dyDescent="0.35">
      <c r="A367" s="64" t="s">
        <v>77</v>
      </c>
      <c r="B367" s="14">
        <v>-4.3467350194470455E-4</v>
      </c>
      <c r="C367" s="12">
        <v>8.5376265398220408E-3</v>
      </c>
      <c r="D367" s="12">
        <v>-5.1258154706430581E-3</v>
      </c>
      <c r="E367" s="12">
        <v>-4.2272742402555963E-3</v>
      </c>
      <c r="F367" s="12">
        <v>3.0427566585000676E-3</v>
      </c>
      <c r="G367" s="12">
        <v>5.6623198352780957E-3</v>
      </c>
      <c r="H367" s="12">
        <v>-9.4473095705354115E-3</v>
      </c>
      <c r="I367" s="12">
        <v>-8.5465604026845332E-3</v>
      </c>
      <c r="J367" s="12">
        <v>-3.593839132915011E-2</v>
      </c>
      <c r="K367" s="12">
        <v>-8.2508250825081841E-3</v>
      </c>
      <c r="L367" s="12">
        <v>1.2674844959485787E-2</v>
      </c>
      <c r="M367" s="13">
        <f t="shared" si="43"/>
        <v>-3.3304061920800283E-3</v>
      </c>
      <c r="N367" s="32">
        <f t="shared" si="44"/>
        <v>136.80130838575366</v>
      </c>
      <c r="O367" s="32">
        <f t="shared" si="45"/>
        <v>131.17259629520751</v>
      </c>
      <c r="P367" s="12">
        <f t="shared" si="46"/>
        <v>-3.3304061920800283E-3</v>
      </c>
      <c r="Q367" s="13">
        <f t="shared" si="47"/>
        <v>-2.8957326901353237E-3</v>
      </c>
      <c r="R367" s="49" t="str">
        <f t="shared" si="48"/>
        <v/>
      </c>
    </row>
    <row r="368" spans="1:18" x14ac:dyDescent="0.35">
      <c r="A368" s="64">
        <v>4.33</v>
      </c>
      <c r="B368" s="14">
        <v>1.1304184094790948E-2</v>
      </c>
      <c r="C368" s="12">
        <v>2.0800580481315833E-2</v>
      </c>
      <c r="D368" s="12">
        <v>7.494145199063329E-3</v>
      </c>
      <c r="E368" s="12">
        <v>1.6379195079555986E-2</v>
      </c>
      <c r="F368" s="12">
        <v>-4.6093842335421797E-3</v>
      </c>
      <c r="G368" s="12">
        <v>-4.7204686344765046E-3</v>
      </c>
      <c r="H368" s="12">
        <v>6.5886472539624652E-3</v>
      </c>
      <c r="I368" s="12">
        <v>1.1846210799090429E-2</v>
      </c>
      <c r="J368" s="12">
        <v>2.7649273803119989E-2</v>
      </c>
      <c r="K368" s="12">
        <v>-3.1198003327786994E-3</v>
      </c>
      <c r="L368" s="12">
        <v>-4.4700728621877017E-3</v>
      </c>
      <c r="M368" s="13">
        <f t="shared" si="43"/>
        <v>5.1558431965953808E-3</v>
      </c>
      <c r="N368" s="32">
        <f t="shared" si="44"/>
        <v>137.50663448087971</v>
      </c>
      <c r="O368" s="32">
        <f t="shared" si="45"/>
        <v>132.65539547192023</v>
      </c>
      <c r="P368" s="12" t="str">
        <f t="shared" si="46"/>
        <v/>
      </c>
      <c r="Q368" s="13">
        <f t="shared" si="47"/>
        <v>-6.1483408981955669E-3</v>
      </c>
      <c r="R368" s="49">
        <f t="shared" si="48"/>
        <v>1</v>
      </c>
    </row>
    <row r="369" spans="1:18" x14ac:dyDescent="0.35">
      <c r="A369" s="64" t="s">
        <v>77</v>
      </c>
      <c r="B369" s="14">
        <v>-1.2272780670315009E-2</v>
      </c>
      <c r="C369" s="12">
        <v>8.2336216088141345E-3</v>
      </c>
      <c r="D369" s="12">
        <v>-5.8887339222066792E-3</v>
      </c>
      <c r="E369" s="12">
        <v>-1.5029928303624263E-2</v>
      </c>
      <c r="F369" s="12">
        <v>-4.135993034116936E-3</v>
      </c>
      <c r="G369" s="12">
        <v>-3.7714285714285367E-3</v>
      </c>
      <c r="H369" s="12">
        <v>-1.7347919622831443E-2</v>
      </c>
      <c r="I369" s="12">
        <v>-2.775309674384574E-2</v>
      </c>
      <c r="J369" s="12">
        <v>-2.6172529313232884E-2</v>
      </c>
      <c r="K369" s="12">
        <v>-1.2726893386188154E-2</v>
      </c>
      <c r="L369" s="12">
        <v>-2.424677832158495E-3</v>
      </c>
      <c r="M369" s="13">
        <f t="shared" si="43"/>
        <v>-1.2309495032822108E-2</v>
      </c>
      <c r="N369" s="32">
        <f t="shared" si="44"/>
        <v>135.81399724675725</v>
      </c>
      <c r="O369" s="32">
        <f t="shared" si="45"/>
        <v>131.02734489855945</v>
      </c>
      <c r="P369" s="12">
        <f t="shared" si="46"/>
        <v>-1.2309495032822108E-2</v>
      </c>
      <c r="Q369" s="13">
        <f t="shared" si="47"/>
        <v>-3.6714362507099182E-5</v>
      </c>
      <c r="R369" s="49" t="str">
        <f t="shared" si="48"/>
        <v/>
      </c>
    </row>
    <row r="370" spans="1:18" x14ac:dyDescent="0.35">
      <c r="A370" s="64" t="s">
        <v>77</v>
      </c>
      <c r="B370" s="14">
        <v>1.4343931206577842E-2</v>
      </c>
      <c r="C370" s="12">
        <v>2.2677868515363242E-2</v>
      </c>
      <c r="D370" s="12">
        <v>7.4045206547155296E-3</v>
      </c>
      <c r="E370" s="12">
        <v>1.5392834485291607E-2</v>
      </c>
      <c r="F370" s="12">
        <v>2.0328676748206709E-2</v>
      </c>
      <c r="G370" s="12">
        <v>5.1623264884708142E-3</v>
      </c>
      <c r="H370" s="12">
        <v>1.2250791876280864E-2</v>
      </c>
      <c r="I370" s="12">
        <v>1.5428448553918894E-2</v>
      </c>
      <c r="J370" s="12">
        <v>1.6179316276069722E-2</v>
      </c>
      <c r="K370" s="12">
        <v>6.128486897717611E-3</v>
      </c>
      <c r="L370" s="12">
        <v>1.8004230994295156E-4</v>
      </c>
      <c r="M370" s="13">
        <f t="shared" si="43"/>
        <v>8.5446250458444742E-3</v>
      </c>
      <c r="N370" s="32">
        <f t="shared" si="44"/>
        <v>136.97447692920815</v>
      </c>
      <c r="O370" s="32">
        <f t="shared" si="45"/>
        <v>132.90679211996493</v>
      </c>
      <c r="P370" s="12" t="str">
        <f t="shared" si="46"/>
        <v/>
      </c>
      <c r="Q370" s="13">
        <f t="shared" si="47"/>
        <v>-5.7993061607333682E-3</v>
      </c>
      <c r="R370" s="49">
        <f t="shared" si="48"/>
        <v>1</v>
      </c>
    </row>
    <row r="371" spans="1:18" x14ac:dyDescent="0.35">
      <c r="A371" s="64" t="s">
        <v>77</v>
      </c>
      <c r="B371" s="14">
        <v>5.0661923471737591E-3</v>
      </c>
      <c r="C371" s="12">
        <v>3.7341299477222645E-3</v>
      </c>
      <c r="D371" s="12">
        <v>1.6247582205028976E-2</v>
      </c>
      <c r="E371" s="12">
        <v>-1.3811246300559077E-3</v>
      </c>
      <c r="F371" s="12">
        <v>-8.3745569275128773E-4</v>
      </c>
      <c r="G371" s="12">
        <v>9.5868523168225472E-3</v>
      </c>
      <c r="H371" s="12">
        <v>5.1539275689107544E-3</v>
      </c>
      <c r="I371" s="12">
        <v>7.3587802424692761E-3</v>
      </c>
      <c r="J371" s="12">
        <v>-5.289605924360119E-4</v>
      </c>
      <c r="K371" s="12">
        <v>4.4108380592313701E-3</v>
      </c>
      <c r="L371" s="12">
        <v>5.1752846406551978E-3</v>
      </c>
      <c r="M371" s="13">
        <f t="shared" si="43"/>
        <v>7.5544237325095662E-3</v>
      </c>
      <c r="N371" s="32">
        <f t="shared" si="44"/>
        <v>138.00924016847026</v>
      </c>
      <c r="O371" s="32">
        <f t="shared" si="45"/>
        <v>133.58012349309053</v>
      </c>
      <c r="P371" s="12" t="str">
        <f t="shared" si="46"/>
        <v/>
      </c>
      <c r="Q371" s="13">
        <f t="shared" si="47"/>
        <v>2.4882313853358071E-3</v>
      </c>
      <c r="R371" s="49">
        <f t="shared" si="48"/>
        <v>1</v>
      </c>
    </row>
    <row r="372" spans="1:18" x14ac:dyDescent="0.35">
      <c r="A372" s="64" t="s">
        <v>77</v>
      </c>
      <c r="B372" s="14">
        <v>7.1449639670178033E-3</v>
      </c>
      <c r="C372" s="12">
        <v>5.0366300366300187E-3</v>
      </c>
      <c r="D372" s="12">
        <v>9.1358964598398096E-4</v>
      </c>
      <c r="E372" s="12">
        <v>2.3116438356164393E-2</v>
      </c>
      <c r="F372" s="12">
        <v>3.3136463754579459E-4</v>
      </c>
      <c r="G372" s="12">
        <v>5.1435677142213088E-3</v>
      </c>
      <c r="H372" s="12">
        <v>1.0712814173877261E-2</v>
      </c>
      <c r="I372" s="12">
        <v>-3.0481395837713698E-3</v>
      </c>
      <c r="J372" s="12">
        <v>-4.1810002646202049E-3</v>
      </c>
      <c r="K372" s="12">
        <v>1.7774989544123931E-2</v>
      </c>
      <c r="L372" s="12">
        <v>-6.7603868194843209E-3</v>
      </c>
      <c r="M372" s="13">
        <f t="shared" si="43"/>
        <v>5.7028099441530635E-3</v>
      </c>
      <c r="N372" s="32">
        <f t="shared" si="44"/>
        <v>138.79628063568799</v>
      </c>
      <c r="O372" s="32">
        <f t="shared" si="45"/>
        <v>134.53454866215844</v>
      </c>
      <c r="P372" s="12" t="str">
        <f t="shared" si="46"/>
        <v/>
      </c>
      <c r="Q372" s="13">
        <f t="shared" si="47"/>
        <v>-1.4421540228647398E-3</v>
      </c>
      <c r="R372" s="49">
        <f t="shared" si="48"/>
        <v>1</v>
      </c>
    </row>
    <row r="373" spans="1:18" x14ac:dyDescent="0.35">
      <c r="A373" s="64">
        <v>4.3499999999999996</v>
      </c>
      <c r="B373" s="14">
        <v>1.2256530405287291E-2</v>
      </c>
      <c r="C373" s="12">
        <v>1.9134396355353189E-2</v>
      </c>
      <c r="D373" s="12">
        <v>3.5749600669354731E-3</v>
      </c>
      <c r="E373" s="12">
        <v>1.5159317669777961E-2</v>
      </c>
      <c r="F373" s="12">
        <v>-4.812938425565183E-3</v>
      </c>
      <c r="G373" s="12">
        <v>-5.0610133273354396E-4</v>
      </c>
      <c r="H373" s="12">
        <v>3.3292566924853828E-2</v>
      </c>
      <c r="I373" s="12">
        <v>6.5366367949393211E-3</v>
      </c>
      <c r="J373" s="12">
        <v>2.9974489795918435E-2</v>
      </c>
      <c r="K373" s="12">
        <v>8.4240805424284915E-3</v>
      </c>
      <c r="L373" s="12">
        <v>-3.6511156186612714E-3</v>
      </c>
      <c r="M373" s="13">
        <f t="shared" si="43"/>
        <v>5.6102824281874311E-3</v>
      </c>
      <c r="N373" s="32">
        <f t="shared" si="44"/>
        <v>139.57496697003617</v>
      </c>
      <c r="O373" s="32">
        <f t="shared" si="45"/>
        <v>136.18347544839779</v>
      </c>
      <c r="P373" s="12" t="str">
        <f t="shared" si="46"/>
        <v/>
      </c>
      <c r="Q373" s="13">
        <f t="shared" si="47"/>
        <v>-6.6462479770998603E-3</v>
      </c>
      <c r="R373" s="49">
        <f t="shared" si="48"/>
        <v>1</v>
      </c>
    </row>
    <row r="374" spans="1:18" x14ac:dyDescent="0.35">
      <c r="A374" s="64" t="s">
        <v>77</v>
      </c>
      <c r="B374" s="14">
        <v>-6.2937213921756552E-3</v>
      </c>
      <c r="C374" s="12">
        <v>-6.6495306213678607E-3</v>
      </c>
      <c r="D374" s="12">
        <v>1.4400485068970514E-3</v>
      </c>
      <c r="E374" s="12">
        <v>-4.9142386100631263E-3</v>
      </c>
      <c r="F374" s="12">
        <v>1.9756035478628586E-2</v>
      </c>
      <c r="G374" s="12">
        <v>1.0408461798132151E-2</v>
      </c>
      <c r="H374" s="12">
        <v>-1.8279852709100597E-2</v>
      </c>
      <c r="I374" s="12">
        <v>-6.1799518173248913E-3</v>
      </c>
      <c r="J374" s="12">
        <v>5.7275541795664964E-3</v>
      </c>
      <c r="K374" s="12">
        <v>1.7929910350448219E-2</v>
      </c>
      <c r="L374" s="12">
        <v>9.229098805646041E-3</v>
      </c>
      <c r="M374" s="13">
        <f t="shared" si="43"/>
        <v>4.1052211933465671E-3</v>
      </c>
      <c r="N374" s="32">
        <f t="shared" si="44"/>
        <v>140.1479530825022</v>
      </c>
      <c r="O374" s="32">
        <f t="shared" si="45"/>
        <v>135.32637459570736</v>
      </c>
      <c r="P374" s="12" t="str">
        <f t="shared" si="46"/>
        <v/>
      </c>
      <c r="Q374" s="13">
        <f t="shared" si="47"/>
        <v>1.0398942585522222E-2</v>
      </c>
      <c r="R374" s="49">
        <f t="shared" si="48"/>
        <v>1</v>
      </c>
    </row>
    <row r="375" spans="1:18" x14ac:dyDescent="0.35">
      <c r="A375" s="64" t="s">
        <v>77</v>
      </c>
      <c r="B375" s="14">
        <v>-1.5652532890091164E-2</v>
      </c>
      <c r="C375" s="12">
        <v>-1.7775777690273942E-2</v>
      </c>
      <c r="D375" s="12">
        <v>-1.5969121319912127E-2</v>
      </c>
      <c r="E375" s="12">
        <v>-1.7683043395144371E-2</v>
      </c>
      <c r="F375" s="12">
        <v>-2.0832533312852841E-2</v>
      </c>
      <c r="G375" s="12">
        <v>-1.314104348794487E-2</v>
      </c>
      <c r="H375" s="12">
        <v>-9.7343156954676768E-3</v>
      </c>
      <c r="I375" s="12">
        <v>-1.4544688026981389E-2</v>
      </c>
      <c r="J375" s="12">
        <v>-1.7495254219896395E-2</v>
      </c>
      <c r="K375" s="12">
        <v>-6.4051240992794023E-3</v>
      </c>
      <c r="L375" s="12">
        <v>-1.1655011655012926E-3</v>
      </c>
      <c r="M375" s="13">
        <f t="shared" si="43"/>
        <v>-1.1274164611589225E-2</v>
      </c>
      <c r="N375" s="32">
        <f t="shared" si="44"/>
        <v>138.56790198947277</v>
      </c>
      <c r="O375" s="32">
        <f t="shared" si="45"/>
        <v>133.20817406645125</v>
      </c>
      <c r="P375" s="12">
        <f t="shared" si="46"/>
        <v>-1.1274164611589225E-2</v>
      </c>
      <c r="Q375" s="13">
        <f t="shared" si="47"/>
        <v>4.3783682785019391E-3</v>
      </c>
      <c r="R375" s="49" t="str">
        <f t="shared" si="48"/>
        <v/>
      </c>
    </row>
    <row r="376" spans="1:18" x14ac:dyDescent="0.35">
      <c r="A376" s="64" t="s">
        <v>77</v>
      </c>
      <c r="B376" s="14">
        <v>3.4102873691344016E-3</v>
      </c>
      <c r="C376" s="12">
        <v>-1.7181146555180771E-3</v>
      </c>
      <c r="D376" s="12">
        <v>9.9984617751114335E-4</v>
      </c>
      <c r="E376" s="12">
        <v>3.6002724530506125E-3</v>
      </c>
      <c r="F376" s="12">
        <v>5.137557111202673E-3</v>
      </c>
      <c r="G376" s="12">
        <v>5.41669017660662E-3</v>
      </c>
      <c r="H376" s="12">
        <v>2.0697118636425094E-2</v>
      </c>
      <c r="I376" s="12">
        <v>9.0909090909074841E-4</v>
      </c>
      <c r="J376" s="12">
        <v>-3.8642297650131052E-3</v>
      </c>
      <c r="K376" s="12">
        <v>1.4101531023368308E-2</v>
      </c>
      <c r="L376" s="12">
        <v>-1.3688178799030504E-2</v>
      </c>
      <c r="M376" s="13">
        <f t="shared" si="43"/>
        <v>1.7764736159180134E-3</v>
      </c>
      <c r="N376" s="32">
        <f t="shared" si="44"/>
        <v>138.81406421137018</v>
      </c>
      <c r="O376" s="32">
        <f t="shared" si="45"/>
        <v>133.66245221993552</v>
      </c>
      <c r="P376" s="12" t="str">
        <f t="shared" si="46"/>
        <v/>
      </c>
      <c r="Q376" s="13">
        <f t="shared" si="47"/>
        <v>-1.6338137532163882E-3</v>
      </c>
      <c r="R376" s="49">
        <f t="shared" si="48"/>
        <v>1</v>
      </c>
    </row>
    <row r="377" spans="1:18" x14ac:dyDescent="0.35">
      <c r="A377" s="64" t="s">
        <v>77</v>
      </c>
      <c r="B377" s="14">
        <v>8.0908782936564005E-3</v>
      </c>
      <c r="C377" s="12">
        <v>2.3693419769376334E-2</v>
      </c>
      <c r="D377" s="12">
        <v>9.2201306185168974E-4</v>
      </c>
      <c r="E377" s="12">
        <v>1.7936784952491847E-2</v>
      </c>
      <c r="F377" s="12">
        <v>-5.0137536822802975E-3</v>
      </c>
      <c r="G377" s="12">
        <v>-9.6526179920309874E-3</v>
      </c>
      <c r="H377" s="12">
        <v>6.0964834776462418E-3</v>
      </c>
      <c r="I377" s="12">
        <v>2.6179409093338712E-3</v>
      </c>
      <c r="J377" s="12">
        <v>2.201719438037486E-3</v>
      </c>
      <c r="K377" s="12">
        <v>1.9864918553835764E-4</v>
      </c>
      <c r="L377" s="12">
        <v>4.7322200482322607E-3</v>
      </c>
      <c r="M377" s="13">
        <f t="shared" si="43"/>
        <v>4.0987411191708524E-3</v>
      </c>
      <c r="N377" s="32">
        <f t="shared" si="44"/>
        <v>139.38302712427256</v>
      </c>
      <c r="O377" s="32">
        <f t="shared" si="45"/>
        <v>134.74389885327867</v>
      </c>
      <c r="P377" s="12" t="str">
        <f t="shared" si="46"/>
        <v/>
      </c>
      <c r="Q377" s="13">
        <f t="shared" si="47"/>
        <v>-3.9921371744855482E-3</v>
      </c>
      <c r="R377" s="49">
        <f t="shared" si="48"/>
        <v>1</v>
      </c>
    </row>
    <row r="378" spans="1:18" x14ac:dyDescent="0.35">
      <c r="A378" s="64">
        <v>4.33</v>
      </c>
      <c r="B378" s="14">
        <v>-1.2551716914267819E-2</v>
      </c>
      <c r="C378" s="12">
        <v>-1.8941941268773799E-2</v>
      </c>
      <c r="D378" s="12">
        <v>-1.0593382973823728E-2</v>
      </c>
      <c r="E378" s="12">
        <v>-1.2985363685430462E-2</v>
      </c>
      <c r="F378" s="12">
        <v>1.5175875455864407E-2</v>
      </c>
      <c r="G378" s="12">
        <v>6.4600215334051914E-3</v>
      </c>
      <c r="H378" s="12">
        <v>-7.2451040660402866E-3</v>
      </c>
      <c r="I378" s="12">
        <v>-1.2043056591708345E-2</v>
      </c>
      <c r="J378" s="12">
        <v>-4.4617637828224699E-2</v>
      </c>
      <c r="K378" s="12">
        <v>2.7805362462760552E-3</v>
      </c>
      <c r="L378" s="12">
        <v>-2.169285811331001E-2</v>
      </c>
      <c r="M378" s="13">
        <f t="shared" si="43"/>
        <v>-1.0100529398809677E-2</v>
      </c>
      <c r="N378" s="32">
        <f t="shared" si="44"/>
        <v>137.97518476110875</v>
      </c>
      <c r="O378" s="32">
        <f t="shared" si="45"/>
        <v>133.05263157894757</v>
      </c>
      <c r="P378" s="12">
        <f t="shared" si="46"/>
        <v>-1.0100529398809677E-2</v>
      </c>
      <c r="Q378" s="13">
        <f t="shared" si="47"/>
        <v>2.451187515458142E-3</v>
      </c>
      <c r="R378" s="49" t="str">
        <f t="shared" si="48"/>
        <v/>
      </c>
    </row>
    <row r="379" spans="1:18" x14ac:dyDescent="0.35">
      <c r="A379" s="64" t="s">
        <v>77</v>
      </c>
      <c r="B379" s="14">
        <v>-9.7168693868892042E-3</v>
      </c>
      <c r="C379" s="12">
        <v>-1.8450816862789821E-2</v>
      </c>
      <c r="D379" s="12">
        <v>3.8792769027853335E-3</v>
      </c>
      <c r="E379" s="12">
        <v>-3.66057642820381E-2</v>
      </c>
      <c r="F379" s="12">
        <v>2.7020241038318904E-2</v>
      </c>
      <c r="G379" s="12">
        <v>2.6012048871121962E-2</v>
      </c>
      <c r="H379" s="12">
        <v>-3.1314963067804902E-2</v>
      </c>
      <c r="I379" s="12">
        <v>-9.1154261057173613E-3</v>
      </c>
      <c r="J379" s="12">
        <v>-2.1516561730084871E-2</v>
      </c>
      <c r="K379" s="12">
        <v>2.3172905525846499E-2</v>
      </c>
      <c r="L379" s="12">
        <v>8.7954818998237094E-4</v>
      </c>
      <c r="M379" s="13">
        <f t="shared" si="43"/>
        <v>-4.4024917992394806E-4</v>
      </c>
      <c r="N379" s="32">
        <f t="shared" si="44"/>
        <v>137.91444129916783</v>
      </c>
      <c r="O379" s="32">
        <f t="shared" si="45"/>
        <v>131.75977653631304</v>
      </c>
      <c r="P379" s="12">
        <f t="shared" si="46"/>
        <v>-4.4024917992394806E-4</v>
      </c>
      <c r="Q379" s="13">
        <f t="shared" si="47"/>
        <v>9.2766202069652567E-3</v>
      </c>
      <c r="R379" s="49" t="str">
        <f t="shared" si="48"/>
        <v/>
      </c>
    </row>
    <row r="380" spans="1:18" x14ac:dyDescent="0.35">
      <c r="A380" s="64" t="s">
        <v>77</v>
      </c>
      <c r="B380" s="14">
        <v>4.2533724601945266E-3</v>
      </c>
      <c r="C380" s="12">
        <v>1.8041087120990174E-3</v>
      </c>
      <c r="D380" s="12">
        <v>-6.4920009274285206E-3</v>
      </c>
      <c r="E380" s="12">
        <v>6.2437395659431516E-3</v>
      </c>
      <c r="F380" s="12">
        <v>9.7790314997650007E-3</v>
      </c>
      <c r="G380" s="12">
        <v>-2.5791582066618801E-3</v>
      </c>
      <c r="H380" s="12">
        <v>-1.3058764439979886E-2</v>
      </c>
      <c r="I380" s="12">
        <v>-7.1852376027435882E-3</v>
      </c>
      <c r="J380" s="12">
        <v>-4.1965085049239237E-3</v>
      </c>
      <c r="K380" s="12">
        <v>1.0065814943863716E-2</v>
      </c>
      <c r="L380" s="12">
        <v>-1.4337912214976711E-3</v>
      </c>
      <c r="M380" s="13">
        <f t="shared" si="43"/>
        <v>-2.9038928878626405E-4</v>
      </c>
      <c r="N380" s="32">
        <f t="shared" si="44"/>
        <v>137.87439242264563</v>
      </c>
      <c r="O380" s="32">
        <f t="shared" si="45"/>
        <v>132.32019994119398</v>
      </c>
      <c r="P380" s="12">
        <f t="shared" si="46"/>
        <v>-2.9038928878626405E-4</v>
      </c>
      <c r="Q380" s="13">
        <f t="shared" si="47"/>
        <v>-4.5437617489807909E-3</v>
      </c>
      <c r="R380" s="49" t="str">
        <f t="shared" si="48"/>
        <v/>
      </c>
    </row>
    <row r="381" spans="1:18" x14ac:dyDescent="0.35">
      <c r="A381" s="64" t="s">
        <v>77</v>
      </c>
      <c r="B381" s="14">
        <v>-2.6509873983658894E-3</v>
      </c>
      <c r="C381" s="12">
        <v>-1.1908911351225626E-2</v>
      </c>
      <c r="D381" s="12">
        <v>-6.3788409179308392E-3</v>
      </c>
      <c r="E381" s="12">
        <v>-1.4599993363639263E-2</v>
      </c>
      <c r="F381" s="12">
        <v>1.6779960890213275E-2</v>
      </c>
      <c r="G381" s="12">
        <v>1.980633802816989E-3</v>
      </c>
      <c r="H381" s="12">
        <v>3.8399259773305161E-3</v>
      </c>
      <c r="I381" s="12">
        <v>7.1824113164098424E-3</v>
      </c>
      <c r="J381" s="12">
        <v>-1.5564420969826465E-2</v>
      </c>
      <c r="K381" s="12">
        <v>5.5576849367573455E-3</v>
      </c>
      <c r="L381" s="12">
        <v>5.2339045854561395E-3</v>
      </c>
      <c r="M381" s="13">
        <f t="shared" si="43"/>
        <v>-2.6294017247178135E-4</v>
      </c>
      <c r="N381" s="32">
        <f t="shared" si="44"/>
        <v>137.83813970612258</v>
      </c>
      <c r="O381" s="32">
        <f t="shared" si="45"/>
        <v>131.96942075860062</v>
      </c>
      <c r="P381" s="12">
        <f t="shared" si="46"/>
        <v>-2.6294017247178135E-4</v>
      </c>
      <c r="Q381" s="13">
        <f t="shared" si="47"/>
        <v>2.388047225894108E-3</v>
      </c>
      <c r="R381" s="49" t="str">
        <f t="shared" si="48"/>
        <v/>
      </c>
    </row>
    <row r="382" spans="1:18" x14ac:dyDescent="0.35">
      <c r="A382" s="64" t="s">
        <v>77</v>
      </c>
      <c r="B382" s="14">
        <v>-1.6877289295676778E-2</v>
      </c>
      <c r="C382" s="12">
        <v>-2.551590334528786E-2</v>
      </c>
      <c r="D382" s="12">
        <v>-1.0647459484850907E-2</v>
      </c>
      <c r="E382" s="12">
        <v>-3.9431592416742545E-2</v>
      </c>
      <c r="F382" s="12">
        <v>-1.5605538867316304E-2</v>
      </c>
      <c r="G382" s="12">
        <v>-1.2519218097957419E-2</v>
      </c>
      <c r="H382" s="12">
        <v>-1.0277444925799517E-2</v>
      </c>
      <c r="I382" s="12">
        <v>-3.3369624387588392E-2</v>
      </c>
      <c r="J382" s="12">
        <v>-9.7031963470317617E-4</v>
      </c>
      <c r="K382" s="12">
        <v>-1.9820850009529267E-2</v>
      </c>
      <c r="L382" s="12">
        <v>-4.5155047689259264E-3</v>
      </c>
      <c r="M382" s="13">
        <f t="shared" si="43"/>
        <v>-2.0030958549509644E-2</v>
      </c>
      <c r="N382" s="32">
        <f t="shared" si="44"/>
        <v>135.07710964312773</v>
      </c>
      <c r="O382" s="32">
        <f t="shared" si="45"/>
        <v>129.74213466627484</v>
      </c>
      <c r="P382" s="12">
        <f t="shared" si="46"/>
        <v>-2.0030958549509644E-2</v>
      </c>
      <c r="Q382" s="13">
        <f t="shared" si="47"/>
        <v>-3.1536692538328658E-3</v>
      </c>
      <c r="R382" s="49" t="str">
        <f t="shared" si="48"/>
        <v/>
      </c>
    </row>
    <row r="383" spans="1:18" x14ac:dyDescent="0.35">
      <c r="A383" s="64">
        <v>4.5</v>
      </c>
      <c r="B383" s="14">
        <v>-3.4175405039739148E-3</v>
      </c>
      <c r="C383" s="12">
        <v>1.1523378582201982E-2</v>
      </c>
      <c r="D383" s="12">
        <v>-3.0861755163409388E-3</v>
      </c>
      <c r="E383" s="12">
        <v>-1.1217836359812106E-2</v>
      </c>
      <c r="F383" s="12">
        <v>-6.940309615957152E-3</v>
      </c>
      <c r="G383" s="12">
        <v>3.3362989323837411E-4</v>
      </c>
      <c r="H383" s="12">
        <v>-1.5599534342258359E-2</v>
      </c>
      <c r="I383" s="12">
        <v>-1.143211128005861E-2</v>
      </c>
      <c r="J383" s="12">
        <v>7.1416328629376746E-3</v>
      </c>
      <c r="K383" s="12">
        <v>-6.8053665175967781E-3</v>
      </c>
      <c r="L383" s="12">
        <v>3.0085628326774749E-3</v>
      </c>
      <c r="M383" s="13">
        <f t="shared" si="43"/>
        <v>-5.6182011964715037E-3</v>
      </c>
      <c r="N383" s="32">
        <f t="shared" si="44"/>
        <v>134.31821926411479</v>
      </c>
      <c r="O383" s="32">
        <f t="shared" si="45"/>
        <v>129.29873566598081</v>
      </c>
      <c r="P383" s="12">
        <f t="shared" si="46"/>
        <v>-5.6182011964715037E-3</v>
      </c>
      <c r="Q383" s="13">
        <f t="shared" si="47"/>
        <v>-2.2006606924975889E-3</v>
      </c>
      <c r="R383" s="49" t="str">
        <f t="shared" si="48"/>
        <v/>
      </c>
    </row>
    <row r="384" spans="1:18" x14ac:dyDescent="0.35">
      <c r="A384" s="64" t="s">
        <v>77</v>
      </c>
      <c r="B384" s="14">
        <v>1.1174658040455254E-2</v>
      </c>
      <c r="C384" s="12">
        <v>1.6342598115233198E-2</v>
      </c>
      <c r="D384" s="12">
        <v>1.2700428639467187E-3</v>
      </c>
      <c r="E384" s="12">
        <v>1.9712117989080236E-2</v>
      </c>
      <c r="F384" s="12">
        <v>6.1643963950459568E-3</v>
      </c>
      <c r="G384" s="12">
        <v>4.2245692051139372E-3</v>
      </c>
      <c r="H384" s="12">
        <v>8.84578997161789E-3</v>
      </c>
      <c r="I384" s="12">
        <v>2.3071664577874129E-2</v>
      </c>
      <c r="J384" s="12">
        <v>3.7383707737689953E-2</v>
      </c>
      <c r="K384" s="12">
        <v>2.603758809710266E-2</v>
      </c>
      <c r="L384" s="12">
        <v>7.2450392247347395E-3</v>
      </c>
      <c r="M384" s="13">
        <f t="shared" si="43"/>
        <v>1.4588885498902799E-2</v>
      </c>
      <c r="N384" s="32">
        <f t="shared" si="44"/>
        <v>136.27777238537547</v>
      </c>
      <c r="O384" s="32">
        <f t="shared" si="45"/>
        <v>130.74360482211137</v>
      </c>
      <c r="P384" s="12" t="str">
        <f t="shared" si="46"/>
        <v/>
      </c>
      <c r="Q384" s="13">
        <f t="shared" si="47"/>
        <v>3.4142274584475444E-3</v>
      </c>
      <c r="R384" s="49">
        <f t="shared" si="48"/>
        <v>1</v>
      </c>
    </row>
    <row r="385" spans="1:18" x14ac:dyDescent="0.35">
      <c r="A385" s="64" t="s">
        <v>77</v>
      </c>
      <c r="B385" s="14">
        <v>-1.2144137417661627E-2</v>
      </c>
      <c r="C385" s="12">
        <v>-2.9988262910798147E-2</v>
      </c>
      <c r="D385" s="12">
        <v>3.3296337402886067E-3</v>
      </c>
      <c r="E385" s="12">
        <v>-2.7084347402823283E-2</v>
      </c>
      <c r="F385" s="12">
        <v>-4.0595903165734359E-3</v>
      </c>
      <c r="G385" s="12">
        <v>-4.2067972987932523E-3</v>
      </c>
      <c r="H385" s="12">
        <v>-2.2506681671121687E-3</v>
      </c>
      <c r="I385" s="12">
        <v>8.7421348627427786E-3</v>
      </c>
      <c r="J385" s="12">
        <v>-5.0855799201618979E-3</v>
      </c>
      <c r="K385" s="12">
        <v>-9.5401640908221452E-4</v>
      </c>
      <c r="L385" s="12">
        <v>4.3707334952123533E-2</v>
      </c>
      <c r="M385" s="13">
        <f t="shared" si="43"/>
        <v>6.0576590790423924E-3</v>
      </c>
      <c r="N385" s="32">
        <f t="shared" si="44"/>
        <v>137.10329667053742</v>
      </c>
      <c r="O385" s="32">
        <f t="shared" si="45"/>
        <v>129.15583651867121</v>
      </c>
      <c r="P385" s="12" t="str">
        <f t="shared" si="46"/>
        <v/>
      </c>
      <c r="Q385" s="13">
        <f t="shared" si="47"/>
        <v>1.8201796496704017E-2</v>
      </c>
      <c r="R385" s="49">
        <f t="shared" si="48"/>
        <v>1</v>
      </c>
    </row>
    <row r="386" spans="1:18" x14ac:dyDescent="0.35">
      <c r="A386" s="64" t="s">
        <v>77</v>
      </c>
      <c r="B386" s="14">
        <v>-2.0489050878880199E-4</v>
      </c>
      <c r="C386" s="12">
        <v>-1.3309940105269424E-3</v>
      </c>
      <c r="D386" s="12">
        <v>-3.0815423514538587E-3</v>
      </c>
      <c r="E386" s="12">
        <v>2.4657827966980683E-3</v>
      </c>
      <c r="F386" s="12">
        <v>-1.3836430948730438E-3</v>
      </c>
      <c r="G386" s="12">
        <v>-1.2451361867704347E-2</v>
      </c>
      <c r="H386" s="12">
        <v>1.7857982048028465E-3</v>
      </c>
      <c r="I386" s="12">
        <v>1.8326341355707543E-2</v>
      </c>
      <c r="J386" s="12">
        <v>-1.1487303506650615E-2</v>
      </c>
      <c r="K386" s="12">
        <v>-7.6394194041252694E-3</v>
      </c>
      <c r="L386" s="12">
        <v>9.2621043852332274E-3</v>
      </c>
      <c r="M386" s="13">
        <f t="shared" si="43"/>
        <v>2.8913814804519583E-3</v>
      </c>
      <c r="N386" s="32">
        <f t="shared" si="44"/>
        <v>137.49971460343951</v>
      </c>
      <c r="O386" s="32">
        <f t="shared" si="45"/>
        <v>129.12937371361386</v>
      </c>
      <c r="P386" s="12" t="str">
        <f t="shared" si="46"/>
        <v/>
      </c>
      <c r="Q386" s="13">
        <f t="shared" si="47"/>
        <v>3.0962719892407603E-3</v>
      </c>
      <c r="R386" s="49">
        <f t="shared" si="48"/>
        <v>1</v>
      </c>
    </row>
    <row r="387" spans="1:18" x14ac:dyDescent="0.35">
      <c r="A387" s="64" t="s">
        <v>77</v>
      </c>
      <c r="B387" s="14">
        <v>1.6057599693967584E-2</v>
      </c>
      <c r="C387" s="12">
        <v>1.4115223844429758E-2</v>
      </c>
      <c r="D387" s="12">
        <v>2.3618926844733323E-2</v>
      </c>
      <c r="E387" s="12">
        <v>1.7039783259660712E-2</v>
      </c>
      <c r="F387" s="12">
        <v>6.7780107849011451E-3</v>
      </c>
      <c r="G387" s="12">
        <v>3.050771135877528E-2</v>
      </c>
      <c r="H387" s="12">
        <v>1.1868461791058715E-2</v>
      </c>
      <c r="I387" s="12">
        <v>1.458152645273203E-2</v>
      </c>
      <c r="J387" s="12">
        <v>3.4083958854601137E-2</v>
      </c>
      <c r="K387" s="12">
        <v>1.1354888375673555E-2</v>
      </c>
      <c r="L387" s="12">
        <v>9.7425191370912323E-3</v>
      </c>
      <c r="M387" s="13">
        <f t="shared" si="43"/>
        <v>1.5859529409624436E-2</v>
      </c>
      <c r="N387" s="32">
        <f t="shared" si="44"/>
        <v>139.68039537100773</v>
      </c>
      <c r="O387" s="32">
        <f t="shared" si="45"/>
        <v>131.20288150543982</v>
      </c>
      <c r="P387" s="12" t="str">
        <f t="shared" si="46"/>
        <v/>
      </c>
      <c r="Q387" s="13">
        <f t="shared" si="47"/>
        <v>-1.9807028434314783E-4</v>
      </c>
      <c r="R387" s="49">
        <f t="shared" si="48"/>
        <v>1</v>
      </c>
    </row>
    <row r="388" spans="1:18" x14ac:dyDescent="0.35">
      <c r="A388" s="64">
        <v>4.5</v>
      </c>
      <c r="B388" s="14">
        <v>-6.1852759058855789E-4</v>
      </c>
      <c r="C388" s="12">
        <v>-1.0155316606930143E-3</v>
      </c>
      <c r="D388" s="12">
        <v>7.1002710027100235E-2</v>
      </c>
      <c r="E388" s="12">
        <v>3.7153873116018143E-3</v>
      </c>
      <c r="F388" s="12">
        <v>1.5454714524827828E-2</v>
      </c>
      <c r="G388" s="12">
        <v>4.4242953899933379E-3</v>
      </c>
      <c r="H388" s="12">
        <v>9.6893834028743964E-3</v>
      </c>
      <c r="I388" s="12">
        <v>6.8921301490625364E-3</v>
      </c>
      <c r="J388" s="12">
        <v>-1.3065921066781283E-2</v>
      </c>
      <c r="K388" s="12">
        <v>1.2559467174120043E-2</v>
      </c>
      <c r="L388" s="12">
        <v>1.2577532736044228E-2</v>
      </c>
      <c r="M388" s="13">
        <f t="shared" si="43"/>
        <v>2.629204514845853E-2</v>
      </c>
      <c r="N388" s="32">
        <f t="shared" si="44"/>
        <v>143.35287863245679</v>
      </c>
      <c r="O388" s="32">
        <f t="shared" si="45"/>
        <v>131.12172890326397</v>
      </c>
      <c r="P388" s="12" t="str">
        <f t="shared" si="46"/>
        <v/>
      </c>
      <c r="Q388" s="13">
        <f t="shared" si="47"/>
        <v>2.6910572739047088E-2</v>
      </c>
      <c r="R388" s="49">
        <f t="shared" si="48"/>
        <v>1</v>
      </c>
    </row>
    <row r="389" spans="1:18" x14ac:dyDescent="0.35">
      <c r="A389" s="64" t="s">
        <v>77</v>
      </c>
      <c r="B389" s="14">
        <v>-1.475294038502506E-2</v>
      </c>
      <c r="C389" s="12">
        <v>-4.8436285355498709E-3</v>
      </c>
      <c r="D389" s="12">
        <v>1.1061307113938712E-2</v>
      </c>
      <c r="E389" s="12">
        <v>-1.9381198491409402E-2</v>
      </c>
      <c r="F389" s="12">
        <v>-1.569568322924475E-2</v>
      </c>
      <c r="G389" s="12">
        <v>-2.8821578117351754E-3</v>
      </c>
      <c r="H389" s="12">
        <v>-6.1527159190045699E-3</v>
      </c>
      <c r="I389" s="12">
        <v>-1.4432770879762247E-2</v>
      </c>
      <c r="J389" s="12">
        <v>-1.3783710160719109E-2</v>
      </c>
      <c r="K389" s="12">
        <v>1.5034767900770074E-3</v>
      </c>
      <c r="L389" s="12">
        <v>-1.0677216266802847E-2</v>
      </c>
      <c r="M389" s="13">
        <f t="shared" si="43"/>
        <v>-3.9141149460923041E-3</v>
      </c>
      <c r="N389" s="32">
        <f t="shared" si="44"/>
        <v>142.79177898763615</v>
      </c>
      <c r="O389" s="32">
        <f t="shared" si="45"/>
        <v>129.18729785357269</v>
      </c>
      <c r="P389" s="12">
        <f t="shared" si="46"/>
        <v>-3.9141149460923041E-3</v>
      </c>
      <c r="Q389" s="13">
        <f t="shared" si="47"/>
        <v>1.0838825438932755E-2</v>
      </c>
      <c r="R389" s="49" t="str">
        <f t="shared" si="48"/>
        <v/>
      </c>
    </row>
    <row r="390" spans="1:18" x14ac:dyDescent="0.35">
      <c r="A390" s="64" t="s">
        <v>77</v>
      </c>
      <c r="B390" s="14">
        <v>-2.773997077607282E-2</v>
      </c>
      <c r="C390" s="12">
        <v>-2.7821175339502457E-2</v>
      </c>
      <c r="D390" s="12">
        <v>-1.1440829460135804E-2</v>
      </c>
      <c r="E390" s="12">
        <v>-2.4144439300594844E-2</v>
      </c>
      <c r="F390" s="12">
        <v>-3.0701101518309071E-2</v>
      </c>
      <c r="G390" s="12">
        <v>-9.9258289703316738E-3</v>
      </c>
      <c r="H390" s="12">
        <v>-3.8253638253638256E-2</v>
      </c>
      <c r="I390" s="12">
        <v>-2.7996123613653556E-2</v>
      </c>
      <c r="J390" s="12">
        <v>-2.2649431002099374E-2</v>
      </c>
      <c r="K390" s="12">
        <v>-1.8765246762994958E-2</v>
      </c>
      <c r="L390" s="12">
        <v>-6.9957432170959177E-2</v>
      </c>
      <c r="M390" s="13">
        <f t="shared" si="43"/>
        <v>-2.7988197944866053E-2</v>
      </c>
      <c r="N390" s="32">
        <f t="shared" si="44"/>
        <v>138.79529441243062</v>
      </c>
      <c r="O390" s="32">
        <f t="shared" si="45"/>
        <v>125.60364598647476</v>
      </c>
      <c r="P390" s="12">
        <f t="shared" si="46"/>
        <v>-2.7988197944866053E-2</v>
      </c>
      <c r="Q390" s="13">
        <f t="shared" si="47"/>
        <v>-2.4822716879323303E-4</v>
      </c>
      <c r="R390" s="49" t="str">
        <f t="shared" si="48"/>
        <v/>
      </c>
    </row>
    <row r="391" spans="1:18" x14ac:dyDescent="0.35">
      <c r="A391" s="64" t="s">
        <v>77</v>
      </c>
      <c r="B391" s="14">
        <v>5.6978589721381478E-3</v>
      </c>
      <c r="C391" s="12">
        <v>6.7371283762902578E-3</v>
      </c>
      <c r="D391" s="12">
        <v>6.1482820976490604E-3</v>
      </c>
      <c r="E391" s="12">
        <v>2.4413385395759768E-2</v>
      </c>
      <c r="F391" s="12">
        <v>6.3922908588318617E-3</v>
      </c>
      <c r="G391" s="12">
        <v>2.4622672689214475E-2</v>
      </c>
      <c r="H391" s="12">
        <v>8.5507037517413842E-3</v>
      </c>
      <c r="I391" s="12">
        <v>1.9718621912041767E-2</v>
      </c>
      <c r="J391" s="12">
        <v>-5.7087949355640877E-3</v>
      </c>
      <c r="K391" s="12">
        <v>3.8248231019322176E-4</v>
      </c>
      <c r="L391" s="12">
        <v>1.8492834026813121E-3</v>
      </c>
      <c r="M391" s="13">
        <f t="shared" si="43"/>
        <v>9.2771026701593366E-3</v>
      </c>
      <c r="N391" s="32">
        <f t="shared" si="44"/>
        <v>140.08291260882973</v>
      </c>
      <c r="O391" s="32">
        <f t="shared" si="45"/>
        <v>126.31931784769206</v>
      </c>
      <c r="P391" s="12" t="str">
        <f t="shared" si="46"/>
        <v/>
      </c>
      <c r="Q391" s="13">
        <f t="shared" si="47"/>
        <v>3.5792436980211888E-3</v>
      </c>
      <c r="R391" s="49">
        <f t="shared" si="48"/>
        <v>1</v>
      </c>
    </row>
    <row r="392" spans="1:18" x14ac:dyDescent="0.35">
      <c r="A392" s="64" t="s">
        <v>77</v>
      </c>
      <c r="B392" s="14">
        <v>-2.8146327383778869E-2</v>
      </c>
      <c r="C392" s="12">
        <v>-3.7328094302553905E-2</v>
      </c>
      <c r="D392" s="12">
        <v>-2.0920201294033047E-2</v>
      </c>
      <c r="E392" s="12">
        <v>-3.7403818751781115E-2</v>
      </c>
      <c r="F392" s="12">
        <v>-2.0008774104945948E-2</v>
      </c>
      <c r="G392" s="12">
        <v>-7.1501532175688443E-3</v>
      </c>
      <c r="H392" s="12">
        <v>-4.2152893546082426E-2</v>
      </c>
      <c r="I392" s="12">
        <v>-2.9603476371537152E-2</v>
      </c>
      <c r="J392" s="12">
        <v>-5.0423512023193728E-2</v>
      </c>
      <c r="K392" s="12">
        <v>-1.032307398203014E-2</v>
      </c>
      <c r="L392" s="12">
        <v>-2.9533917858790892E-2</v>
      </c>
      <c r="M392" s="13">
        <f t="shared" si="43"/>
        <v>-2.3976323104165708E-2</v>
      </c>
      <c r="N392" s="32">
        <f t="shared" si="44"/>
        <v>136.7242394347478</v>
      </c>
      <c r="O392" s="32">
        <f t="shared" si="45"/>
        <v>122.7638929726553</v>
      </c>
      <c r="P392" s="12">
        <f t="shared" si="46"/>
        <v>-2.3976323104165708E-2</v>
      </c>
      <c r="Q392" s="13">
        <f t="shared" si="47"/>
        <v>4.1700042796131605E-3</v>
      </c>
      <c r="R392" s="49" t="str">
        <f t="shared" si="48"/>
        <v/>
      </c>
    </row>
    <row r="393" spans="1:18" x14ac:dyDescent="0.35">
      <c r="A393" s="64">
        <v>4.49</v>
      </c>
      <c r="B393" s="14">
        <v>2.0981030848821192E-3</v>
      </c>
      <c r="C393" s="12">
        <v>-1.4668367346939437E-3</v>
      </c>
      <c r="D393" s="12">
        <v>-8.2972318085028363E-3</v>
      </c>
      <c r="E393" s="12">
        <v>4.8108948264377061E-2</v>
      </c>
      <c r="F393" s="12">
        <v>5.8390750905079614E-5</v>
      </c>
      <c r="G393" s="12">
        <v>-1.3970110461338558E-2</v>
      </c>
      <c r="H393" s="12">
        <v>6.4694181999005673E-2</v>
      </c>
      <c r="I393" s="12">
        <v>-5.7094878253568515E-3</v>
      </c>
      <c r="J393" s="12">
        <v>-7.5311302681992265E-2</v>
      </c>
      <c r="K393" s="12">
        <v>-6.9538342669500652E-3</v>
      </c>
      <c r="L393" s="12">
        <v>1.7403708987161259E-2</v>
      </c>
      <c r="M393" s="13">
        <f t="shared" si="43"/>
        <v>4.710590735564341E-3</v>
      </c>
      <c r="N393" s="32">
        <f t="shared" si="44"/>
        <v>137.36829137035619</v>
      </c>
      <c r="O393" s="32">
        <f t="shared" si="45"/>
        <v>123.02146427521336</v>
      </c>
      <c r="P393" s="12" t="str">
        <f t="shared" si="46"/>
        <v/>
      </c>
      <c r="Q393" s="13">
        <f t="shared" si="47"/>
        <v>2.6124876506822218E-3</v>
      </c>
      <c r="R393" s="49">
        <f t="shared" si="48"/>
        <v>1</v>
      </c>
    </row>
    <row r="394" spans="1:18" x14ac:dyDescent="0.35">
      <c r="A394" s="64" t="s">
        <v>77</v>
      </c>
      <c r="B394" s="14">
        <v>2.474689050564538E-2</v>
      </c>
      <c r="C394" s="12">
        <v>4.5155521491984318E-2</v>
      </c>
      <c r="D394" s="12">
        <v>5.0347993484378684E-3</v>
      </c>
      <c r="E394" s="12">
        <v>2.2632582444742422E-2</v>
      </c>
      <c r="F394" s="12">
        <v>2.06496564878067E-2</v>
      </c>
      <c r="G394" s="12">
        <v>7.4684239428886023E-3</v>
      </c>
      <c r="H394" s="12">
        <v>3.0591751903227271E-2</v>
      </c>
      <c r="I394" s="12">
        <v>2.448910656983605E-2</v>
      </c>
      <c r="J394" s="12">
        <v>-1.5538003366567521E-3</v>
      </c>
      <c r="K394" s="12">
        <v>1.2837969266679794E-2</v>
      </c>
      <c r="L394" s="12">
        <v>-7.1041316133857446E-3</v>
      </c>
      <c r="M394" s="13">
        <f t="shared" si="43"/>
        <v>1.0906377839585587E-2</v>
      </c>
      <c r="N394" s="32">
        <f t="shared" si="44"/>
        <v>138.86648185921956</v>
      </c>
      <c r="O394" s="32">
        <f t="shared" si="45"/>
        <v>126.06586298147623</v>
      </c>
      <c r="P394" s="12" t="str">
        <f t="shared" si="46"/>
        <v/>
      </c>
      <c r="Q394" s="13">
        <f t="shared" si="47"/>
        <v>-1.3840512666059793E-2</v>
      </c>
      <c r="R394" s="49">
        <f t="shared" si="48"/>
        <v>1</v>
      </c>
    </row>
    <row r="395" spans="1:18" x14ac:dyDescent="0.35">
      <c r="A395" s="64" t="s">
        <v>77</v>
      </c>
      <c r="B395" s="14">
        <v>-3.6284548104956182E-2</v>
      </c>
      <c r="C395" s="12">
        <v>-3.6604742116841726E-2</v>
      </c>
      <c r="D395" s="12">
        <v>-2.6005598939148333E-2</v>
      </c>
      <c r="E395" s="12">
        <v>-4.1811966992369665E-2</v>
      </c>
      <c r="F395" s="12">
        <v>-3.026200373746224E-2</v>
      </c>
      <c r="G395" s="12">
        <v>-1.6352338384388987E-2</v>
      </c>
      <c r="H395" s="12">
        <v>-3.4124898033173201E-2</v>
      </c>
      <c r="I395" s="12">
        <v>-3.9949444993955252E-2</v>
      </c>
      <c r="J395" s="12">
        <v>-3.4885228893788089E-2</v>
      </c>
      <c r="K395" s="12">
        <v>-2.054926061071638E-2</v>
      </c>
      <c r="L395" s="12">
        <v>-8.9437017510827221E-3</v>
      </c>
      <c r="M395" s="13">
        <f t="shared" si="43"/>
        <v>-2.6762575647631241E-2</v>
      </c>
      <c r="N395" s="32">
        <f t="shared" si="44"/>
        <v>135.15005713354179</v>
      </c>
      <c r="O395" s="32">
        <f t="shared" si="45"/>
        <v>121.49162011173205</v>
      </c>
      <c r="P395" s="12">
        <f t="shared" si="46"/>
        <v>-2.6762575647631241E-2</v>
      </c>
      <c r="Q395" s="13">
        <f t="shared" si="47"/>
        <v>9.5219724573249419E-3</v>
      </c>
      <c r="R395" s="49" t="str">
        <f t="shared" si="48"/>
        <v/>
      </c>
    </row>
    <row r="396" spans="1:18" x14ac:dyDescent="0.35">
      <c r="A396" s="64" t="s">
        <v>77</v>
      </c>
      <c r="B396" s="14">
        <v>5.6753139573999523E-3</v>
      </c>
      <c r="C396" s="12">
        <v>1.9663812242309842E-3</v>
      </c>
      <c r="D396" s="12">
        <v>6.2778912336434178E-3</v>
      </c>
      <c r="E396" s="12">
        <v>2.5043240126837896E-2</v>
      </c>
      <c r="F396" s="12">
        <v>-1.455117490905522E-2</v>
      </c>
      <c r="G396" s="12">
        <v>-1.0085337470907785E-2</v>
      </c>
      <c r="H396" s="12">
        <v>-7.5071552573546807E-3</v>
      </c>
      <c r="I396" s="12">
        <v>-1.7686451834468597E-2</v>
      </c>
      <c r="J396" s="12">
        <v>-1.5452835259338604E-3</v>
      </c>
      <c r="K396" s="12">
        <v>-6.6666666666667096E-3</v>
      </c>
      <c r="L396" s="12">
        <v>7.2670276432031944E-3</v>
      </c>
      <c r="M396" s="13">
        <f t="shared" si="43"/>
        <v>1.5422033664142308E-3</v>
      </c>
      <c r="N396" s="32">
        <f t="shared" si="44"/>
        <v>135.35848600662422</v>
      </c>
      <c r="O396" s="32">
        <f t="shared" si="45"/>
        <v>122.18112319905929</v>
      </c>
      <c r="P396" s="12" t="str">
        <f t="shared" si="46"/>
        <v/>
      </c>
      <c r="Q396" s="13">
        <f t="shared" si="47"/>
        <v>-4.133110590985721E-3</v>
      </c>
      <c r="R396" s="49">
        <f t="shared" si="48"/>
        <v>1</v>
      </c>
    </row>
    <row r="397" spans="1:18" x14ac:dyDescent="0.35">
      <c r="A397" s="64" t="s">
        <v>77</v>
      </c>
      <c r="B397" s="14">
        <v>4.8371027439124692E-3</v>
      </c>
      <c r="C397" s="12">
        <v>9.6226892884272441E-3</v>
      </c>
      <c r="D397" s="12">
        <v>-3.9085989176186331E-3</v>
      </c>
      <c r="E397" s="12">
        <v>-9.456181671178121E-3</v>
      </c>
      <c r="F397" s="12">
        <v>-3.052978150254404E-3</v>
      </c>
      <c r="G397" s="12">
        <v>-1.9592476489027622E-3</v>
      </c>
      <c r="H397" s="12">
        <v>-1.404056162246492E-2</v>
      </c>
      <c r="I397" s="12">
        <v>2.8551450879852336E-3</v>
      </c>
      <c r="J397" s="12">
        <v>3.3443240697126786E-2</v>
      </c>
      <c r="K397" s="12">
        <v>3.5530990919858674E-3</v>
      </c>
      <c r="L397" s="12">
        <v>7.3089074362240325E-3</v>
      </c>
      <c r="M397" s="13">
        <f t="shared" si="43"/>
        <v>2.0128218268121879E-4</v>
      </c>
      <c r="N397" s="32">
        <f t="shared" si="44"/>
        <v>135.38573125813204</v>
      </c>
      <c r="O397" s="32">
        <f t="shared" si="45"/>
        <v>122.77212584533976</v>
      </c>
      <c r="P397" s="12" t="str">
        <f t="shared" si="46"/>
        <v/>
      </c>
      <c r="Q397" s="13">
        <f t="shared" si="47"/>
        <v>-4.6358205612312504E-3</v>
      </c>
      <c r="R397" s="49">
        <f t="shared" si="48"/>
        <v>1</v>
      </c>
    </row>
    <row r="398" spans="1:18" x14ac:dyDescent="0.35">
      <c r="A398" s="64">
        <v>4.3899999999999997</v>
      </c>
      <c r="B398" s="14">
        <v>2.9862434977535601E-2</v>
      </c>
      <c r="C398" s="12">
        <v>4.1008276899924923E-2</v>
      </c>
      <c r="D398" s="12">
        <v>3.6824630244491452E-2</v>
      </c>
      <c r="E398" s="12">
        <v>2.9100716871318211E-2</v>
      </c>
      <c r="F398" s="12">
        <v>1.6012169248629027E-2</v>
      </c>
      <c r="G398" s="12">
        <v>1.0712883504403026E-2</v>
      </c>
      <c r="H398" s="12">
        <v>2.857690832374371E-2</v>
      </c>
      <c r="I398" s="12">
        <v>3.3176456917087815E-2</v>
      </c>
      <c r="J398" s="12">
        <v>2.2073186612840079E-2</v>
      </c>
      <c r="K398" s="12">
        <v>1.3768686073957426E-2</v>
      </c>
      <c r="L398" s="12">
        <v>4.1990450332365814E-2</v>
      </c>
      <c r="M398" s="13">
        <f t="shared" si="43"/>
        <v>3.0768725975549312E-2</v>
      </c>
      <c r="N398" s="32">
        <f t="shared" si="44"/>
        <v>139.55137772421287</v>
      </c>
      <c r="O398" s="32">
        <f t="shared" si="45"/>
        <v>126.43840047045003</v>
      </c>
      <c r="P398" s="12" t="str">
        <f t="shared" si="46"/>
        <v/>
      </c>
      <c r="Q398" s="13">
        <f t="shared" si="47"/>
        <v>9.0629099801371044E-4</v>
      </c>
      <c r="R398" s="49">
        <f t="shared" si="48"/>
        <v>1</v>
      </c>
    </row>
    <row r="399" spans="1:18" x14ac:dyDescent="0.35">
      <c r="A399" s="64" t="s">
        <v>77</v>
      </c>
      <c r="B399" s="14">
        <v>-3.5649753381843063E-2</v>
      </c>
      <c r="C399" s="12">
        <v>-5.5716178773641767E-2</v>
      </c>
      <c r="D399" s="12">
        <v>-1.0771470160116592E-2</v>
      </c>
      <c r="E399" s="12">
        <v>-4.3554727912269775E-2</v>
      </c>
      <c r="F399" s="12">
        <v>-2.5412710295102614E-2</v>
      </c>
      <c r="G399" s="12">
        <v>-1.9089900110987768E-2</v>
      </c>
      <c r="H399" s="12">
        <v>-4.3259369755733745E-2</v>
      </c>
      <c r="I399" s="12">
        <v>-3.8297154425823932E-2</v>
      </c>
      <c r="J399" s="12">
        <v>-4.1409186468752024E-2</v>
      </c>
      <c r="K399" s="12">
        <v>-1.2223515715948818E-2</v>
      </c>
      <c r="L399" s="12">
        <v>-2.9920481602947135E-2</v>
      </c>
      <c r="M399" s="13">
        <f t="shared" si="43"/>
        <v>-2.420884662210062E-2</v>
      </c>
      <c r="N399" s="32">
        <f t="shared" si="44"/>
        <v>136.17299982498457</v>
      </c>
      <c r="O399" s="32">
        <f t="shared" si="45"/>
        <v>121.93090267568378</v>
      </c>
      <c r="P399" s="12">
        <f t="shared" si="46"/>
        <v>-2.420884662210062E-2</v>
      </c>
      <c r="Q399" s="13">
        <f t="shared" si="47"/>
        <v>1.1440906759742443E-2</v>
      </c>
      <c r="R399" s="49" t="str">
        <f t="shared" si="48"/>
        <v/>
      </c>
    </row>
    <row r="400" spans="1:18" x14ac:dyDescent="0.35">
      <c r="A400" s="64" t="s">
        <v>77</v>
      </c>
      <c r="B400" s="14">
        <v>-5.6741590645473794E-3</v>
      </c>
      <c r="C400" s="12">
        <v>3.2531734387957201E-3</v>
      </c>
      <c r="D400" s="12">
        <v>1.2875220718069347E-2</v>
      </c>
      <c r="E400" s="12">
        <v>-9.4465476834324491E-3</v>
      </c>
      <c r="F400" s="12">
        <v>9.904592496765785E-3</v>
      </c>
      <c r="G400" s="12">
        <v>-2.2063815342836524E-3</v>
      </c>
      <c r="H400" s="12">
        <v>-1.1791073864743762E-2</v>
      </c>
      <c r="I400" s="12">
        <v>-2.2571779428103511E-2</v>
      </c>
      <c r="J400" s="12">
        <v>-1.0433973549544673E-2</v>
      </c>
      <c r="K400" s="12">
        <v>-2.0821056766843316E-2</v>
      </c>
      <c r="L400" s="12">
        <v>-5.9278469874496365E-3</v>
      </c>
      <c r="M400" s="13">
        <f t="shared" si="43"/>
        <v>-7.7905512026567271E-3</v>
      </c>
      <c r="N400" s="32">
        <f t="shared" si="44"/>
        <v>135.11213709742867</v>
      </c>
      <c r="O400" s="32">
        <f t="shared" si="45"/>
        <v>121.2390473390181</v>
      </c>
      <c r="P400" s="12">
        <f t="shared" si="46"/>
        <v>-7.7905512026567271E-3</v>
      </c>
      <c r="Q400" s="13">
        <f t="shared" si="47"/>
        <v>-2.1163921381093477E-3</v>
      </c>
      <c r="R400" s="49" t="str">
        <f t="shared" si="48"/>
        <v/>
      </c>
    </row>
    <row r="401" spans="1:18" x14ac:dyDescent="0.35">
      <c r="A401" s="64" t="s">
        <v>77</v>
      </c>
      <c r="B401" s="14">
        <v>-3.2037134944001844E-2</v>
      </c>
      <c r="C401" s="12">
        <v>-3.3189216683621514E-2</v>
      </c>
      <c r="D401" s="12">
        <v>-2.3461901648870409E-2</v>
      </c>
      <c r="E401" s="12">
        <v>-3.6945364539730075E-2</v>
      </c>
      <c r="F401" s="12">
        <v>-2.6420079260237705E-2</v>
      </c>
      <c r="G401" s="12">
        <v>5.4431025684640311E-3</v>
      </c>
      <c r="H401" s="12">
        <v>-4.8417315846563391E-2</v>
      </c>
      <c r="I401" s="12">
        <v>-3.6673646425366413E-2</v>
      </c>
      <c r="J401" s="12">
        <v>-0.10470114170584288</v>
      </c>
      <c r="K401" s="12">
        <v>1.1835506519558558E-2</v>
      </c>
      <c r="L401" s="12">
        <v>-3.8947123223852853E-2</v>
      </c>
      <c r="M401" s="13">
        <f t="shared" ref="M401:M464" si="49">SUMPRODUCT($C$2:$L$2,C401:L401)</f>
        <v>-2.2615024564020682E-2</v>
      </c>
      <c r="N401" s="32">
        <f t="shared" ref="N401:N464" si="50">+(N400*(1+M401))</f>
        <v>132.05657279807301</v>
      </c>
      <c r="O401" s="32">
        <f t="shared" ref="O401:O464" si="51">+(O400*(1+B401))</f>
        <v>117.35489561893574</v>
      </c>
      <c r="P401" s="12">
        <f t="shared" ref="P401:P464" si="52">+IF(M401&lt;0,M401,"")</f>
        <v>-2.2615024564020682E-2</v>
      </c>
      <c r="Q401" s="13">
        <f t="shared" ref="Q401:Q464" si="53">M401-B401</f>
        <v>9.422110379981162E-3</v>
      </c>
      <c r="R401" s="49" t="str">
        <f t="shared" ref="R401:R464" si="54">+IF(M401&gt;0,1,"")</f>
        <v/>
      </c>
    </row>
    <row r="402" spans="1:18" x14ac:dyDescent="0.35">
      <c r="A402" s="64" t="s">
        <v>77</v>
      </c>
      <c r="B402" s="14">
        <v>2.4578827632515399E-3</v>
      </c>
      <c r="C402" s="12">
        <v>1.6112061028541236E-2</v>
      </c>
      <c r="D402" s="12">
        <v>-3.94971734602797E-2</v>
      </c>
      <c r="E402" s="12">
        <v>1.8595509864691273E-2</v>
      </c>
      <c r="F402" s="12">
        <v>3.2687800666091338E-3</v>
      </c>
      <c r="G402" s="12">
        <v>-1.3534088986635329E-3</v>
      </c>
      <c r="H402" s="12">
        <v>3.0051813471503319E-3</v>
      </c>
      <c r="I402" s="12">
        <v>5.0304310023598919E-3</v>
      </c>
      <c r="J402" s="12">
        <v>-2.7004725827021181E-3</v>
      </c>
      <c r="K402" s="12">
        <v>-1.407613005551156E-2</v>
      </c>
      <c r="L402" s="12">
        <v>-1.5996897571380009E-2</v>
      </c>
      <c r="M402" s="13">
        <f t="shared" si="49"/>
        <v>-1.3166031259245273E-2</v>
      </c>
      <c r="N402" s="32">
        <f t="shared" si="50"/>
        <v>130.31791183262476</v>
      </c>
      <c r="O402" s="32">
        <f t="shared" si="51"/>
        <v>117.64334019406071</v>
      </c>
      <c r="P402" s="12">
        <f t="shared" si="52"/>
        <v>-1.3166031259245273E-2</v>
      </c>
      <c r="Q402" s="13">
        <f t="shared" si="53"/>
        <v>-1.5623914022496813E-2</v>
      </c>
      <c r="R402" s="49" t="str">
        <f t="shared" si="54"/>
        <v/>
      </c>
    </row>
    <row r="403" spans="1:18" x14ac:dyDescent="0.35">
      <c r="A403" s="64">
        <v>4.49</v>
      </c>
      <c r="B403" s="14">
        <v>-1.6463178415666024E-2</v>
      </c>
      <c r="C403" s="12">
        <v>-5.1841304769917773E-2</v>
      </c>
      <c r="D403" s="12">
        <v>1.254549678618444E-2</v>
      </c>
      <c r="E403" s="12">
        <v>-3.3209647495361705E-2</v>
      </c>
      <c r="F403" s="12">
        <v>-3.811397307432296E-3</v>
      </c>
      <c r="G403" s="12">
        <v>-5.4209723869219628E-3</v>
      </c>
      <c r="H403" s="12">
        <v>1.6220683954953907E-2</v>
      </c>
      <c r="I403" s="12">
        <v>-1.5077550515973703E-2</v>
      </c>
      <c r="J403" s="12">
        <v>-2.6776983828507017E-2</v>
      </c>
      <c r="K403" s="12">
        <v>-1.0456464910516661E-2</v>
      </c>
      <c r="L403" s="12">
        <v>1.0936499334942562E-2</v>
      </c>
      <c r="M403" s="13">
        <f t="shared" si="49"/>
        <v>-4.5508508469438358E-3</v>
      </c>
      <c r="N403" s="32">
        <f t="shared" si="50"/>
        <v>129.72485445318929</v>
      </c>
      <c r="O403" s="32">
        <f t="shared" si="51"/>
        <v>115.706556895031</v>
      </c>
      <c r="P403" s="12">
        <f t="shared" si="52"/>
        <v>-4.5508508469438358E-3</v>
      </c>
      <c r="Q403" s="13">
        <f t="shared" si="53"/>
        <v>1.1912327568722188E-2</v>
      </c>
      <c r="R403" s="49" t="str">
        <f t="shared" si="54"/>
        <v/>
      </c>
    </row>
    <row r="404" spans="1:18" x14ac:dyDescent="0.35">
      <c r="A404" s="64" t="s">
        <v>77</v>
      </c>
      <c r="B404" s="14">
        <v>-1.2960017076728558E-3</v>
      </c>
      <c r="C404" s="12">
        <v>-2.6894197952218368E-2</v>
      </c>
      <c r="D404" s="12">
        <v>1.6443594646271542E-2</v>
      </c>
      <c r="E404" s="12">
        <v>-1.9957781615812742E-2</v>
      </c>
      <c r="F404" s="12">
        <v>-1.5118790496760237E-2</v>
      </c>
      <c r="G404" s="12">
        <v>9.8790665985353243E-3</v>
      </c>
      <c r="H404" s="12">
        <v>-1.3979259861732429E-2</v>
      </c>
      <c r="I404" s="12">
        <v>-3.8396386222472989E-2</v>
      </c>
      <c r="J404" s="12">
        <v>-4.8303578329082497E-2</v>
      </c>
      <c r="K404" s="12">
        <v>-1.0160536476326865E-3</v>
      </c>
      <c r="L404" s="12">
        <v>-1.062326397349056E-2</v>
      </c>
      <c r="M404" s="13">
        <f t="shared" si="49"/>
        <v>-7.684971409073941E-3</v>
      </c>
      <c r="N404" s="32">
        <f t="shared" si="50"/>
        <v>128.72792265567026</v>
      </c>
      <c r="O404" s="32">
        <f t="shared" si="51"/>
        <v>115.55660099970609</v>
      </c>
      <c r="P404" s="12">
        <f t="shared" si="52"/>
        <v>-7.684971409073941E-3</v>
      </c>
      <c r="Q404" s="13">
        <f t="shared" si="53"/>
        <v>-6.3889697014010852E-3</v>
      </c>
      <c r="R404" s="49" t="str">
        <f t="shared" si="54"/>
        <v/>
      </c>
    </row>
    <row r="405" spans="1:18" x14ac:dyDescent="0.35">
      <c r="A405" s="64" t="s">
        <v>77</v>
      </c>
      <c r="B405" s="14">
        <v>2.386974310955492E-2</v>
      </c>
      <c r="C405" s="12">
        <v>3.1916386083052917E-2</v>
      </c>
      <c r="D405" s="12">
        <v>5.2671181339352113E-3</v>
      </c>
      <c r="E405" s="12">
        <v>2.2596436263951469E-2</v>
      </c>
      <c r="F405" s="12">
        <v>1.3784461152882121E-2</v>
      </c>
      <c r="G405" s="12">
        <v>-5.7345252150448056E-3</v>
      </c>
      <c r="H405" s="12">
        <v>2.7117595504459358E-2</v>
      </c>
      <c r="I405" s="12">
        <v>3.5753898349318192E-2</v>
      </c>
      <c r="J405" s="12">
        <v>3.2970602566184892E-2</v>
      </c>
      <c r="K405" s="12">
        <v>3.8649308380798164E-3</v>
      </c>
      <c r="L405" s="12">
        <v>6.4029946313353125E-3</v>
      </c>
      <c r="M405" s="13">
        <f t="shared" si="49"/>
        <v>1.3424317607901026E-2</v>
      </c>
      <c r="N405" s="32">
        <f t="shared" si="50"/>
        <v>130.45600717440527</v>
      </c>
      <c r="O405" s="32">
        <f t="shared" si="51"/>
        <v>118.31490738018242</v>
      </c>
      <c r="P405" s="12" t="str">
        <f t="shared" si="52"/>
        <v/>
      </c>
      <c r="Q405" s="13">
        <f t="shared" si="53"/>
        <v>-1.0445425501653893E-2</v>
      </c>
      <c r="R405" s="49">
        <f t="shared" si="54"/>
        <v>1</v>
      </c>
    </row>
    <row r="406" spans="1:18" x14ac:dyDescent="0.35">
      <c r="A406" s="64" t="s">
        <v>77</v>
      </c>
      <c r="B406" s="14">
        <v>-3.9464299471405617E-3</v>
      </c>
      <c r="C406" s="12">
        <v>-1.0672286044456691E-2</v>
      </c>
      <c r="D406" s="12">
        <v>1.0703592814371277E-2</v>
      </c>
      <c r="E406" s="12">
        <v>1.455269607843146E-3</v>
      </c>
      <c r="F406" s="12">
        <v>7.869798104656045E-3</v>
      </c>
      <c r="G406" s="12">
        <v>6.9550466497032559E-3</v>
      </c>
      <c r="H406" s="12">
        <v>-7.1274406464889584E-3</v>
      </c>
      <c r="I406" s="12">
        <v>-1.4614173228346461E-2</v>
      </c>
      <c r="J406" s="12">
        <v>-2.4764150943396235E-2</v>
      </c>
      <c r="K406" s="12">
        <v>1.0131712259371373E-3</v>
      </c>
      <c r="L406" s="12">
        <v>1.3996965692751884E-2</v>
      </c>
      <c r="M406" s="13">
        <f t="shared" si="49"/>
        <v>2.9356986883225513E-3</v>
      </c>
      <c r="N406" s="32">
        <f t="shared" si="50"/>
        <v>130.83898670355094</v>
      </c>
      <c r="O406" s="32">
        <f t="shared" si="51"/>
        <v>117.84798588650411</v>
      </c>
      <c r="P406" s="12" t="str">
        <f t="shared" si="52"/>
        <v/>
      </c>
      <c r="Q406" s="13">
        <f t="shared" si="53"/>
        <v>6.8821286354631131E-3</v>
      </c>
      <c r="R406" s="49">
        <f t="shared" si="54"/>
        <v>1</v>
      </c>
    </row>
    <row r="407" spans="1:18" x14ac:dyDescent="0.35">
      <c r="A407" s="64">
        <v>4.5999999999999996</v>
      </c>
      <c r="B407" s="14">
        <v>2.0169610355263545E-2</v>
      </c>
      <c r="C407" s="12">
        <v>2.5422564243507084E-2</v>
      </c>
      <c r="D407" s="12">
        <v>2.4735244019847391E-2</v>
      </c>
      <c r="E407" s="12">
        <v>2.0344168260038265E-2</v>
      </c>
      <c r="F407" s="12">
        <v>6.7658722047339026E-3</v>
      </c>
      <c r="G407" s="12">
        <v>4.1554357592092916E-3</v>
      </c>
      <c r="H407" s="12">
        <v>3.1292654567514289E-2</v>
      </c>
      <c r="I407" s="12">
        <v>3.4648085405612594E-2</v>
      </c>
      <c r="J407" s="12">
        <v>6.4490124949617256E-2</v>
      </c>
      <c r="K407" s="12">
        <v>-0.11376518218623477</v>
      </c>
      <c r="L407" s="12">
        <v>2.8476277812635731E-2</v>
      </c>
      <c r="M407" s="13">
        <f t="shared" si="49"/>
        <v>-4.3221932250439047E-3</v>
      </c>
      <c r="N407" s="32">
        <f t="shared" si="50"/>
        <v>130.27347532164924</v>
      </c>
      <c r="O407" s="32">
        <f t="shared" si="51"/>
        <v>120.2249338429875</v>
      </c>
      <c r="P407" s="12">
        <f t="shared" si="52"/>
        <v>-4.3221932250439047E-3</v>
      </c>
      <c r="Q407" s="13">
        <f t="shared" si="53"/>
        <v>-2.4491803580307451E-2</v>
      </c>
      <c r="R407" s="49" t="str">
        <f t="shared" si="54"/>
        <v/>
      </c>
    </row>
    <row r="408" spans="1:18" x14ac:dyDescent="0.35">
      <c r="A408" s="64" t="s">
        <v>77</v>
      </c>
      <c r="B408" s="14">
        <v>-4.0395221150201222E-2</v>
      </c>
      <c r="C408" s="12">
        <v>-5.6419190565532129E-2</v>
      </c>
      <c r="D408" s="12">
        <v>-3.9242610392426158E-2</v>
      </c>
      <c r="E408" s="12">
        <v>-4.7747545161532012E-2</v>
      </c>
      <c r="F408" s="12">
        <v>-4.2941546707814693E-2</v>
      </c>
      <c r="G408" s="12">
        <v>-1.8566155910971882E-2</v>
      </c>
      <c r="H408" s="12">
        <v>-1.9656862745098036E-2</v>
      </c>
      <c r="I408" s="12">
        <v>-3.5526722273710232E-2</v>
      </c>
      <c r="J408" s="12">
        <v>-4.945096554335493E-2</v>
      </c>
      <c r="K408" s="12">
        <v>-6.7839195979899514E-2</v>
      </c>
      <c r="L408" s="12">
        <v>-2.4168191843821907E-2</v>
      </c>
      <c r="M408" s="13">
        <f t="shared" si="49"/>
        <v>-4.3543103027197161E-2</v>
      </c>
      <c r="N408" s="32">
        <f t="shared" si="50"/>
        <v>124.60096396400765</v>
      </c>
      <c r="O408" s="32">
        <f t="shared" si="51"/>
        <v>115.3684210526317</v>
      </c>
      <c r="P408" s="12">
        <f t="shared" si="52"/>
        <v>-4.3543103027197161E-2</v>
      </c>
      <c r="Q408" s="13">
        <f t="shared" si="53"/>
        <v>-3.1478818769959394E-3</v>
      </c>
      <c r="R408" s="49" t="str">
        <f t="shared" si="54"/>
        <v/>
      </c>
    </row>
    <row r="409" spans="1:18" x14ac:dyDescent="0.35">
      <c r="A409" s="64" t="s">
        <v>77</v>
      </c>
      <c r="B409" s="14">
        <v>-5.8338090771927753E-3</v>
      </c>
      <c r="C409" s="12">
        <v>-2.4641386166737722E-2</v>
      </c>
      <c r="D409" s="12">
        <v>-2.4672784714908969E-2</v>
      </c>
      <c r="E409" s="12">
        <v>-3.6996221662469742E-3</v>
      </c>
      <c r="F409" s="12">
        <v>1.5210658067800864E-2</v>
      </c>
      <c r="G409" s="12">
        <v>-8.8888888888889461E-3</v>
      </c>
      <c r="H409" s="12">
        <v>-1.3100655032751707E-2</v>
      </c>
      <c r="I409" s="12">
        <v>-1.3452914798206206E-2</v>
      </c>
      <c r="J409" s="12">
        <v>1.2906309751434142E-2</v>
      </c>
      <c r="K409" s="12">
        <v>-2.7444253859348344E-2</v>
      </c>
      <c r="L409" s="12">
        <v>-5.6747138597672553E-3</v>
      </c>
      <c r="M409" s="13">
        <f t="shared" si="49"/>
        <v>-1.6986606163622381E-2</v>
      </c>
      <c r="N409" s="32">
        <f t="shared" si="50"/>
        <v>122.48441646154335</v>
      </c>
      <c r="O409" s="32">
        <f t="shared" si="51"/>
        <v>114.69538371067347</v>
      </c>
      <c r="P409" s="12">
        <f t="shared" si="52"/>
        <v>-1.6986606163622381E-2</v>
      </c>
      <c r="Q409" s="13">
        <f t="shared" si="53"/>
        <v>-1.1152797086429606E-2</v>
      </c>
      <c r="R409" s="49" t="str">
        <f t="shared" si="54"/>
        <v/>
      </c>
    </row>
    <row r="410" spans="1:18" x14ac:dyDescent="0.35">
      <c r="A410" s="64" t="s">
        <v>77</v>
      </c>
      <c r="B410" s="14">
        <v>1.4612424662696633E-4</v>
      </c>
      <c r="C410" s="12">
        <v>1.7473607571896199E-3</v>
      </c>
      <c r="D410" s="12">
        <v>-9.1007249730064022E-3</v>
      </c>
      <c r="E410" s="12">
        <v>-2.2912222485580447E-3</v>
      </c>
      <c r="F410" s="12">
        <v>1.5003656880158811E-2</v>
      </c>
      <c r="G410" s="12">
        <v>1.7477291019891927E-2</v>
      </c>
      <c r="H410" s="12">
        <v>8.4105993818714975E-3</v>
      </c>
      <c r="I410" s="12">
        <v>-4.9350649350649034E-3</v>
      </c>
      <c r="J410" s="12">
        <v>-5.0652823658958623E-2</v>
      </c>
      <c r="K410" s="12">
        <v>1.0078105316200237E-3</v>
      </c>
      <c r="L410" s="12">
        <v>-4.3238537434706847E-2</v>
      </c>
      <c r="M410" s="13">
        <f t="shared" si="49"/>
        <v>-1.0898670441375134E-2</v>
      </c>
      <c r="N410" s="32">
        <f t="shared" si="50"/>
        <v>121.14949917232484</v>
      </c>
      <c r="O410" s="32">
        <f t="shared" si="51"/>
        <v>114.71214348720979</v>
      </c>
      <c r="P410" s="12">
        <f t="shared" si="52"/>
        <v>-1.0898670441375134E-2</v>
      </c>
      <c r="Q410" s="13">
        <f t="shared" si="53"/>
        <v>-1.10447946880021E-2</v>
      </c>
      <c r="R410" s="49" t="str">
        <f t="shared" si="54"/>
        <v/>
      </c>
    </row>
    <row r="411" spans="1:18" x14ac:dyDescent="0.35">
      <c r="A411" s="64" t="s">
        <v>77</v>
      </c>
      <c r="B411" s="14">
        <v>1.8555067976295359E-2</v>
      </c>
      <c r="C411" s="12">
        <v>4.0119194708917894E-2</v>
      </c>
      <c r="D411" s="12">
        <v>2.0937110834370998E-2</v>
      </c>
      <c r="E411" s="12">
        <v>3.2031992397846043E-2</v>
      </c>
      <c r="F411" s="12">
        <v>1.3073106458320494E-2</v>
      </c>
      <c r="G411" s="12">
        <v>1.3899875692168662E-2</v>
      </c>
      <c r="H411" s="12">
        <v>4.2857860624026634E-2</v>
      </c>
      <c r="I411" s="12">
        <v>3.7849125554685337E-2</v>
      </c>
      <c r="J411" s="12">
        <v>2.7920463960231956E-2</v>
      </c>
      <c r="K411" s="12">
        <v>2.8693682355902306E-2</v>
      </c>
      <c r="L411" s="12">
        <v>3.199878677585688E-2</v>
      </c>
      <c r="M411" s="13">
        <f t="shared" si="49"/>
        <v>2.9352581850380328E-2</v>
      </c>
      <c r="N411" s="32">
        <f t="shared" si="50"/>
        <v>124.70554976291309</v>
      </c>
      <c r="O411" s="32">
        <f t="shared" si="51"/>
        <v>116.84063510732152</v>
      </c>
      <c r="P411" s="12" t="str">
        <f t="shared" si="52"/>
        <v/>
      </c>
      <c r="Q411" s="13">
        <f t="shared" si="53"/>
        <v>1.0797513874084969E-2</v>
      </c>
      <c r="R411" s="49">
        <f t="shared" si="54"/>
        <v>1</v>
      </c>
    </row>
    <row r="412" spans="1:18" x14ac:dyDescent="0.35">
      <c r="A412" s="64">
        <v>4.58</v>
      </c>
      <c r="B412" s="14">
        <v>-8.1207927021075266E-3</v>
      </c>
      <c r="C412" s="12">
        <v>-1.9215987701767911E-2</v>
      </c>
      <c r="D412" s="12">
        <v>2.0050316383319444E-2</v>
      </c>
      <c r="E412" s="12">
        <v>-3.9516593132552513E-3</v>
      </c>
      <c r="F412" s="12">
        <v>1.1136400585270767E-2</v>
      </c>
      <c r="G412" s="12">
        <v>1.0922871154703584E-2</v>
      </c>
      <c r="H412" s="12">
        <v>-2.3752168047793454E-2</v>
      </c>
      <c r="I412" s="12">
        <v>-2.1441146881287731E-2</v>
      </c>
      <c r="J412" s="12">
        <v>-3.7640041911823907E-2</v>
      </c>
      <c r="K412" s="12">
        <v>1.2478590653291155E-2</v>
      </c>
      <c r="L412" s="12">
        <v>7.3475385745775945E-3</v>
      </c>
      <c r="M412" s="13">
        <f t="shared" si="49"/>
        <v>4.8710982351410194E-3</v>
      </c>
      <c r="N412" s="32">
        <f t="shared" si="50"/>
        <v>125.3130027462755</v>
      </c>
      <c r="O412" s="32">
        <f t="shared" si="51"/>
        <v>115.89179653043237</v>
      </c>
      <c r="P412" s="12" t="str">
        <f t="shared" si="52"/>
        <v/>
      </c>
      <c r="Q412" s="13">
        <f t="shared" si="53"/>
        <v>1.2991890937248545E-2</v>
      </c>
      <c r="R412" s="49">
        <f t="shared" si="54"/>
        <v>1</v>
      </c>
    </row>
    <row r="413" spans="1:18" x14ac:dyDescent="0.35">
      <c r="A413" s="64" t="s">
        <v>77</v>
      </c>
      <c r="B413" s="14">
        <v>9.4507646873762674E-3</v>
      </c>
      <c r="C413" s="12">
        <v>1.1399259048161525E-3</v>
      </c>
      <c r="D413" s="12">
        <v>4.4095665171897114E-3</v>
      </c>
      <c r="E413" s="12">
        <v>1.1170171789538497E-2</v>
      </c>
      <c r="F413" s="12">
        <v>1.0651981670550814E-3</v>
      </c>
      <c r="G413" s="12">
        <v>-9.8125689084895829E-3</v>
      </c>
      <c r="H413" s="12">
        <v>5.9714751024033674E-3</v>
      </c>
      <c r="I413" s="12">
        <v>3.1356422283621344E-2</v>
      </c>
      <c r="J413" s="12">
        <v>2.2278056951423819E-2</v>
      </c>
      <c r="K413" s="12">
        <v>-6.2832286128565729E-3</v>
      </c>
      <c r="L413" s="12">
        <v>1.7797228300510559E-2</v>
      </c>
      <c r="M413" s="13">
        <f t="shared" si="49"/>
        <v>1.0422372590907475E-2</v>
      </c>
      <c r="N413" s="32">
        <f t="shared" si="50"/>
        <v>126.61906155138259</v>
      </c>
      <c r="O413" s="32">
        <f t="shared" si="51"/>
        <v>116.98706262863878</v>
      </c>
      <c r="P413" s="12" t="str">
        <f t="shared" si="52"/>
        <v/>
      </c>
      <c r="Q413" s="13">
        <f t="shared" si="53"/>
        <v>9.7160790353120752E-4</v>
      </c>
      <c r="R413" s="49">
        <f t="shared" si="54"/>
        <v>1</v>
      </c>
    </row>
    <row r="414" spans="1:18" x14ac:dyDescent="0.35">
      <c r="A414" s="64" t="s">
        <v>77</v>
      </c>
      <c r="B414" s="14">
        <v>1.988322907058282E-2</v>
      </c>
      <c r="C414" s="12">
        <v>2.3199544548818674E-2</v>
      </c>
      <c r="D414" s="12">
        <v>1.8602574596324084E-2</v>
      </c>
      <c r="E414" s="12">
        <v>1.2875209507847041E-2</v>
      </c>
      <c r="F414" s="12">
        <v>8.3117508883936431E-3</v>
      </c>
      <c r="G414" s="12">
        <v>-8.9076940207100108E-4</v>
      </c>
      <c r="H414" s="12">
        <v>2.3106357927786592E-2</v>
      </c>
      <c r="I414" s="12">
        <v>3.0278487321662384E-2</v>
      </c>
      <c r="J414" s="12">
        <v>4.6452564312633227E-2</v>
      </c>
      <c r="K414" s="12">
        <v>2.1400778210116878E-2</v>
      </c>
      <c r="L414" s="12">
        <v>1.758157756437817E-2</v>
      </c>
      <c r="M414" s="13">
        <f t="shared" si="49"/>
        <v>2.0507543452657442E-2</v>
      </c>
      <c r="N414" s="32">
        <f t="shared" si="50"/>
        <v>129.21570745808225</v>
      </c>
      <c r="O414" s="32">
        <f t="shared" si="51"/>
        <v>119.31314319317863</v>
      </c>
      <c r="P414" s="12" t="str">
        <f t="shared" si="52"/>
        <v/>
      </c>
      <c r="Q414" s="13">
        <f t="shared" si="53"/>
        <v>6.2431438207462275E-4</v>
      </c>
      <c r="R414" s="49">
        <f t="shared" si="54"/>
        <v>1</v>
      </c>
    </row>
    <row r="415" spans="1:18" x14ac:dyDescent="0.35">
      <c r="A415" s="64" t="s">
        <v>77</v>
      </c>
      <c r="B415" s="14">
        <v>2.4742227391912897E-2</v>
      </c>
      <c r="C415" s="12">
        <v>4.075671164278738E-2</v>
      </c>
      <c r="D415" s="12">
        <v>1.7386222514427896E-2</v>
      </c>
      <c r="E415" s="12">
        <v>2.7604362542309246E-2</v>
      </c>
      <c r="F415" s="12">
        <v>9.7166636799872474E-3</v>
      </c>
      <c r="G415" s="12">
        <v>9.0828039674579752E-3</v>
      </c>
      <c r="H415" s="12">
        <v>2.0762407096619473E-2</v>
      </c>
      <c r="I415" s="12">
        <v>2.5579004656225424E-2</v>
      </c>
      <c r="J415" s="12">
        <v>3.5230564471932846E-2</v>
      </c>
      <c r="K415" s="12">
        <v>1.9761904761904647E-2</v>
      </c>
      <c r="L415" s="12">
        <v>1.9484482839569717E-2</v>
      </c>
      <c r="M415" s="13">
        <f t="shared" si="49"/>
        <v>2.1271908406433074E-2</v>
      </c>
      <c r="N415" s="32">
        <f t="shared" si="50"/>
        <v>131.96437215180302</v>
      </c>
      <c r="O415" s="32">
        <f t="shared" si="51"/>
        <v>122.26521611290812</v>
      </c>
      <c r="P415" s="12" t="str">
        <f t="shared" si="52"/>
        <v/>
      </c>
      <c r="Q415" s="13">
        <f t="shared" si="53"/>
        <v>-3.4703189854798228E-3</v>
      </c>
      <c r="R415" s="49">
        <f t="shared" si="54"/>
        <v>1</v>
      </c>
    </row>
    <row r="416" spans="1:18" x14ac:dyDescent="0.35">
      <c r="A416" s="64" t="s">
        <v>77</v>
      </c>
      <c r="B416" s="14">
        <v>-6.2742891223209751E-3</v>
      </c>
      <c r="C416" s="12">
        <v>-5.3461641272385396E-3</v>
      </c>
      <c r="D416" s="12">
        <v>-3.0875278236519588E-3</v>
      </c>
      <c r="E416" s="12">
        <v>-5.0139071878202435E-3</v>
      </c>
      <c r="F416" s="12">
        <v>-2.0370333852615885E-2</v>
      </c>
      <c r="G416" s="12">
        <v>-8.6145010768126085E-3</v>
      </c>
      <c r="H416" s="12">
        <v>-3.3352123261931599E-3</v>
      </c>
      <c r="I416" s="12">
        <v>-4.5990566037735769E-3</v>
      </c>
      <c r="J416" s="12">
        <v>-6.2769416925053667E-3</v>
      </c>
      <c r="K416" s="12">
        <v>1.167406023815154E-3</v>
      </c>
      <c r="L416" s="12">
        <v>-5.9408676429952845E-3</v>
      </c>
      <c r="M416" s="13">
        <f t="shared" si="49"/>
        <v>-3.179514765523919E-3</v>
      </c>
      <c r="N416" s="32">
        <f t="shared" si="50"/>
        <v>131.54478948202328</v>
      </c>
      <c r="O416" s="32">
        <f t="shared" si="51"/>
        <v>121.49808879741268</v>
      </c>
      <c r="P416" s="12">
        <f t="shared" si="52"/>
        <v>-3.179514765523919E-3</v>
      </c>
      <c r="Q416" s="13">
        <f t="shared" si="53"/>
        <v>3.0947743567970561E-3</v>
      </c>
      <c r="R416" s="49" t="str">
        <f t="shared" si="54"/>
        <v/>
      </c>
    </row>
    <row r="417" spans="1:18" x14ac:dyDescent="0.35">
      <c r="A417" s="64">
        <v>4.6900000000000004</v>
      </c>
      <c r="B417" s="14">
        <v>-7.4827874109120174E-3</v>
      </c>
      <c r="C417" s="12">
        <v>-8.7342112335386801E-4</v>
      </c>
      <c r="D417" s="12">
        <v>4.2494958225296475E-3</v>
      </c>
      <c r="E417" s="12">
        <v>2.0230257108178051E-3</v>
      </c>
      <c r="F417" s="12">
        <v>-8.51483554088317E-3</v>
      </c>
      <c r="G417" s="12">
        <v>-1.0137581462708156E-2</v>
      </c>
      <c r="H417" s="12">
        <v>-1.0557571758495476E-2</v>
      </c>
      <c r="I417" s="12">
        <v>-1.8125814476957713E-2</v>
      </c>
      <c r="J417" s="12">
        <v>-5.7077625570776114E-3</v>
      </c>
      <c r="K417" s="12">
        <v>-2.4720149253731449E-2</v>
      </c>
      <c r="L417" s="12">
        <v>7.9684966411859293E-3</v>
      </c>
      <c r="M417" s="13">
        <f t="shared" si="49"/>
        <v>-6.2180591585298071E-3</v>
      </c>
      <c r="N417" s="32">
        <f t="shared" si="50"/>
        <v>130.7268361990277</v>
      </c>
      <c r="O417" s="32">
        <f t="shared" si="51"/>
        <v>120.58894442810953</v>
      </c>
      <c r="P417" s="12">
        <f t="shared" si="52"/>
        <v>-6.2180591585298071E-3</v>
      </c>
      <c r="Q417" s="13">
        <f t="shared" si="53"/>
        <v>1.2647282523822103E-3</v>
      </c>
      <c r="R417" s="49" t="str">
        <f t="shared" si="54"/>
        <v/>
      </c>
    </row>
    <row r="418" spans="1:18" x14ac:dyDescent="0.35">
      <c r="A418" s="64" t="s">
        <v>77</v>
      </c>
      <c r="B418" s="14">
        <v>1.8431056049039052E-2</v>
      </c>
      <c r="C418" s="12">
        <v>1.6811243359558858E-2</v>
      </c>
      <c r="D418" s="12">
        <v>5.1638815176073827E-3</v>
      </c>
      <c r="E418" s="12">
        <v>7.9289332648115884E-3</v>
      </c>
      <c r="F418" s="12">
        <v>-5.8877271343016346E-4</v>
      </c>
      <c r="G418" s="12">
        <v>-3.1512013955320439E-3</v>
      </c>
      <c r="H418" s="12">
        <v>2.4389082074977475E-2</v>
      </c>
      <c r="I418" s="12">
        <v>2.0390926640926565E-2</v>
      </c>
      <c r="J418" s="12">
        <v>7.5392269422120073E-2</v>
      </c>
      <c r="K418" s="12">
        <v>1.6260162601626105E-2</v>
      </c>
      <c r="L418" s="12">
        <v>1.1168819230592542E-2</v>
      </c>
      <c r="M418" s="13">
        <f t="shared" si="49"/>
        <v>1.1984684799967667E-2</v>
      </c>
      <c r="N418" s="32">
        <f t="shared" si="50"/>
        <v>132.29355612577004</v>
      </c>
      <c r="O418" s="32">
        <f t="shared" si="51"/>
        <v>122.81152602175847</v>
      </c>
      <c r="P418" s="12" t="str">
        <f t="shared" si="52"/>
        <v/>
      </c>
      <c r="Q418" s="13">
        <f t="shared" si="53"/>
        <v>-6.4463712490713844E-3</v>
      </c>
      <c r="R418" s="49">
        <f t="shared" si="54"/>
        <v>1</v>
      </c>
    </row>
    <row r="419" spans="1:18" x14ac:dyDescent="0.35">
      <c r="A419" s="64" t="s">
        <v>77</v>
      </c>
      <c r="B419" s="14">
        <v>-1.6347364741597592E-2</v>
      </c>
      <c r="C419" s="12">
        <v>-3.8555651081277786E-2</v>
      </c>
      <c r="D419" s="12">
        <v>7.3492686407421459E-3</v>
      </c>
      <c r="E419" s="12">
        <v>-1.6607181877776989E-2</v>
      </c>
      <c r="F419" s="12">
        <v>-1.3509121196115803E-2</v>
      </c>
      <c r="G419" s="12">
        <v>-4.1208015805814791E-3</v>
      </c>
      <c r="H419" s="12">
        <v>-1.116019530341783E-2</v>
      </c>
      <c r="I419" s="12">
        <v>-1.3657325292656841E-2</v>
      </c>
      <c r="J419" s="12">
        <v>-8.8967971530249379E-3</v>
      </c>
      <c r="K419" s="12">
        <v>-1.7176470588235238E-2</v>
      </c>
      <c r="L419" s="12">
        <v>1.3181818181818183E-2</v>
      </c>
      <c r="M419" s="13">
        <f t="shared" si="49"/>
        <v>-4.5195823721501677E-3</v>
      </c>
      <c r="N419" s="32">
        <f t="shared" si="50"/>
        <v>131.69564450155494</v>
      </c>
      <c r="O419" s="32">
        <f t="shared" si="51"/>
        <v>120.80388121140858</v>
      </c>
      <c r="P419" s="12">
        <f t="shared" si="52"/>
        <v>-4.5195823721501677E-3</v>
      </c>
      <c r="Q419" s="13">
        <f t="shared" si="53"/>
        <v>1.1827782369447424E-2</v>
      </c>
      <c r="R419" s="49" t="str">
        <f t="shared" si="54"/>
        <v/>
      </c>
    </row>
    <row r="420" spans="1:18" x14ac:dyDescent="0.35">
      <c r="A420" s="64" t="s">
        <v>77</v>
      </c>
      <c r="B420" s="14">
        <v>3.1373675320187644E-3</v>
      </c>
      <c r="C420" s="12">
        <v>5.2276791855825344E-3</v>
      </c>
      <c r="D420" s="12">
        <v>1.204136563252578E-2</v>
      </c>
      <c r="E420" s="12">
        <v>-4.7033553070142675E-3</v>
      </c>
      <c r="F420" s="12">
        <v>9.4108440929965287E-3</v>
      </c>
      <c r="G420" s="12">
        <v>-1.1336583153831459E-4</v>
      </c>
      <c r="H420" s="12">
        <v>1.3637432400657179E-3</v>
      </c>
      <c r="I420" s="12">
        <v>1.1388838937840262E-3</v>
      </c>
      <c r="J420" s="12">
        <v>-7.1813285457689169E-5</v>
      </c>
      <c r="K420" s="12">
        <v>-3.5910940866652474E-3</v>
      </c>
      <c r="L420" s="12">
        <v>3.2750112157917677E-3</v>
      </c>
      <c r="M420" s="13">
        <f t="shared" si="49"/>
        <v>2.6262288013031709E-3</v>
      </c>
      <c r="N420" s="32">
        <f t="shared" si="50"/>
        <v>132.0415073961511</v>
      </c>
      <c r="O420" s="32">
        <f t="shared" si="51"/>
        <v>121.1828873860631</v>
      </c>
      <c r="P420" s="12" t="str">
        <f t="shared" si="52"/>
        <v/>
      </c>
      <c r="Q420" s="13">
        <f t="shared" si="53"/>
        <v>-5.1113873071559346E-4</v>
      </c>
      <c r="R420" s="49">
        <f t="shared" si="54"/>
        <v>1</v>
      </c>
    </row>
    <row r="421" spans="1:18" x14ac:dyDescent="0.35">
      <c r="A421" s="64" t="s">
        <v>77</v>
      </c>
      <c r="B421" s="14">
        <v>9.5233935794130087E-3</v>
      </c>
      <c r="C421" s="12">
        <v>1.7585876556726499E-2</v>
      </c>
      <c r="D421" s="12">
        <v>-6.998880179170941E-4</v>
      </c>
      <c r="E421" s="12">
        <v>1.3953488372093092E-2</v>
      </c>
      <c r="F421" s="12">
        <v>1.4117263046227846E-2</v>
      </c>
      <c r="G421" s="12">
        <v>1.0997732426303752E-2</v>
      </c>
      <c r="H421" s="12">
        <v>7.3260073260073E-3</v>
      </c>
      <c r="I421" s="12">
        <v>9.9988025386179569E-3</v>
      </c>
      <c r="J421" s="12">
        <v>1.1347313990232477E-2</v>
      </c>
      <c r="K421" s="12">
        <v>-1.2013455069677992E-2</v>
      </c>
      <c r="L421" s="12">
        <v>1.5516701694763713E-2</v>
      </c>
      <c r="M421" s="13">
        <f t="shared" si="49"/>
        <v>3.6232373080565244E-3</v>
      </c>
      <c r="N421" s="32">
        <f t="shared" si="50"/>
        <v>132.51992511196084</v>
      </c>
      <c r="O421" s="32">
        <f t="shared" si="51"/>
        <v>122.33695971773027</v>
      </c>
      <c r="P421" s="12" t="str">
        <f t="shared" si="52"/>
        <v/>
      </c>
      <c r="Q421" s="13">
        <f t="shared" si="53"/>
        <v>-5.9001562713564843E-3</v>
      </c>
      <c r="R421" s="49">
        <f t="shared" si="54"/>
        <v>1</v>
      </c>
    </row>
    <row r="422" spans="1:18" x14ac:dyDescent="0.35">
      <c r="A422" s="64">
        <v>4.8099999999999996</v>
      </c>
      <c r="B422" s="14">
        <v>-1.0793908688002896E-2</v>
      </c>
      <c r="C422" s="12">
        <v>-5.0433730078676131E-3</v>
      </c>
      <c r="D422" s="12">
        <v>-1.3657374982490422E-2</v>
      </c>
      <c r="E422" s="12">
        <v>-7.6697247706420946E-3</v>
      </c>
      <c r="F422" s="12">
        <v>-7.1816535908268975E-3</v>
      </c>
      <c r="G422" s="12">
        <v>-5.9437030391387147E-3</v>
      </c>
      <c r="H422" s="12">
        <v>-4.6620046620046152E-3</v>
      </c>
      <c r="I422" s="12">
        <v>-1.6183531922461247E-2</v>
      </c>
      <c r="J422" s="12">
        <v>-8.4505041897458E-3</v>
      </c>
      <c r="K422" s="12">
        <v>-8.5116731517508315E-3</v>
      </c>
      <c r="L422" s="12">
        <v>1.1889035667107084E-2</v>
      </c>
      <c r="M422" s="13">
        <f t="shared" si="49"/>
        <v>-7.8141134795704659E-3</v>
      </c>
      <c r="N422" s="32">
        <f t="shared" si="50"/>
        <v>131.4843993788318</v>
      </c>
      <c r="O422" s="32">
        <f t="shared" si="51"/>
        <v>121.0164657453692</v>
      </c>
      <c r="P422" s="12">
        <f t="shared" si="52"/>
        <v>-7.8141134795704659E-3</v>
      </c>
      <c r="Q422" s="13">
        <f t="shared" si="53"/>
        <v>2.9797952084324297E-3</v>
      </c>
      <c r="R422" s="49" t="str">
        <f t="shared" si="54"/>
        <v/>
      </c>
    </row>
    <row r="423" spans="1:18" x14ac:dyDescent="0.35">
      <c r="A423" s="64" t="s">
        <v>77</v>
      </c>
      <c r="B423" s="14">
        <v>-2.3798705952956634E-2</v>
      </c>
      <c r="C423" s="12">
        <v>-3.5955663692890161E-2</v>
      </c>
      <c r="D423" s="12">
        <v>-2.0379180572321243E-2</v>
      </c>
      <c r="E423" s="12">
        <v>-2.0783255057135519E-2</v>
      </c>
      <c r="F423" s="12">
        <v>-8.3074990375457958E-3</v>
      </c>
      <c r="G423" s="12">
        <v>-2.0137635379061325E-2</v>
      </c>
      <c r="H423" s="12">
        <v>-3.4613583138173198E-2</v>
      </c>
      <c r="I423" s="12">
        <v>-3.0007230657989936E-2</v>
      </c>
      <c r="J423" s="12">
        <v>-4.2254529828833376E-2</v>
      </c>
      <c r="K423" s="12">
        <v>-1.0546970811871503E-2</v>
      </c>
      <c r="L423" s="12">
        <v>-2.6675369886858258E-2</v>
      </c>
      <c r="M423" s="13">
        <f t="shared" si="49"/>
        <v>-2.1160226077562481E-2</v>
      </c>
      <c r="N423" s="32">
        <f t="shared" si="50"/>
        <v>128.70215976230318</v>
      </c>
      <c r="O423" s="32">
        <f t="shared" si="51"/>
        <v>118.13643046162912</v>
      </c>
      <c r="P423" s="12">
        <f t="shared" si="52"/>
        <v>-2.1160226077562481E-2</v>
      </c>
      <c r="Q423" s="13">
        <f t="shared" si="53"/>
        <v>2.6384798753941521E-3</v>
      </c>
      <c r="R423" s="49" t="str">
        <f t="shared" si="54"/>
        <v/>
      </c>
    </row>
    <row r="424" spans="1:18" x14ac:dyDescent="0.35">
      <c r="A424" s="64" t="s">
        <v>77</v>
      </c>
      <c r="B424" s="14">
        <v>-2.9110313553120881E-2</v>
      </c>
      <c r="C424" s="12">
        <v>-3.8628715647784584E-2</v>
      </c>
      <c r="D424" s="12">
        <v>-1.2829805740794509E-2</v>
      </c>
      <c r="E424" s="12">
        <v>-4.4563616450772336E-2</v>
      </c>
      <c r="F424" s="12">
        <v>-9.807326890464485E-3</v>
      </c>
      <c r="G424" s="12">
        <v>-6.6777963272119933E-3</v>
      </c>
      <c r="H424" s="12">
        <v>-3.2021735966231701E-2</v>
      </c>
      <c r="I424" s="12">
        <v>-4.0750403776866673E-2</v>
      </c>
      <c r="J424" s="12">
        <v>-5.03252822852015E-2</v>
      </c>
      <c r="K424" s="12">
        <v>5.701536936043583E-3</v>
      </c>
      <c r="L424" s="12">
        <v>-3.7957705548352427E-2</v>
      </c>
      <c r="M424" s="13">
        <f t="shared" si="49"/>
        <v>-2.2742916643337475E-2</v>
      </c>
      <c r="N424" s="32">
        <f t="shared" si="50"/>
        <v>125.77509727101162</v>
      </c>
      <c r="O424" s="32">
        <f t="shared" si="51"/>
        <v>114.69744192884464</v>
      </c>
      <c r="P424" s="12">
        <f t="shared" si="52"/>
        <v>-2.2742916643337475E-2</v>
      </c>
      <c r="Q424" s="13">
        <f t="shared" si="53"/>
        <v>6.3673969097834057E-3</v>
      </c>
      <c r="R424" s="49" t="str">
        <f t="shared" si="54"/>
        <v/>
      </c>
    </row>
    <row r="425" spans="1:18" x14ac:dyDescent="0.35">
      <c r="A425" s="64" t="s">
        <v>77</v>
      </c>
      <c r="B425" s="14">
        <v>-3.8768374153391849E-2</v>
      </c>
      <c r="C425" s="12">
        <v>-3.8284839203675314E-2</v>
      </c>
      <c r="D425" s="12">
        <v>-7.9300976576840432E-3</v>
      </c>
      <c r="E425" s="12">
        <v>-4.2412743586703106E-2</v>
      </c>
      <c r="F425" s="12">
        <v>-3.0807007407713138E-2</v>
      </c>
      <c r="G425" s="12">
        <v>-1.0084033613445453E-2</v>
      </c>
      <c r="H425" s="12">
        <v>-3.6339030625031299E-2</v>
      </c>
      <c r="I425" s="12">
        <v>-5.2648620644994093E-2</v>
      </c>
      <c r="J425" s="12">
        <v>-8.7716535433070897E-2</v>
      </c>
      <c r="K425" s="12">
        <v>-1.8979541533152622E-2</v>
      </c>
      <c r="L425" s="12">
        <v>-3.8572358025838915E-2</v>
      </c>
      <c r="M425" s="13">
        <f t="shared" si="49"/>
        <v>-2.9017093186370777E-2</v>
      </c>
      <c r="N425" s="32">
        <f t="shared" si="50"/>
        <v>122.12546955297383</v>
      </c>
      <c r="O425" s="32">
        <f t="shared" si="51"/>
        <v>110.25080858571026</v>
      </c>
      <c r="P425" s="12">
        <f t="shared" si="52"/>
        <v>-2.9017093186370777E-2</v>
      </c>
      <c r="Q425" s="13">
        <f t="shared" si="53"/>
        <v>9.7512809670210719E-3</v>
      </c>
      <c r="R425" s="49" t="str">
        <f t="shared" si="54"/>
        <v/>
      </c>
    </row>
    <row r="426" spans="1:18" x14ac:dyDescent="0.35">
      <c r="A426" s="64" t="s">
        <v>77</v>
      </c>
      <c r="B426" s="14">
        <v>-3.7737056722930706E-3</v>
      </c>
      <c r="C426" s="12">
        <v>6.6727327873823405E-3</v>
      </c>
      <c r="D426" s="12">
        <v>4.5148397601952883E-3</v>
      </c>
      <c r="E426" s="12">
        <v>9.2049863782712738E-3</v>
      </c>
      <c r="F426" s="12">
        <v>-1.6925697253566074E-2</v>
      </c>
      <c r="G426" s="12">
        <v>-1.5338680405128535E-2</v>
      </c>
      <c r="H426" s="12">
        <v>6.5536252990743282E-3</v>
      </c>
      <c r="I426" s="12">
        <v>-1.1552395925900627E-2</v>
      </c>
      <c r="J426" s="12">
        <v>5.4375970999482215E-2</v>
      </c>
      <c r="K426" s="12">
        <v>5.0251256281419465E-4</v>
      </c>
      <c r="L426" s="12">
        <v>-9.1840680587784718E-4</v>
      </c>
      <c r="M426" s="13">
        <f t="shared" si="49"/>
        <v>2.5043832109619495E-4</v>
      </c>
      <c r="N426" s="32">
        <f t="shared" si="50"/>
        <v>122.15605445053176</v>
      </c>
      <c r="O426" s="32">
        <f t="shared" si="51"/>
        <v>109.83475448397547</v>
      </c>
      <c r="P426" s="12" t="str">
        <f t="shared" si="52"/>
        <v/>
      </c>
      <c r="Q426" s="13">
        <f t="shared" si="53"/>
        <v>4.0241439933892658E-3</v>
      </c>
      <c r="R426" s="49">
        <f t="shared" si="54"/>
        <v>1</v>
      </c>
    </row>
    <row r="427" spans="1:18" x14ac:dyDescent="0.35">
      <c r="A427" s="64">
        <v>4.79</v>
      </c>
      <c r="B427" s="14">
        <v>1.4592502168395916E-2</v>
      </c>
      <c r="C427" s="12">
        <v>2.011147936125357E-2</v>
      </c>
      <c r="D427" s="12">
        <v>9.8732684939581983E-3</v>
      </c>
      <c r="E427" s="12">
        <v>2.9735367499693188E-2</v>
      </c>
      <c r="F427" s="12">
        <v>5.5874390904169235E-3</v>
      </c>
      <c r="G427" s="12">
        <v>1.0702182056008258E-2</v>
      </c>
      <c r="H427" s="12">
        <v>1.3642000826787903E-2</v>
      </c>
      <c r="I427" s="12">
        <v>1.1203319502074649E-2</v>
      </c>
      <c r="J427" s="12">
        <v>9.4629993451211591E-2</v>
      </c>
      <c r="K427" s="12">
        <v>-7.5339025615273059E-4</v>
      </c>
      <c r="L427" s="12">
        <v>-3.3383327688809583E-3</v>
      </c>
      <c r="M427" s="13">
        <f t="shared" si="49"/>
        <v>8.263004848217289E-3</v>
      </c>
      <c r="N427" s="32">
        <f t="shared" si="50"/>
        <v>123.16543052069559</v>
      </c>
      <c r="O427" s="32">
        <f t="shared" si="51"/>
        <v>111.43751837694812</v>
      </c>
      <c r="P427" s="12" t="str">
        <f t="shared" si="52"/>
        <v/>
      </c>
      <c r="Q427" s="13">
        <f t="shared" si="53"/>
        <v>-6.3294973201786266E-3</v>
      </c>
      <c r="R427" s="49">
        <f t="shared" si="54"/>
        <v>1</v>
      </c>
    </row>
    <row r="428" spans="1:18" x14ac:dyDescent="0.35">
      <c r="A428" s="64" t="s">
        <v>77</v>
      </c>
      <c r="B428" s="14">
        <v>-3.2511959134456814E-2</v>
      </c>
      <c r="C428" s="12">
        <v>-3.9651480469615308E-2</v>
      </c>
      <c r="D428" s="12">
        <v>-1.0141543849409129E-2</v>
      </c>
      <c r="E428" s="12">
        <v>-2.6970130282809035E-2</v>
      </c>
      <c r="F428" s="12">
        <v>-1.7745999612344687E-2</v>
      </c>
      <c r="G428" s="12">
        <v>5.2944290840639674E-4</v>
      </c>
      <c r="H428" s="12">
        <v>-3.6245921696574146E-2</v>
      </c>
      <c r="I428" s="12">
        <v>-5.9636164683353865E-2</v>
      </c>
      <c r="J428" s="12">
        <v>-2.6921926413400188E-3</v>
      </c>
      <c r="K428" s="12">
        <v>1.0555415933651613E-2</v>
      </c>
      <c r="L428" s="12">
        <v>-5.4417475728155362E-2</v>
      </c>
      <c r="M428" s="13">
        <f t="shared" si="49"/>
        <v>-2.4911173002319341E-2</v>
      </c>
      <c r="N428" s="32">
        <f t="shared" si="50"/>
        <v>120.0972351730894</v>
      </c>
      <c r="O428" s="32">
        <f t="shared" si="51"/>
        <v>107.8144663334315</v>
      </c>
      <c r="P428" s="12">
        <f t="shared" si="52"/>
        <v>-2.4911173002319341E-2</v>
      </c>
      <c r="Q428" s="13">
        <f t="shared" si="53"/>
        <v>7.6007861321374728E-3</v>
      </c>
      <c r="R428" s="49" t="str">
        <f t="shared" si="54"/>
        <v/>
      </c>
    </row>
    <row r="429" spans="1:18" x14ac:dyDescent="0.35">
      <c r="A429" s="64" t="s">
        <v>77</v>
      </c>
      <c r="B429" s="14">
        <v>2.2008470670371594E-3</v>
      </c>
      <c r="C429" s="12">
        <v>1.1533138551437894E-2</v>
      </c>
      <c r="D429" s="12">
        <v>-4.7910370752559661E-3</v>
      </c>
      <c r="E429" s="12">
        <v>1.0940115116136795E-2</v>
      </c>
      <c r="F429" s="12">
        <v>-8.8359753557410992E-3</v>
      </c>
      <c r="G429" s="12">
        <v>-3.6453433678269587E-3</v>
      </c>
      <c r="H429" s="12">
        <v>5.0780216873842488E-3</v>
      </c>
      <c r="I429" s="12">
        <v>4.8581818181818281E-2</v>
      </c>
      <c r="J429" s="12">
        <v>2.5794841031793636E-2</v>
      </c>
      <c r="K429" s="12">
        <v>-1.9398159661775716E-2</v>
      </c>
      <c r="L429" s="12">
        <v>-1.1037527593819041E-2</v>
      </c>
      <c r="M429" s="13">
        <f t="shared" si="49"/>
        <v>3.339936817457396E-3</v>
      </c>
      <c r="N429" s="32">
        <f t="shared" si="50"/>
        <v>120.49835235051884</v>
      </c>
      <c r="O429" s="32">
        <f t="shared" si="51"/>
        <v>108.05174948544561</v>
      </c>
      <c r="P429" s="12" t="str">
        <f t="shared" si="52"/>
        <v/>
      </c>
      <c r="Q429" s="13">
        <f t="shared" si="53"/>
        <v>1.1390897504202366E-3</v>
      </c>
      <c r="R429" s="49">
        <f t="shared" si="54"/>
        <v>1</v>
      </c>
    </row>
    <row r="430" spans="1:18" x14ac:dyDescent="0.35">
      <c r="A430" s="64" t="s">
        <v>77</v>
      </c>
      <c r="B430" s="14">
        <v>2.447725615264873E-2</v>
      </c>
      <c r="C430" s="12">
        <v>3.2760717543326212E-2</v>
      </c>
      <c r="D430" s="12">
        <v>2.0959857798844572E-2</v>
      </c>
      <c r="E430" s="12">
        <v>2.4591156874621545E-2</v>
      </c>
      <c r="F430" s="12">
        <v>6.251382559837193E-2</v>
      </c>
      <c r="G430" s="12">
        <v>2.0948896494747959E-2</v>
      </c>
      <c r="H430" s="12">
        <v>2.3051418346402786E-2</v>
      </c>
      <c r="I430" s="12">
        <v>4.0227493411013615E-3</v>
      </c>
      <c r="J430" s="12">
        <v>-3.6549707602351322E-4</v>
      </c>
      <c r="K430" s="12">
        <v>3.2716205934567588E-2</v>
      </c>
      <c r="L430" s="12">
        <v>1.9362541528239241E-2</v>
      </c>
      <c r="M430" s="13">
        <f t="shared" si="49"/>
        <v>2.0562088880615892E-2</v>
      </c>
      <c r="N430" s="32">
        <f t="shared" si="50"/>
        <v>122.97605018151799</v>
      </c>
      <c r="O430" s="32">
        <f t="shared" si="51"/>
        <v>110.6965598353427</v>
      </c>
      <c r="P430" s="12" t="str">
        <f t="shared" si="52"/>
        <v/>
      </c>
      <c r="Q430" s="13">
        <f t="shared" si="53"/>
        <v>-3.9151672720328379E-3</v>
      </c>
      <c r="R430" s="49">
        <f t="shared" si="54"/>
        <v>1</v>
      </c>
    </row>
    <row r="431" spans="1:18" x14ac:dyDescent="0.35">
      <c r="A431" s="64" t="s">
        <v>77</v>
      </c>
      <c r="B431" s="14">
        <v>-1.3015334188627437E-3</v>
      </c>
      <c r="C431" s="12">
        <v>-3.8271877529992837E-3</v>
      </c>
      <c r="D431" s="12">
        <v>-5.5857816467173027E-3</v>
      </c>
      <c r="E431" s="12">
        <v>-2.4040356270198515E-3</v>
      </c>
      <c r="F431" s="12">
        <v>1.9487008660892702E-2</v>
      </c>
      <c r="G431" s="12">
        <v>1.5779434714756402E-2</v>
      </c>
      <c r="H431" s="12">
        <v>-2.9322496013168831E-3</v>
      </c>
      <c r="I431" s="12">
        <v>-2.5559546836142477E-3</v>
      </c>
      <c r="J431" s="12">
        <v>2.9981718464351381E-3</v>
      </c>
      <c r="K431" s="12">
        <v>-1.2033398821218122E-2</v>
      </c>
      <c r="L431" s="12">
        <v>-4.3489331364261252E-2</v>
      </c>
      <c r="M431" s="13">
        <f t="shared" si="49"/>
        <v>-1.2451922519261107E-2</v>
      </c>
      <c r="N431" s="32">
        <f t="shared" si="50"/>
        <v>121.44476193293296</v>
      </c>
      <c r="O431" s="32">
        <f t="shared" si="51"/>
        <v>110.55248456336386</v>
      </c>
      <c r="P431" s="12">
        <f t="shared" si="52"/>
        <v>-1.2451922519261107E-2</v>
      </c>
      <c r="Q431" s="13">
        <f t="shared" si="53"/>
        <v>-1.1150389100398363E-2</v>
      </c>
      <c r="R431" s="49" t="str">
        <f t="shared" si="54"/>
        <v/>
      </c>
    </row>
    <row r="432" spans="1:18" x14ac:dyDescent="0.35">
      <c r="A432" s="64">
        <v>4.83</v>
      </c>
      <c r="B432" s="14">
        <v>9.5321937609877949E-3</v>
      </c>
      <c r="C432" s="12">
        <v>2.1573697820465476E-2</v>
      </c>
      <c r="D432" s="12">
        <v>9.921213889699354E-3</v>
      </c>
      <c r="E432" s="12">
        <v>2.2636589894520665E-2</v>
      </c>
      <c r="F432" s="12">
        <v>2.0686979251756332E-2</v>
      </c>
      <c r="G432" s="12">
        <v>2.2305678843746346E-2</v>
      </c>
      <c r="H432" s="12">
        <v>1.4549582086472057E-2</v>
      </c>
      <c r="I432" s="12">
        <v>-1.8976383406052899E-2</v>
      </c>
      <c r="J432" s="12">
        <v>-2.3257509477981886E-2</v>
      </c>
      <c r="K432" s="12">
        <v>2.4359930400198904E-2</v>
      </c>
      <c r="L432" s="12">
        <v>-4.8767502528882622E-2</v>
      </c>
      <c r="M432" s="13">
        <f t="shared" si="49"/>
        <v>-6.3059689841652063E-4</v>
      </c>
      <c r="N432" s="32">
        <f t="shared" si="50"/>
        <v>121.36817924272913</v>
      </c>
      <c r="O432" s="32">
        <f t="shared" si="51"/>
        <v>111.60629226698046</v>
      </c>
      <c r="P432" s="12">
        <f t="shared" si="52"/>
        <v>-6.3059689841652063E-4</v>
      </c>
      <c r="Q432" s="13">
        <f t="shared" si="53"/>
        <v>-1.0162790659404316E-2</v>
      </c>
      <c r="R432" s="49" t="str">
        <f t="shared" si="54"/>
        <v/>
      </c>
    </row>
    <row r="433" spans="1:18" x14ac:dyDescent="0.35">
      <c r="A433" s="64" t="s">
        <v>77</v>
      </c>
      <c r="B433" s="14">
        <v>3.0563290855777359E-2</v>
      </c>
      <c r="C433" s="12">
        <v>2.4517248860924212E-2</v>
      </c>
      <c r="D433" s="12">
        <v>2.6148511990754075E-2</v>
      </c>
      <c r="E433" s="12">
        <v>3.414973344665051E-2</v>
      </c>
      <c r="F433" s="12">
        <v>-8.3431704047538524E-3</v>
      </c>
      <c r="G433" s="12">
        <v>1.463876210620052E-2</v>
      </c>
      <c r="H433" s="12">
        <v>4.5107811228641159E-2</v>
      </c>
      <c r="I433" s="12">
        <v>3.1768443346275932E-2</v>
      </c>
      <c r="J433" s="12">
        <v>5.6430544151675699E-2</v>
      </c>
      <c r="K433" s="12">
        <v>7.2797864595974815E-4</v>
      </c>
      <c r="L433" s="12">
        <v>3.8170929646835106E-2</v>
      </c>
      <c r="M433" s="13">
        <f t="shared" si="49"/>
        <v>2.4699233142929572E-2</v>
      </c>
      <c r="N433" s="32">
        <f t="shared" si="50"/>
        <v>124.36588019797817</v>
      </c>
      <c r="O433" s="32">
        <f t="shared" si="51"/>
        <v>115.01734783887107</v>
      </c>
      <c r="P433" s="12" t="str">
        <f t="shared" si="52"/>
        <v/>
      </c>
      <c r="Q433" s="13">
        <f t="shared" si="53"/>
        <v>-5.8640577128477867E-3</v>
      </c>
      <c r="R433" s="49">
        <f t="shared" si="54"/>
        <v>1</v>
      </c>
    </row>
    <row r="434" spans="1:18" x14ac:dyDescent="0.35">
      <c r="A434" s="64" t="s">
        <v>77</v>
      </c>
      <c r="B434" s="14">
        <v>-2.973101484249896E-3</v>
      </c>
      <c r="C434" s="12">
        <v>0</v>
      </c>
      <c r="D434" s="12">
        <v>5.2090665915811574E-3</v>
      </c>
      <c r="E434" s="12">
        <v>-1.0496824803884919E-2</v>
      </c>
      <c r="F434" s="12">
        <v>2.0216286014042462E-2</v>
      </c>
      <c r="G434" s="12">
        <v>-9.3257995501661028E-4</v>
      </c>
      <c r="H434" s="12">
        <v>-9.4885893630479723E-3</v>
      </c>
      <c r="I434" s="12">
        <v>-1.2726650701334385E-2</v>
      </c>
      <c r="J434" s="12">
        <v>-1.9854447820250143E-2</v>
      </c>
      <c r="K434" s="12">
        <v>3.1522793404461513E-3</v>
      </c>
      <c r="L434" s="12">
        <v>1.1321365033155395E-2</v>
      </c>
      <c r="M434" s="13">
        <f t="shared" si="49"/>
        <v>1.5326074172861397E-4</v>
      </c>
      <c r="N434" s="32">
        <f t="shared" si="50"/>
        <v>124.38494060502306</v>
      </c>
      <c r="O434" s="32">
        <f t="shared" si="51"/>
        <v>114.67538959129683</v>
      </c>
      <c r="P434" s="12" t="str">
        <f t="shared" si="52"/>
        <v/>
      </c>
      <c r="Q434" s="13">
        <f t="shared" si="53"/>
        <v>3.1263622259785099E-3</v>
      </c>
      <c r="R434" s="49">
        <f t="shared" si="54"/>
        <v>1</v>
      </c>
    </row>
    <row r="435" spans="1:18" x14ac:dyDescent="0.35">
      <c r="A435" s="64" t="s">
        <v>77</v>
      </c>
      <c r="B435" s="14">
        <v>-2.0143021607082812E-2</v>
      </c>
      <c r="C435" s="12">
        <v>-2.9789637159395754E-2</v>
      </c>
      <c r="D435" s="12">
        <v>-6.5826330532212651E-3</v>
      </c>
      <c r="E435" s="12">
        <v>-3.174902789837275E-2</v>
      </c>
      <c r="F435" s="12">
        <v>5.4977652968397628E-3</v>
      </c>
      <c r="G435" s="12">
        <v>-2.8442784976938307E-2</v>
      </c>
      <c r="H435" s="12">
        <v>-2.6724307329534236E-2</v>
      </c>
      <c r="I435" s="12">
        <v>-1.4554023147827277E-2</v>
      </c>
      <c r="J435" s="12">
        <v>-1.4417531718580179E-4</v>
      </c>
      <c r="K435" s="12">
        <v>-1.4019821126420084E-2</v>
      </c>
      <c r="L435" s="12">
        <v>-7.9961618423163294E-4</v>
      </c>
      <c r="M435" s="13">
        <f t="shared" si="49"/>
        <v>-1.2294127077765451E-2</v>
      </c>
      <c r="N435" s="32">
        <f t="shared" si="50"/>
        <v>122.8557363386646</v>
      </c>
      <c r="O435" s="32">
        <f t="shared" si="51"/>
        <v>112.3654807409587</v>
      </c>
      <c r="P435" s="12">
        <f t="shared" si="52"/>
        <v>-1.2294127077765451E-2</v>
      </c>
      <c r="Q435" s="13">
        <f t="shared" si="53"/>
        <v>7.8488945293173611E-3</v>
      </c>
      <c r="R435" s="49" t="str">
        <f t="shared" si="54"/>
        <v/>
      </c>
    </row>
    <row r="436" spans="1:18" x14ac:dyDescent="0.35">
      <c r="A436" s="64" t="s">
        <v>77</v>
      </c>
      <c r="B436" s="14">
        <v>-7.1175308448145902E-4</v>
      </c>
      <c r="C436" s="12">
        <v>1.3023864959254894E-2</v>
      </c>
      <c r="D436" s="12">
        <v>-8.106583956013047E-3</v>
      </c>
      <c r="E436" s="12">
        <v>1.4737991266375428E-2</v>
      </c>
      <c r="F436" s="12">
        <v>1.4298638974116873E-2</v>
      </c>
      <c r="G436" s="12">
        <v>2.8258166610162228E-4</v>
      </c>
      <c r="H436" s="12">
        <v>6.9654754694123966E-3</v>
      </c>
      <c r="I436" s="12">
        <v>-1.9129333989732045E-2</v>
      </c>
      <c r="J436" s="12">
        <v>-1.8024513338139592E-3</v>
      </c>
      <c r="K436" s="12">
        <v>-3.6773719048786013E-3</v>
      </c>
      <c r="L436" s="12">
        <v>-2.1126760563380365E-2</v>
      </c>
      <c r="M436" s="13">
        <f t="shared" si="49"/>
        <v>-8.2793745111086458E-3</v>
      </c>
      <c r="N436" s="32">
        <f t="shared" si="50"/>
        <v>121.83856768667879</v>
      </c>
      <c r="O436" s="32">
        <f t="shared" si="51"/>
        <v>112.28550426345208</v>
      </c>
      <c r="P436" s="12">
        <f t="shared" si="52"/>
        <v>-8.2793745111086458E-3</v>
      </c>
      <c r="Q436" s="13">
        <f t="shared" si="53"/>
        <v>-7.5676214266271868E-3</v>
      </c>
      <c r="R436" s="49" t="str">
        <f t="shared" si="54"/>
        <v/>
      </c>
    </row>
    <row r="437" spans="1:18" x14ac:dyDescent="0.35">
      <c r="A437" s="64">
        <v>4.93</v>
      </c>
      <c r="B437" s="14">
        <v>-8.7592273026031453E-3</v>
      </c>
      <c r="C437" s="12">
        <v>-1.8027723910076787E-2</v>
      </c>
      <c r="D437" s="12">
        <v>3.4112714092813246E-3</v>
      </c>
      <c r="E437" s="12">
        <v>-1.3179128563743925E-2</v>
      </c>
      <c r="F437" s="12">
        <v>-4.0332745147467763E-3</v>
      </c>
      <c r="G437" s="12">
        <v>2.9380190971239895E-3</v>
      </c>
      <c r="H437" s="12">
        <v>-1.3082706766917362E-2</v>
      </c>
      <c r="I437" s="12">
        <v>-6.0945006094500487E-3</v>
      </c>
      <c r="J437" s="12">
        <v>-1.2495485734922318E-2</v>
      </c>
      <c r="K437" s="12">
        <v>-2.7066929133857665E-3</v>
      </c>
      <c r="L437" s="12">
        <v>-2.5724874645737916E-2</v>
      </c>
      <c r="M437" s="13">
        <f t="shared" si="49"/>
        <v>-7.0500423068166496E-3</v>
      </c>
      <c r="N437" s="32">
        <f t="shared" si="50"/>
        <v>120.97960062988577</v>
      </c>
      <c r="O437" s="32">
        <f t="shared" si="51"/>
        <v>111.30197000882109</v>
      </c>
      <c r="P437" s="12">
        <f t="shared" si="52"/>
        <v>-7.0500423068166496E-3</v>
      </c>
      <c r="Q437" s="13">
        <f t="shared" si="53"/>
        <v>1.7091849957864957E-3</v>
      </c>
      <c r="R437" s="49" t="str">
        <f t="shared" si="54"/>
        <v/>
      </c>
    </row>
    <row r="438" spans="1:18" x14ac:dyDescent="0.35">
      <c r="A438" s="64" t="s">
        <v>77</v>
      </c>
      <c r="B438" s="14">
        <v>1.0553762105785847E-2</v>
      </c>
      <c r="C438" s="12">
        <v>1.6164423639555281E-2</v>
      </c>
      <c r="D438" s="12">
        <v>-4.9578582052545173E-4</v>
      </c>
      <c r="E438" s="12">
        <v>1.0707471868551144E-2</v>
      </c>
      <c r="F438" s="12">
        <v>7.3399139458365514E-3</v>
      </c>
      <c r="G438" s="12">
        <v>1.1323305729254773E-2</v>
      </c>
      <c r="H438" s="12">
        <v>1.1630859870993993E-2</v>
      </c>
      <c r="I438" s="12">
        <v>1.284085990477557E-2</v>
      </c>
      <c r="J438" s="12">
        <v>2.2820362785254567E-2</v>
      </c>
      <c r="K438" s="12">
        <v>8.6355785837650689E-3</v>
      </c>
      <c r="L438" s="12">
        <v>-2.6292235399417718E-3</v>
      </c>
      <c r="M438" s="13">
        <f t="shared" si="49"/>
        <v>5.3089811900975852E-3</v>
      </c>
      <c r="N438" s="32">
        <f t="shared" si="50"/>
        <v>121.62187905401534</v>
      </c>
      <c r="O438" s="32">
        <f t="shared" si="51"/>
        <v>112.4766245221995</v>
      </c>
      <c r="P438" s="12" t="str">
        <f t="shared" si="52"/>
        <v/>
      </c>
      <c r="Q438" s="13">
        <f t="shared" si="53"/>
        <v>-5.2447809156882614E-3</v>
      </c>
      <c r="R438" s="49">
        <f t="shared" si="54"/>
        <v>1</v>
      </c>
    </row>
    <row r="439" spans="1:18" x14ac:dyDescent="0.35">
      <c r="A439" s="64" t="s">
        <v>77</v>
      </c>
      <c r="B439" s="14">
        <v>1.5841770513915776E-3</v>
      </c>
      <c r="C439" s="12">
        <v>1.8930396602605537E-2</v>
      </c>
      <c r="D439" s="12">
        <v>-2.4801587301587324E-2</v>
      </c>
      <c r="E439" s="12">
        <v>1.2597272517143265E-2</v>
      </c>
      <c r="F439" s="12">
        <v>-2.3502126014688818E-2</v>
      </c>
      <c r="G439" s="12">
        <v>-7.6871657754011835E-3</v>
      </c>
      <c r="H439" s="12">
        <v>6.8279947785920836E-3</v>
      </c>
      <c r="I439" s="12">
        <v>-5.3418803418803229E-3</v>
      </c>
      <c r="J439" s="12">
        <v>-1.5303203661327314E-2</v>
      </c>
      <c r="K439" s="12">
        <v>1.3209393346379716E-2</v>
      </c>
      <c r="L439" s="12">
        <v>-2.5408043075887621E-2</v>
      </c>
      <c r="M439" s="13">
        <f t="shared" si="49"/>
        <v>-7.4563151170049351E-3</v>
      </c>
      <c r="N439" s="32">
        <f t="shared" si="50"/>
        <v>120.71502799866633</v>
      </c>
      <c r="O439" s="32">
        <f t="shared" si="51"/>
        <v>112.65480740958556</v>
      </c>
      <c r="P439" s="12">
        <f t="shared" si="52"/>
        <v>-7.4563151170049351E-3</v>
      </c>
      <c r="Q439" s="13">
        <f t="shared" si="53"/>
        <v>-9.0404921683965127E-3</v>
      </c>
      <c r="R439" s="49" t="str">
        <f t="shared" si="54"/>
        <v/>
      </c>
    </row>
    <row r="440" spans="1:18" x14ac:dyDescent="0.35">
      <c r="A440" s="64" t="s">
        <v>77</v>
      </c>
      <c r="B440" s="14">
        <v>3.5731157621645693E-3</v>
      </c>
      <c r="C440" s="12">
        <v>9.6072336818309179E-3</v>
      </c>
      <c r="D440" s="12">
        <v>3.3425374218865045E-3</v>
      </c>
      <c r="E440" s="12">
        <v>1.2782956058588368E-2</v>
      </c>
      <c r="F440" s="12">
        <v>1.9891536695431755E-2</v>
      </c>
      <c r="G440" s="12">
        <v>8.9816997866853931E-4</v>
      </c>
      <c r="H440" s="12">
        <v>2.8921910840731258E-3</v>
      </c>
      <c r="I440" s="12">
        <v>-1.074113856068748E-2</v>
      </c>
      <c r="J440" s="12">
        <v>-1.0094408133623722E-2</v>
      </c>
      <c r="K440" s="12">
        <v>7.0014485755673928E-3</v>
      </c>
      <c r="L440" s="12">
        <v>-8.3448434622467316E-3</v>
      </c>
      <c r="M440" s="13">
        <f t="shared" si="49"/>
        <v>7.7256545427766411E-4</v>
      </c>
      <c r="N440" s="32">
        <f t="shared" si="50"/>
        <v>120.80828825911026</v>
      </c>
      <c r="O440" s="32">
        <f t="shared" si="51"/>
        <v>113.05733607762436</v>
      </c>
      <c r="P440" s="12" t="str">
        <f t="shared" si="52"/>
        <v/>
      </c>
      <c r="Q440" s="13">
        <f t="shared" si="53"/>
        <v>-2.8005503078869049E-3</v>
      </c>
      <c r="R440" s="49">
        <f t="shared" si="54"/>
        <v>1</v>
      </c>
    </row>
    <row r="441" spans="1:18" x14ac:dyDescent="0.35">
      <c r="A441" s="64">
        <v>5</v>
      </c>
      <c r="B441" s="14">
        <v>1.4964578110208349E-2</v>
      </c>
      <c r="C441" s="12">
        <v>2.3999440246291748E-2</v>
      </c>
      <c r="D441" s="12">
        <v>1.991599073001149E-2</v>
      </c>
      <c r="E441" s="12">
        <v>8.2265880320047113E-3</v>
      </c>
      <c r="F441" s="12">
        <v>-1.7659958469987691E-3</v>
      </c>
      <c r="G441" s="12">
        <v>1.1217049915872579E-3</v>
      </c>
      <c r="H441" s="12">
        <v>8.3532219570405797E-3</v>
      </c>
      <c r="I441" s="12">
        <v>2.0846905537459159E-2</v>
      </c>
      <c r="J441" s="12">
        <v>2.6850561220746805E-2</v>
      </c>
      <c r="K441" s="12">
        <v>1.4385039558859614E-3</v>
      </c>
      <c r="L441" s="12">
        <v>4.6253844814578393E-2</v>
      </c>
      <c r="M441" s="13">
        <f t="shared" si="49"/>
        <v>1.8817540006217444E-2</v>
      </c>
      <c r="N441" s="32">
        <f t="shared" si="50"/>
        <v>123.08160305650871</v>
      </c>
      <c r="O441" s="32">
        <f t="shared" si="51"/>
        <v>114.74919141429004</v>
      </c>
      <c r="P441" s="12" t="str">
        <f t="shared" si="52"/>
        <v/>
      </c>
      <c r="Q441" s="13">
        <f t="shared" si="53"/>
        <v>3.8529618960090953E-3</v>
      </c>
      <c r="R441" s="49">
        <f t="shared" si="54"/>
        <v>1</v>
      </c>
    </row>
    <row r="442" spans="1:18" x14ac:dyDescent="0.35">
      <c r="A442" s="64" t="s">
        <v>77</v>
      </c>
      <c r="B442" s="14">
        <v>-8.3021149894169088E-4</v>
      </c>
      <c r="C442" s="12">
        <v>4.7147249743764164E-3</v>
      </c>
      <c r="D442" s="12">
        <v>-2.5562735212668608E-3</v>
      </c>
      <c r="E442" s="12">
        <v>-2.7570789865870582E-3</v>
      </c>
      <c r="F442" s="12">
        <v>8.2623741203000645E-3</v>
      </c>
      <c r="G442" s="12">
        <v>-1.232492997198853E-3</v>
      </c>
      <c r="H442" s="12">
        <v>3.7968441814595355E-3</v>
      </c>
      <c r="I442" s="12">
        <v>5.1762036446145743E-3</v>
      </c>
      <c r="J442" s="12">
        <v>-6.4299492748446374E-3</v>
      </c>
      <c r="K442" s="12">
        <v>7.1821881733291626E-4</v>
      </c>
      <c r="L442" s="12">
        <v>-6.5453738628800107E-3</v>
      </c>
      <c r="M442" s="13">
        <f t="shared" si="49"/>
        <v>-1.0412311430476021E-3</v>
      </c>
      <c r="N442" s="32">
        <f t="shared" si="50"/>
        <v>122.95344665827005</v>
      </c>
      <c r="O442" s="32">
        <f t="shared" si="51"/>
        <v>114.65392531608363</v>
      </c>
      <c r="P442" s="12">
        <f t="shared" si="52"/>
        <v>-1.0412311430476021E-3</v>
      </c>
      <c r="Q442" s="13">
        <f t="shared" si="53"/>
        <v>-2.1101964410591119E-4</v>
      </c>
      <c r="R442" s="49" t="str">
        <f t="shared" si="54"/>
        <v/>
      </c>
    </row>
    <row r="443" spans="1:18" x14ac:dyDescent="0.35">
      <c r="A443" s="64" t="s">
        <v>77</v>
      </c>
      <c r="B443" s="14">
        <v>-1.1527473598367033E-2</v>
      </c>
      <c r="C443" s="12">
        <v>-1.4757889009793135E-2</v>
      </c>
      <c r="D443" s="12">
        <v>3.7730476258275303E-3</v>
      </c>
      <c r="E443" s="12">
        <v>-1.17686617350371E-2</v>
      </c>
      <c r="F443" s="12">
        <v>-3.2393035497366718E-3</v>
      </c>
      <c r="G443" s="12">
        <v>3.926407897689721E-4</v>
      </c>
      <c r="H443" s="12">
        <v>7.3193496094710042E-3</v>
      </c>
      <c r="I443" s="12">
        <v>-8.3239277652368271E-3</v>
      </c>
      <c r="J443" s="12">
        <v>-1.4956496728266266E-2</v>
      </c>
      <c r="K443" s="12">
        <v>4.7846889952163352E-4</v>
      </c>
      <c r="L443" s="12">
        <v>-2.2780569514237792E-2</v>
      </c>
      <c r="M443" s="13">
        <f t="shared" si="49"/>
        <v>-5.9703339758760158E-3</v>
      </c>
      <c r="N443" s="32">
        <f t="shared" si="50"/>
        <v>122.21937351823513</v>
      </c>
      <c r="O443" s="32">
        <f t="shared" si="51"/>
        <v>113.33225521905332</v>
      </c>
      <c r="P443" s="12">
        <f t="shared" si="52"/>
        <v>-5.9703339758760158E-3</v>
      </c>
      <c r="Q443" s="13">
        <f t="shared" si="53"/>
        <v>5.5571396224910171E-3</v>
      </c>
      <c r="R443" s="49" t="str">
        <f t="shared" si="54"/>
        <v/>
      </c>
    </row>
    <row r="444" spans="1:18" x14ac:dyDescent="0.35">
      <c r="A444" s="64" t="s">
        <v>77</v>
      </c>
      <c r="B444" s="14">
        <v>-9.2439089567069033E-3</v>
      </c>
      <c r="C444" s="12">
        <v>6.8337129840547739E-3</v>
      </c>
      <c r="D444" s="12">
        <v>-1.2907801418439613E-2</v>
      </c>
      <c r="E444" s="12">
        <v>-4.0981437374768448E-2</v>
      </c>
      <c r="F444" s="12">
        <v>-4.8940903375569444E-3</v>
      </c>
      <c r="G444" s="12">
        <v>-1.4017381553125929E-2</v>
      </c>
      <c r="H444" s="12">
        <v>-1.170389154393825E-3</v>
      </c>
      <c r="I444" s="12">
        <v>-9.9587423531085628E-3</v>
      </c>
      <c r="J444" s="12">
        <v>7.4165997518067073E-2</v>
      </c>
      <c r="K444" s="12">
        <v>-3.1085604973697389E-3</v>
      </c>
      <c r="L444" s="12">
        <v>-3.0282253456748176E-3</v>
      </c>
      <c r="M444" s="13">
        <f t="shared" si="49"/>
        <v>-1.2366442044955255E-2</v>
      </c>
      <c r="N444" s="32">
        <f t="shared" si="50"/>
        <v>120.70795471885113</v>
      </c>
      <c r="O444" s="32">
        <f t="shared" si="51"/>
        <v>112.28462216995013</v>
      </c>
      <c r="P444" s="12">
        <f t="shared" si="52"/>
        <v>-1.2366442044955255E-2</v>
      </c>
      <c r="Q444" s="13">
        <f t="shared" si="53"/>
        <v>-3.1225330882483516E-3</v>
      </c>
      <c r="R444" s="49" t="str">
        <f t="shared" si="54"/>
        <v/>
      </c>
    </row>
    <row r="445" spans="1:18" x14ac:dyDescent="0.35">
      <c r="A445" s="64" t="s">
        <v>77</v>
      </c>
      <c r="B445" s="14">
        <v>-4.4568974546977946E-3</v>
      </c>
      <c r="C445" s="12">
        <v>-2.536679007267284E-3</v>
      </c>
      <c r="D445" s="12">
        <v>-1.4369880729989903E-2</v>
      </c>
      <c r="E445" s="12">
        <v>-3.7450230614577418E-3</v>
      </c>
      <c r="F445" s="12">
        <v>-2.562108782706729E-2</v>
      </c>
      <c r="G445" s="12">
        <v>-2.3315325561558131E-3</v>
      </c>
      <c r="H445" s="12">
        <v>-3.2711649253002184E-3</v>
      </c>
      <c r="I445" s="12">
        <v>1.5806868802987761E-3</v>
      </c>
      <c r="J445" s="12">
        <v>-2.1746517159361267E-2</v>
      </c>
      <c r="K445" s="12">
        <v>2.3986567522187308E-3</v>
      </c>
      <c r="L445" s="12">
        <v>-3.5532122184652737E-3</v>
      </c>
      <c r="M445" s="13">
        <f t="shared" si="49"/>
        <v>-4.2298877528942347E-3</v>
      </c>
      <c r="N445" s="32">
        <f t="shared" si="50"/>
        <v>120.19737361950895</v>
      </c>
      <c r="O445" s="32">
        <f t="shared" si="51"/>
        <v>111.78418112319918</v>
      </c>
      <c r="P445" s="12">
        <f t="shared" si="52"/>
        <v>-4.2298877528942347E-3</v>
      </c>
      <c r="Q445" s="13">
        <f t="shared" si="53"/>
        <v>2.2700970180355995E-4</v>
      </c>
      <c r="R445" s="49" t="str">
        <f t="shared" si="54"/>
        <v/>
      </c>
    </row>
    <row r="446" spans="1:18" x14ac:dyDescent="0.35">
      <c r="A446" s="64">
        <v>5.14</v>
      </c>
      <c r="B446" s="14">
        <v>-2.99859539478875E-3</v>
      </c>
      <c r="C446" s="12">
        <v>2.0482507388823956E-2</v>
      </c>
      <c r="D446" s="12">
        <v>1.3704621664965666E-2</v>
      </c>
      <c r="E446" s="12">
        <v>5.381449825894391E-3</v>
      </c>
      <c r="F446" s="12">
        <v>2.3741122017397753E-3</v>
      </c>
      <c r="G446" s="12">
        <v>1.3679890560875929E-3</v>
      </c>
      <c r="H446" s="12">
        <v>8.6211119275041437E-3</v>
      </c>
      <c r="I446" s="12">
        <v>-2.0946915351506612E-2</v>
      </c>
      <c r="J446" s="12">
        <v>2.2229940951719485E-2</v>
      </c>
      <c r="K446" s="12">
        <v>1.9621919119406472E-2</v>
      </c>
      <c r="L446" s="12">
        <v>-2.2603094265830848E-2</v>
      </c>
      <c r="M446" s="13">
        <f t="shared" si="49"/>
        <v>1.023045759143618E-3</v>
      </c>
      <c r="N446" s="32">
        <f t="shared" si="50"/>
        <v>120.32034103285059</v>
      </c>
      <c r="O446" s="32">
        <f t="shared" si="51"/>
        <v>111.44898559247292</v>
      </c>
      <c r="P446" s="12" t="str">
        <f t="shared" si="52"/>
        <v/>
      </c>
      <c r="Q446" s="13">
        <f t="shared" si="53"/>
        <v>4.021641153932368E-3</v>
      </c>
      <c r="R446" s="49">
        <f t="shared" si="54"/>
        <v>1</v>
      </c>
    </row>
    <row r="447" spans="1:18" x14ac:dyDescent="0.35">
      <c r="A447" s="64" t="s">
        <v>77</v>
      </c>
      <c r="B447" s="14">
        <v>1.9201241036518768E-2</v>
      </c>
      <c r="C447" s="12">
        <v>1.1450124604297063E-2</v>
      </c>
      <c r="D447" s="12">
        <v>6.1843808428014846E-3</v>
      </c>
      <c r="E447" s="12">
        <v>1.0390428211586977E-2</v>
      </c>
      <c r="F447" s="12">
        <v>5.4375733933085257E-2</v>
      </c>
      <c r="G447" s="12">
        <v>1.4515027322404173E-2</v>
      </c>
      <c r="H447" s="12">
        <v>2.005730659025784E-2</v>
      </c>
      <c r="I447" s="12">
        <v>4.3962485345838243E-2</v>
      </c>
      <c r="J447" s="12">
        <v>4.0095141012572721E-3</v>
      </c>
      <c r="K447" s="12">
        <v>9.6221544238441759E-3</v>
      </c>
      <c r="L447" s="12">
        <v>2.0242438507708682E-2</v>
      </c>
      <c r="M447" s="13">
        <f t="shared" si="49"/>
        <v>1.7203941128333591E-2</v>
      </c>
      <c r="N447" s="32">
        <f t="shared" si="50"/>
        <v>122.39032509652077</v>
      </c>
      <c r="O447" s="32">
        <f t="shared" si="51"/>
        <v>113.5889444281095</v>
      </c>
      <c r="P447" s="12" t="str">
        <f t="shared" si="52"/>
        <v/>
      </c>
      <c r="Q447" s="13">
        <f t="shared" si="53"/>
        <v>-1.9972999081851774E-3</v>
      </c>
      <c r="R447" s="49">
        <f t="shared" si="54"/>
        <v>1</v>
      </c>
    </row>
    <row r="448" spans="1:18" x14ac:dyDescent="0.35">
      <c r="A448" s="64" t="s">
        <v>77</v>
      </c>
      <c r="B448" s="14">
        <v>-8.3636194203708936E-3</v>
      </c>
      <c r="C448" s="12">
        <v>-2.0643270959579074E-2</v>
      </c>
      <c r="D448" s="12">
        <v>-1.2793024585477375E-2</v>
      </c>
      <c r="E448" s="12">
        <v>-9.6213773761297805E-3</v>
      </c>
      <c r="F448" s="12">
        <v>-1.9594148183105231E-2</v>
      </c>
      <c r="G448" s="12">
        <v>-2.2442910845536623E-2</v>
      </c>
      <c r="H448" s="12">
        <v>-1.347362407160535E-2</v>
      </c>
      <c r="I448" s="12">
        <v>-1.0527793374507377E-3</v>
      </c>
      <c r="J448" s="12">
        <v>-1.3537295248411407E-4</v>
      </c>
      <c r="K448" s="12">
        <v>-2.3245002324500108E-3</v>
      </c>
      <c r="L448" s="12">
        <v>6.3444457261518927E-4</v>
      </c>
      <c r="M448" s="13">
        <f t="shared" si="49"/>
        <v>-5.4647519141478697E-3</v>
      </c>
      <c r="N448" s="32">
        <f t="shared" si="50"/>
        <v>121.72149233317637</v>
      </c>
      <c r="O448" s="32">
        <f t="shared" si="51"/>
        <v>112.63892972655113</v>
      </c>
      <c r="P448" s="12">
        <f t="shared" si="52"/>
        <v>-5.4647519141478697E-3</v>
      </c>
      <c r="Q448" s="13">
        <f t="shared" si="53"/>
        <v>2.8988675062230239E-3</v>
      </c>
      <c r="R448" s="49" t="str">
        <f t="shared" si="54"/>
        <v/>
      </c>
    </row>
    <row r="449" spans="1:18" x14ac:dyDescent="0.35">
      <c r="A449" s="64" t="s">
        <v>77</v>
      </c>
      <c r="B449" s="14">
        <v>2.7628333137554417E-2</v>
      </c>
      <c r="C449" s="12">
        <v>2.672196913034619E-2</v>
      </c>
      <c r="D449" s="12">
        <v>-5.2486787808586066E-2</v>
      </c>
      <c r="E449" s="12">
        <v>2.0766961651917271E-2</v>
      </c>
      <c r="F449" s="12">
        <v>2.7109767603057611E-2</v>
      </c>
      <c r="G449" s="12">
        <v>-1.4578430809848997E-2</v>
      </c>
      <c r="H449" s="12">
        <v>3.1127841320399474E-2</v>
      </c>
      <c r="I449" s="12">
        <v>3.8291294878100013E-2</v>
      </c>
      <c r="J449" s="12">
        <v>5.6932033577037577E-2</v>
      </c>
      <c r="K449" s="12">
        <v>6.2907735321526825E-3</v>
      </c>
      <c r="L449" s="12">
        <v>3.4584125886218287E-2</v>
      </c>
      <c r="M449" s="13">
        <f t="shared" si="49"/>
        <v>3.1360764718636148E-3</v>
      </c>
      <c r="N449" s="32">
        <f t="shared" si="50"/>
        <v>122.10322024140257</v>
      </c>
      <c r="O449" s="32">
        <f t="shared" si="51"/>
        <v>115.75095560129387</v>
      </c>
      <c r="P449" s="12" t="str">
        <f t="shared" si="52"/>
        <v/>
      </c>
      <c r="Q449" s="13">
        <f t="shared" si="53"/>
        <v>-2.4492256665690802E-2</v>
      </c>
      <c r="R449" s="49">
        <f t="shared" si="54"/>
        <v>1</v>
      </c>
    </row>
    <row r="450" spans="1:18" x14ac:dyDescent="0.35">
      <c r="A450" s="64">
        <v>5</v>
      </c>
      <c r="B450" s="14">
        <v>5.8958160281861183E-3</v>
      </c>
      <c r="C450" s="12">
        <v>1.3509933774834337E-2</v>
      </c>
      <c r="D450" s="12">
        <v>-1.2988997555012149E-2</v>
      </c>
      <c r="E450" s="12">
        <v>1.0557546333757273E-2</v>
      </c>
      <c r="F450" s="12">
        <v>-2.6206767269659759E-2</v>
      </c>
      <c r="G450" s="12">
        <v>-5.7079620245791274E-3</v>
      </c>
      <c r="H450" s="12">
        <v>-1.3572966395206665E-3</v>
      </c>
      <c r="I450" s="12">
        <v>7.781837867099739E-3</v>
      </c>
      <c r="J450" s="12">
        <v>1.4411067699993563E-2</v>
      </c>
      <c r="K450" s="12">
        <v>8.3352627923130029E-3</v>
      </c>
      <c r="L450" s="12">
        <v>2.6742436904563238E-3</v>
      </c>
      <c r="M450" s="13">
        <f t="shared" si="49"/>
        <v>1.7183173303204893E-3</v>
      </c>
      <c r="N450" s="32">
        <f t="shared" si="50"/>
        <v>122.31303232083133</v>
      </c>
      <c r="O450" s="32">
        <f t="shared" si="51"/>
        <v>116.43340194060583</v>
      </c>
      <c r="P450" s="12" t="str">
        <f t="shared" si="52"/>
        <v/>
      </c>
      <c r="Q450" s="13">
        <f t="shared" si="53"/>
        <v>-4.177498697865629E-3</v>
      </c>
      <c r="R450" s="49">
        <f t="shared" si="54"/>
        <v>1</v>
      </c>
    </row>
    <row r="451" spans="1:18" x14ac:dyDescent="0.35">
      <c r="A451" s="64" t="s">
        <v>77</v>
      </c>
      <c r="B451" s="14">
        <v>9.8613601353569891E-3</v>
      </c>
      <c r="C451" s="12">
        <v>1.5094093047569368E-2</v>
      </c>
      <c r="D451" s="12">
        <v>-1.5714506889611402E-2</v>
      </c>
      <c r="E451" s="12">
        <v>9.7990620353070046E-3</v>
      </c>
      <c r="F451" s="12">
        <v>5.755866556297784E-3</v>
      </c>
      <c r="G451" s="12">
        <v>3.5147325874289592E-3</v>
      </c>
      <c r="H451" s="12">
        <v>1.321647841777196E-2</v>
      </c>
      <c r="I451" s="12">
        <v>8.3932048613442056E-3</v>
      </c>
      <c r="J451" s="12">
        <v>1.9131203434777033E-2</v>
      </c>
      <c r="K451" s="12">
        <v>1.4466130884041473E-2</v>
      </c>
      <c r="L451" s="12">
        <v>5.6676112685447588E-3</v>
      </c>
      <c r="M451" s="13">
        <f t="shared" si="49"/>
        <v>2.8633958819341602E-3</v>
      </c>
      <c r="N451" s="32">
        <f t="shared" si="50"/>
        <v>122.66326295388568</v>
      </c>
      <c r="O451" s="32">
        <f t="shared" si="51"/>
        <v>117.58159364892693</v>
      </c>
      <c r="P451" s="12" t="str">
        <f t="shared" si="52"/>
        <v/>
      </c>
      <c r="Q451" s="13">
        <f t="shared" si="53"/>
        <v>-6.9979642534228285E-3</v>
      </c>
      <c r="R451" s="49">
        <f t="shared" si="54"/>
        <v>1</v>
      </c>
    </row>
    <row r="452" spans="1:18" x14ac:dyDescent="0.35">
      <c r="A452" s="64" t="s">
        <v>77</v>
      </c>
      <c r="B452" s="14">
        <v>-9.3324497680640217E-3</v>
      </c>
      <c r="C452" s="12">
        <v>-8.1107177341486203E-3</v>
      </c>
      <c r="D452" s="12">
        <v>8.651199370821816E-3</v>
      </c>
      <c r="E452" s="12">
        <v>-1.6915873735085185E-2</v>
      </c>
      <c r="F452" s="12">
        <v>-2.0097232324006731E-3</v>
      </c>
      <c r="G452" s="12">
        <v>4.7282703870177301E-3</v>
      </c>
      <c r="H452" s="12">
        <v>-1.1517646514639934E-2</v>
      </c>
      <c r="I452" s="12">
        <v>1.8844053802103966E-2</v>
      </c>
      <c r="J452" s="12">
        <v>-2.0135059785639009E-2</v>
      </c>
      <c r="K452" s="12">
        <v>-2.4898143956540997E-3</v>
      </c>
      <c r="L452" s="12">
        <v>-1.3094646113044894E-2</v>
      </c>
      <c r="M452" s="13">
        <f t="shared" si="49"/>
        <v>8.6909671305849482E-4</v>
      </c>
      <c r="N452" s="32">
        <f t="shared" si="50"/>
        <v>122.76986919253193</v>
      </c>
      <c r="O452" s="32">
        <f t="shared" si="51"/>
        <v>116.4842693325494</v>
      </c>
      <c r="P452" s="12" t="str">
        <f t="shared" si="52"/>
        <v/>
      </c>
      <c r="Q452" s="13">
        <f t="shared" si="53"/>
        <v>1.0201546481122516E-2</v>
      </c>
      <c r="R452" s="49">
        <f t="shared" si="54"/>
        <v>1</v>
      </c>
    </row>
    <row r="453" spans="1:18" x14ac:dyDescent="0.35">
      <c r="A453" s="64" t="s">
        <v>77</v>
      </c>
      <c r="B453" s="14">
        <v>1.3151152429682345E-3</v>
      </c>
      <c r="C453" s="12">
        <v>-7.3982737361283357E-3</v>
      </c>
      <c r="D453" s="12">
        <v>2.261208576997964E-3</v>
      </c>
      <c r="E453" s="12">
        <v>-5.8764787217699954E-3</v>
      </c>
      <c r="F453" s="12">
        <v>1.5458084808500194E-2</v>
      </c>
      <c r="G453" s="12">
        <v>1.9753660237045167E-3</v>
      </c>
      <c r="H453" s="12">
        <v>2.6672905942912717E-3</v>
      </c>
      <c r="I453" s="12">
        <v>5.0977060322854317E-3</v>
      </c>
      <c r="J453" s="12">
        <v>-9.6105209914011391E-3</v>
      </c>
      <c r="K453" s="12">
        <v>-1.3614703880191481E-3</v>
      </c>
      <c r="L453" s="12">
        <v>1.7859142313290777E-2</v>
      </c>
      <c r="M453" s="13">
        <f t="shared" si="49"/>
        <v>3.5199546598606202E-3</v>
      </c>
      <c r="N453" s="32">
        <f t="shared" si="50"/>
        <v>123.20201356568666</v>
      </c>
      <c r="O453" s="32">
        <f t="shared" si="51"/>
        <v>116.63745957071465</v>
      </c>
      <c r="P453" s="12" t="str">
        <f t="shared" si="52"/>
        <v/>
      </c>
      <c r="Q453" s="13">
        <f t="shared" si="53"/>
        <v>2.2048394168923857E-3</v>
      </c>
      <c r="R453" s="49">
        <f t="shared" si="54"/>
        <v>1</v>
      </c>
    </row>
    <row r="454" spans="1:18" x14ac:dyDescent="0.35">
      <c r="A454" s="64" t="s">
        <v>77</v>
      </c>
      <c r="B454" s="14">
        <v>-1.1543193070554847E-2</v>
      </c>
      <c r="C454" s="12">
        <v>-8.826413860738791E-3</v>
      </c>
      <c r="D454" s="12">
        <v>-3.5786525595143948E-3</v>
      </c>
      <c r="E454" s="12">
        <v>-2.6774330641733846E-2</v>
      </c>
      <c r="F454" s="12">
        <v>4.0040040040039138E-3</v>
      </c>
      <c r="G454" s="12">
        <v>7.0741041400903537E-3</v>
      </c>
      <c r="H454" s="12">
        <v>-8.307275866896946E-3</v>
      </c>
      <c r="I454" s="12">
        <v>-2.5749398530463541E-2</v>
      </c>
      <c r="J454" s="12">
        <v>-4.5965270684371617E-3</v>
      </c>
      <c r="K454" s="12">
        <v>-7.6119063849125257E-2</v>
      </c>
      <c r="L454" s="12">
        <v>-3.1901435564600789E-3</v>
      </c>
      <c r="M454" s="13">
        <f t="shared" si="49"/>
        <v>-2.7236566575532029E-2</v>
      </c>
      <c r="N454" s="32">
        <f t="shared" si="50"/>
        <v>119.84641372096523</v>
      </c>
      <c r="O454" s="32">
        <f t="shared" si="51"/>
        <v>115.29109085563086</v>
      </c>
      <c r="P454" s="12">
        <f t="shared" si="52"/>
        <v>-2.7236566575532029E-2</v>
      </c>
      <c r="Q454" s="13">
        <f t="shared" si="53"/>
        <v>-1.5693373504977182E-2</v>
      </c>
      <c r="R454" s="49" t="str">
        <f t="shared" si="54"/>
        <v/>
      </c>
    </row>
    <row r="455" spans="1:18" x14ac:dyDescent="0.35">
      <c r="A455" s="64">
        <v>5.05</v>
      </c>
      <c r="B455" s="14">
        <v>2.6156259165274642E-2</v>
      </c>
      <c r="C455" s="12">
        <v>3.4234828496042313E-2</v>
      </c>
      <c r="D455" s="12">
        <v>8.1199250468455553E-3</v>
      </c>
      <c r="E455" s="12">
        <v>6.6851925367209297E-2</v>
      </c>
      <c r="F455" s="12">
        <v>5.6810699975544665E-3</v>
      </c>
      <c r="G455" s="12">
        <v>-2.7637033625058649E-3</v>
      </c>
      <c r="H455" s="12">
        <v>-9.5063297096333876E-3</v>
      </c>
      <c r="I455" s="12">
        <v>1.2013615430821467E-2</v>
      </c>
      <c r="J455" s="12">
        <v>1.0903027193434056E-3</v>
      </c>
      <c r="K455" s="12">
        <v>3.7875061485489692E-2</v>
      </c>
      <c r="L455" s="12">
        <v>2.2181757987088213E-2</v>
      </c>
      <c r="M455" s="13">
        <f t="shared" si="49"/>
        <v>2.6079861446703829E-2</v>
      </c>
      <c r="N455" s="32">
        <f t="shared" si="50"/>
        <v>122.97199158569236</v>
      </c>
      <c r="O455" s="32">
        <f t="shared" si="51"/>
        <v>118.30667450749796</v>
      </c>
      <c r="P455" s="12" t="str">
        <f t="shared" si="52"/>
        <v/>
      </c>
      <c r="Q455" s="13">
        <f t="shared" si="53"/>
        <v>-7.6397718570812845E-5</v>
      </c>
      <c r="R455" s="49">
        <f t="shared" si="54"/>
        <v>1</v>
      </c>
    </row>
    <row r="456" spans="1:18" x14ac:dyDescent="0.35">
      <c r="A456" s="64" t="s">
        <v>77</v>
      </c>
      <c r="B456" s="14">
        <v>1.2133382708562568E-2</v>
      </c>
      <c r="C456" s="12">
        <v>3.5716563556349445E-3</v>
      </c>
      <c r="D456" s="12">
        <v>7.7447335811653417E-4</v>
      </c>
      <c r="E456" s="12">
        <v>2.8540596859418121E-2</v>
      </c>
      <c r="F456" s="12">
        <v>1.2869194365986436E-2</v>
      </c>
      <c r="G456" s="12">
        <v>5.7736720554273369E-3</v>
      </c>
      <c r="H456" s="12">
        <v>4.1811184491851172E-3</v>
      </c>
      <c r="I456" s="12">
        <v>3.3634505045174734E-3</v>
      </c>
      <c r="J456" s="12">
        <v>1.921968095329607E-2</v>
      </c>
      <c r="K456" s="12">
        <v>2.4881516587677677E-2</v>
      </c>
      <c r="L456" s="12">
        <v>1.398110661268559E-2</v>
      </c>
      <c r="M456" s="13">
        <f t="shared" si="49"/>
        <v>1.2771835627172694E-2</v>
      </c>
      <c r="N456" s="32">
        <f t="shared" si="50"/>
        <v>124.54256964897088</v>
      </c>
      <c r="O456" s="32">
        <f t="shared" si="51"/>
        <v>119.74213466627478</v>
      </c>
      <c r="P456" s="12" t="str">
        <f t="shared" si="52"/>
        <v/>
      </c>
      <c r="Q456" s="13">
        <f t="shared" si="53"/>
        <v>6.3845291861012662E-4</v>
      </c>
      <c r="R456" s="49">
        <f t="shared" si="54"/>
        <v>1</v>
      </c>
    </row>
    <row r="457" spans="1:18" x14ac:dyDescent="0.35">
      <c r="A457" s="64" t="s">
        <v>77</v>
      </c>
      <c r="B457" s="14">
        <v>1.4207733466259809E-2</v>
      </c>
      <c r="C457" s="12">
        <v>3.2793136320305116E-2</v>
      </c>
      <c r="D457" s="12">
        <v>1.2149822008976852E-2</v>
      </c>
      <c r="E457" s="12">
        <v>1.5665135125357166E-2</v>
      </c>
      <c r="F457" s="12">
        <v>1.5697427468652769E-3</v>
      </c>
      <c r="G457" s="12">
        <v>1.8369690011481588E-3</v>
      </c>
      <c r="H457" s="12">
        <v>3.5959309202744372E-3</v>
      </c>
      <c r="I457" s="12">
        <v>1.2357039568818395E-2</v>
      </c>
      <c r="J457" s="12">
        <v>1.3828650449430047E-3</v>
      </c>
      <c r="K457" s="12">
        <v>1.7803468208092532E-2</v>
      </c>
      <c r="L457" s="12">
        <v>5.541950596252132E-2</v>
      </c>
      <c r="M457" s="13">
        <f t="shared" si="49"/>
        <v>2.1304954379821342E-2</v>
      </c>
      <c r="N457" s="32">
        <f t="shared" si="50"/>
        <v>127.19594341368793</v>
      </c>
      <c r="O457" s="32">
        <f t="shared" si="51"/>
        <v>121.44339900029421</v>
      </c>
      <c r="P457" s="12" t="str">
        <f t="shared" si="52"/>
        <v/>
      </c>
      <c r="Q457" s="13">
        <f t="shared" si="53"/>
        <v>7.0972209135615333E-3</v>
      </c>
      <c r="R457" s="49">
        <f t="shared" si="54"/>
        <v>1</v>
      </c>
    </row>
    <row r="458" spans="1:18" x14ac:dyDescent="0.35">
      <c r="A458" s="64" t="s">
        <v>77</v>
      </c>
      <c r="B458" s="14">
        <v>-2.8230463236237346E-3</v>
      </c>
      <c r="C458" s="12">
        <v>-6.1534674789244237E-3</v>
      </c>
      <c r="D458" s="12">
        <v>9.5573056044040428E-3</v>
      </c>
      <c r="E458" s="12">
        <v>-9.7243000641162869E-3</v>
      </c>
      <c r="F458" s="12">
        <v>-1.283327801747991E-2</v>
      </c>
      <c r="G458" s="12">
        <v>-3.4953013981205983E-3</v>
      </c>
      <c r="H458" s="12">
        <v>-3.5359011833482334E-3</v>
      </c>
      <c r="I458" s="12">
        <v>-4.4799376704324212E-3</v>
      </c>
      <c r="J458" s="12">
        <v>6.1264201870566692E-2</v>
      </c>
      <c r="K458" s="12">
        <v>3.6347114947750114E-3</v>
      </c>
      <c r="L458" s="12">
        <v>-1.7099621689785516E-2</v>
      </c>
      <c r="M458" s="13">
        <f t="shared" si="49"/>
        <v>-1.6848975939712841E-3</v>
      </c>
      <c r="N458" s="32">
        <f t="shared" si="50"/>
        <v>126.98163127466729</v>
      </c>
      <c r="O458" s="32">
        <f t="shared" si="51"/>
        <v>121.10055865921805</v>
      </c>
      <c r="P458" s="12">
        <f t="shared" si="52"/>
        <v>-1.6848975939712841E-3</v>
      </c>
      <c r="Q458" s="13">
        <f t="shared" si="53"/>
        <v>1.1381487296524505E-3</v>
      </c>
      <c r="R458" s="49" t="str">
        <f t="shared" si="54"/>
        <v/>
      </c>
    </row>
    <row r="459" spans="1:18" x14ac:dyDescent="0.35">
      <c r="A459" s="64" t="s">
        <v>77</v>
      </c>
      <c r="B459" s="14">
        <v>-6.6624095876541833E-3</v>
      </c>
      <c r="C459" s="12">
        <v>-9.2873506284441021E-3</v>
      </c>
      <c r="D459" s="12">
        <v>-1.7418963950317501E-3</v>
      </c>
      <c r="E459" s="12">
        <v>-1.1474407395417385E-2</v>
      </c>
      <c r="F459" s="12">
        <v>1.494265755166424E-4</v>
      </c>
      <c r="G459" s="12">
        <v>-5.6925996204933993E-3</v>
      </c>
      <c r="H459" s="12">
        <v>-2.4129447388342218E-2</v>
      </c>
      <c r="I459" s="12">
        <v>-1.1282853975086549E-2</v>
      </c>
      <c r="J459" s="12">
        <v>-3.424617022535037E-2</v>
      </c>
      <c r="K459" s="12">
        <v>1.1317338162064594E-3</v>
      </c>
      <c r="L459" s="12">
        <v>-5.824694652571083E-2</v>
      </c>
      <c r="M459" s="13">
        <f t="shared" si="49"/>
        <v>-1.390161122746764E-2</v>
      </c>
      <c r="N459" s="32">
        <f t="shared" si="50"/>
        <v>125.21638200365722</v>
      </c>
      <c r="O459" s="32">
        <f t="shared" si="51"/>
        <v>120.2937371361366</v>
      </c>
      <c r="P459" s="12">
        <f t="shared" si="52"/>
        <v>-1.390161122746764E-2</v>
      </c>
      <c r="Q459" s="13">
        <f t="shared" si="53"/>
        <v>-7.2392016398134564E-3</v>
      </c>
      <c r="R459" s="49" t="str">
        <f t="shared" si="54"/>
        <v/>
      </c>
    </row>
    <row r="460" spans="1:18" x14ac:dyDescent="0.35">
      <c r="A460" s="64">
        <v>5.0999999999999996</v>
      </c>
      <c r="B460" s="14">
        <v>1.5638481713144525E-2</v>
      </c>
      <c r="C460" s="12">
        <v>3.8247609524404647E-2</v>
      </c>
      <c r="D460" s="12">
        <v>4.020939230710896E-3</v>
      </c>
      <c r="E460" s="12">
        <v>2.7836402008587502E-2</v>
      </c>
      <c r="F460" s="12">
        <v>9.6926007544912984E-3</v>
      </c>
      <c r="G460" s="12">
        <v>9.657645153828387E-3</v>
      </c>
      <c r="H460" s="12">
        <v>1.0763114515659922E-2</v>
      </c>
      <c r="I460" s="12">
        <v>2.5263852242744189E-2</v>
      </c>
      <c r="J460" s="12">
        <v>2.0578147966682891E-2</v>
      </c>
      <c r="K460" s="12">
        <v>-1.6504634863214962E-2</v>
      </c>
      <c r="L460" s="12">
        <v>-3.4875483624869918E-3</v>
      </c>
      <c r="M460" s="13">
        <f t="shared" si="49"/>
        <v>5.549318385026032E-3</v>
      </c>
      <c r="N460" s="32">
        <f t="shared" si="50"/>
        <v>125.91124757441654</v>
      </c>
      <c r="O460" s="32">
        <f t="shared" si="51"/>
        <v>122.17494854454588</v>
      </c>
      <c r="P460" s="12" t="str">
        <f t="shared" si="52"/>
        <v/>
      </c>
      <c r="Q460" s="13">
        <f t="shared" si="53"/>
        <v>-1.0089163328118492E-2</v>
      </c>
      <c r="R460" s="49">
        <f t="shared" si="54"/>
        <v>1</v>
      </c>
    </row>
    <row r="461" spans="1:18" x14ac:dyDescent="0.35">
      <c r="A461" s="64" t="s">
        <v>77</v>
      </c>
      <c r="B461" s="14">
        <v>-7.7734484990998887E-4</v>
      </c>
      <c r="C461" s="12">
        <v>-1.9262023716366539E-3</v>
      </c>
      <c r="D461" s="12">
        <v>-5.2894060752608496E-3</v>
      </c>
      <c r="E461" s="12">
        <v>4.1774347718339655E-3</v>
      </c>
      <c r="F461" s="12">
        <v>-1.2762415610838795E-2</v>
      </c>
      <c r="G461" s="12">
        <v>-1.6037573744200784E-2</v>
      </c>
      <c r="H461" s="12">
        <v>2.3935149654643162E-2</v>
      </c>
      <c r="I461" s="12">
        <v>9.2646207295887795E-3</v>
      </c>
      <c r="J461" s="12">
        <v>-8.4013442150732143E-4</v>
      </c>
      <c r="K461" s="12">
        <v>-3.770114942528735E-2</v>
      </c>
      <c r="L461" s="12">
        <v>4.2106414392737435E-3</v>
      </c>
      <c r="M461" s="13">
        <f t="shared" si="49"/>
        <v>-6.8084007096550934E-3</v>
      </c>
      <c r="N461" s="32">
        <f t="shared" si="50"/>
        <v>125.05399334707732</v>
      </c>
      <c r="O461" s="32">
        <f t="shared" si="51"/>
        <v>122.07997647750676</v>
      </c>
      <c r="P461" s="12">
        <f t="shared" si="52"/>
        <v>-6.8084007096550934E-3</v>
      </c>
      <c r="Q461" s="13">
        <f t="shared" si="53"/>
        <v>-6.0310558597451045E-3</v>
      </c>
      <c r="R461" s="49" t="str">
        <f t="shared" si="54"/>
        <v/>
      </c>
    </row>
    <row r="462" spans="1:18" x14ac:dyDescent="0.35">
      <c r="A462" s="64" t="s">
        <v>77</v>
      </c>
      <c r="B462" s="14">
        <v>-1.6257460367924415E-3</v>
      </c>
      <c r="C462" s="12">
        <v>-2.7742596948314713E-3</v>
      </c>
      <c r="D462" s="12">
        <v>6.3810391978122993E-3</v>
      </c>
      <c r="E462" s="12">
        <v>-2.6088489335447385E-3</v>
      </c>
      <c r="F462" s="12">
        <v>2.454332552693117E-3</v>
      </c>
      <c r="G462" s="12">
        <v>-3.9583212061236051E-3</v>
      </c>
      <c r="H462" s="12">
        <v>1.1242797582798447E-2</v>
      </c>
      <c r="I462" s="12">
        <v>4.0798113087268106E-3</v>
      </c>
      <c r="J462" s="12">
        <v>-8.7687687687688642E-3</v>
      </c>
      <c r="K462" s="12">
        <v>7.8834209268991984E-3</v>
      </c>
      <c r="L462" s="12">
        <v>9.5295142670441813E-3</v>
      </c>
      <c r="M462" s="13">
        <f t="shared" si="49"/>
        <v>5.5608705744263024E-3</v>
      </c>
      <c r="N462" s="32">
        <f t="shared" si="50"/>
        <v>125.7494024188956</v>
      </c>
      <c r="O462" s="32">
        <f t="shared" si="51"/>
        <v>121.88150543957674</v>
      </c>
      <c r="P462" s="12" t="str">
        <f t="shared" si="52"/>
        <v/>
      </c>
      <c r="Q462" s="13">
        <f t="shared" si="53"/>
        <v>7.1866166112187439E-3</v>
      </c>
      <c r="R462" s="49">
        <f t="shared" si="54"/>
        <v>1</v>
      </c>
    </row>
    <row r="463" spans="1:18" x14ac:dyDescent="0.35">
      <c r="A463" s="64" t="s">
        <v>77</v>
      </c>
      <c r="B463" s="14">
        <v>-1.2375789770792123E-3</v>
      </c>
      <c r="C463" s="12">
        <v>-2.9029331720592522E-3</v>
      </c>
      <c r="D463" s="12">
        <v>9.8128019323695526E-4</v>
      </c>
      <c r="E463" s="12">
        <v>-9.1548549008519942E-3</v>
      </c>
      <c r="F463" s="12">
        <v>2.8781818861438602E-3</v>
      </c>
      <c r="G463" s="12">
        <v>-5.3182163520544279E-3</v>
      </c>
      <c r="H463" s="12">
        <v>-1.1812665029879099E-2</v>
      </c>
      <c r="I463" s="12">
        <v>-1.4602247476349639E-3</v>
      </c>
      <c r="J463" s="12">
        <v>5.150266602035769E-3</v>
      </c>
      <c r="K463" s="12">
        <v>8.295804693055242E-3</v>
      </c>
      <c r="L463" s="12">
        <v>2.2654943632343105E-3</v>
      </c>
      <c r="M463" s="13">
        <f t="shared" si="49"/>
        <v>9.5827831989486701E-4</v>
      </c>
      <c r="N463" s="32">
        <f t="shared" si="50"/>
        <v>125.86990534497338</v>
      </c>
      <c r="O463" s="32">
        <f t="shared" si="51"/>
        <v>121.73066745074996</v>
      </c>
      <c r="P463" s="12" t="str">
        <f t="shared" si="52"/>
        <v/>
      </c>
      <c r="Q463" s="13">
        <f t="shared" si="53"/>
        <v>2.1958572969740793E-3</v>
      </c>
      <c r="R463" s="49">
        <f t="shared" si="54"/>
        <v>1</v>
      </c>
    </row>
    <row r="464" spans="1:18" x14ac:dyDescent="0.35">
      <c r="A464" s="64" t="s">
        <v>77</v>
      </c>
      <c r="B464" s="14">
        <v>-4.248730694724312E-3</v>
      </c>
      <c r="C464" s="12">
        <v>3.0326924243340159E-4</v>
      </c>
      <c r="D464" s="12">
        <v>-2.3678455621748085E-2</v>
      </c>
      <c r="E464" s="12">
        <v>7.0633561643835829E-3</v>
      </c>
      <c r="F464" s="12">
        <v>1.2299664554602519E-3</v>
      </c>
      <c r="G464" s="12">
        <v>-1.1750881316086037E-4</v>
      </c>
      <c r="H464" s="12">
        <v>-1.434464654040879E-2</v>
      </c>
      <c r="I464" s="12">
        <v>9.6642929806713962E-3</v>
      </c>
      <c r="J464" s="12">
        <v>-6.2692145397552634E-3</v>
      </c>
      <c r="K464" s="12">
        <v>9.873060648801113E-3</v>
      </c>
      <c r="L464" s="12">
        <v>1.1840051665679141E-3</v>
      </c>
      <c r="M464" s="13">
        <f t="shared" si="49"/>
        <v>-1.2495670654842862E-3</v>
      </c>
      <c r="N464" s="32">
        <f t="shared" si="50"/>
        <v>125.71262245671868</v>
      </c>
      <c r="O464" s="32">
        <f t="shared" si="51"/>
        <v>121.21346662746268</v>
      </c>
      <c r="P464" s="12">
        <f t="shared" si="52"/>
        <v>-1.2495670654842862E-3</v>
      </c>
      <c r="Q464" s="13">
        <f t="shared" si="53"/>
        <v>2.9991636292400255E-3</v>
      </c>
      <c r="R464" s="49" t="str">
        <f t="shared" si="54"/>
        <v/>
      </c>
    </row>
    <row r="465" spans="1:18" x14ac:dyDescent="0.35">
      <c r="A465" s="64">
        <v>5.2</v>
      </c>
      <c r="B465" s="14">
        <v>2.1290634013103604E-2</v>
      </c>
      <c r="C465" s="12">
        <v>2.6194518554450763E-2</v>
      </c>
      <c r="D465" s="12">
        <v>1.5679307947787047E-2</v>
      </c>
      <c r="E465" s="12">
        <v>2.4300389656394028E-2</v>
      </c>
      <c r="F465" s="12">
        <v>8.5619625507216135E-4</v>
      </c>
      <c r="G465" s="12">
        <v>2.879304266071081E-3</v>
      </c>
      <c r="H465" s="12">
        <v>8.7510701036812577E-3</v>
      </c>
      <c r="I465" s="12">
        <v>2.2921914357682427E-2</v>
      </c>
      <c r="J465" s="12">
        <v>2.5295723384895386E-2</v>
      </c>
      <c r="K465" s="12">
        <v>2.0949720670391248E-3</v>
      </c>
      <c r="L465" s="12">
        <v>2.5210987475138502E-2</v>
      </c>
      <c r="M465" s="13">
        <f t="shared" ref="M465:M528" si="55">SUMPRODUCT($C$2:$L$2,C465:L465)</f>
        <v>1.6853442329420699E-2</v>
      </c>
      <c r="N465" s="32">
        <f t="shared" ref="N465:N528" si="56">+(N464*(1+M465))</f>
        <v>127.83131288937322</v>
      </c>
      <c r="O465" s="32">
        <f t="shared" ref="O465:O528" si="57">+(O464*(1+B465))</f>
        <v>123.79417818288753</v>
      </c>
      <c r="P465" s="12" t="str">
        <f t="shared" ref="P465:P528" si="58">+IF(M465&lt;0,M465,"")</f>
        <v/>
      </c>
      <c r="Q465" s="13">
        <f t="shared" ref="Q465:Q528" si="59">M465-B465</f>
        <v>-4.4371916836829055E-3</v>
      </c>
      <c r="R465" s="49">
        <f t="shared" ref="R465:R528" si="60">+IF(M465&gt;0,1,"")</f>
        <v>1</v>
      </c>
    </row>
    <row r="466" spans="1:18" x14ac:dyDescent="0.35">
      <c r="A466" s="64" t="s">
        <v>77</v>
      </c>
      <c r="B466" s="14">
        <v>-7.0542296876174859E-4</v>
      </c>
      <c r="C466" s="12">
        <v>-4.4315764594659024E-3</v>
      </c>
      <c r="D466" s="12">
        <v>7.9087452471482411E-3</v>
      </c>
      <c r="E466" s="12">
        <v>-7.4007469912852342E-3</v>
      </c>
      <c r="F466" s="12">
        <v>-9.0381611247489779E-3</v>
      </c>
      <c r="G466" s="12">
        <v>-2.0683189781449562E-2</v>
      </c>
      <c r="H466" s="12">
        <v>-4.8090523338046864E-3</v>
      </c>
      <c r="I466" s="12">
        <v>3.3858655503571367E-3</v>
      </c>
      <c r="J466" s="12">
        <v>-6.7447639332623988E-3</v>
      </c>
      <c r="K466" s="12">
        <v>5.1103368176539377E-3</v>
      </c>
      <c r="L466" s="12">
        <v>1.719798657718119E-2</v>
      </c>
      <c r="M466" s="13">
        <f t="shared" si="55"/>
        <v>5.8652076869014445E-3</v>
      </c>
      <c r="N466" s="32">
        <f t="shared" si="56"/>
        <v>128.58107008835867</v>
      </c>
      <c r="O466" s="32">
        <f t="shared" si="57"/>
        <v>123.70685092619834</v>
      </c>
      <c r="P466" s="12" t="str">
        <f t="shared" si="58"/>
        <v/>
      </c>
      <c r="Q466" s="13">
        <f t="shared" si="59"/>
        <v>6.5706306556631931E-3</v>
      </c>
      <c r="R466" s="49">
        <f t="shared" si="60"/>
        <v>1</v>
      </c>
    </row>
    <row r="467" spans="1:18" x14ac:dyDescent="0.35">
      <c r="A467" s="64" t="s">
        <v>77</v>
      </c>
      <c r="B467" s="14">
        <v>1.7322396708554288E-2</v>
      </c>
      <c r="C467" s="12">
        <v>2.1425603893405976E-2</v>
      </c>
      <c r="D467" s="12">
        <v>1.109099139882308E-2</v>
      </c>
      <c r="E467" s="12">
        <v>1.7037140268970852E-2</v>
      </c>
      <c r="F467" s="12">
        <v>2.0343054460834065E-2</v>
      </c>
      <c r="G467" s="12">
        <v>-1.1008735192054364E-2</v>
      </c>
      <c r="H467" s="12">
        <v>1.1843850672730305E-3</v>
      </c>
      <c r="I467" s="12">
        <v>1.7485735321185247E-2</v>
      </c>
      <c r="J467" s="12">
        <v>1.2568501310459945E-2</v>
      </c>
      <c r="K467" s="12">
        <v>1.8488560203374194E-2</v>
      </c>
      <c r="L467" s="12">
        <v>1.4639175257731951E-2</v>
      </c>
      <c r="M467" s="13">
        <f t="shared" si="55"/>
        <v>1.5407420026446152E-2</v>
      </c>
      <c r="N467" s="32">
        <f t="shared" si="56"/>
        <v>130.56217264265993</v>
      </c>
      <c r="O467" s="32">
        <f t="shared" si="57"/>
        <v>125.84975007350793</v>
      </c>
      <c r="P467" s="12" t="str">
        <f t="shared" si="58"/>
        <v/>
      </c>
      <c r="Q467" s="13">
        <f t="shared" si="59"/>
        <v>-1.9149766821081361E-3</v>
      </c>
      <c r="R467" s="49">
        <f t="shared" si="60"/>
        <v>1</v>
      </c>
    </row>
    <row r="468" spans="1:18" x14ac:dyDescent="0.35">
      <c r="A468" s="64" t="s">
        <v>77</v>
      </c>
      <c r="B468" s="14">
        <v>3.96948705068767E-3</v>
      </c>
      <c r="C468" s="12">
        <v>6.3335270191748894E-3</v>
      </c>
      <c r="D468" s="12">
        <v>6.8651593164690272E-3</v>
      </c>
      <c r="E468" s="12">
        <v>5.3441129115139319E-3</v>
      </c>
      <c r="F468" s="12">
        <v>1.7288946109985659E-3</v>
      </c>
      <c r="G468" s="12">
        <v>4.7791893526920592E-3</v>
      </c>
      <c r="H468" s="12">
        <v>2.408555339989582E-2</v>
      </c>
      <c r="I468" s="12">
        <v>-2.6531596719729933E-3</v>
      </c>
      <c r="J468" s="12">
        <v>2.8236955115006346E-3</v>
      </c>
      <c r="K468" s="12">
        <v>2.9498525073747839E-3</v>
      </c>
      <c r="L468" s="12">
        <v>-4.5214387319650884E-3</v>
      </c>
      <c r="M468" s="13">
        <f t="shared" si="55"/>
        <v>2.0076860012279108E-3</v>
      </c>
      <c r="N468" s="32">
        <f t="shared" si="56"/>
        <v>130.8243004889645</v>
      </c>
      <c r="O468" s="32">
        <f t="shared" si="57"/>
        <v>126.349309026757</v>
      </c>
      <c r="P468" s="12" t="str">
        <f t="shared" si="58"/>
        <v/>
      </c>
      <c r="Q468" s="13">
        <f t="shared" si="59"/>
        <v>-1.9618010494597592E-3</v>
      </c>
      <c r="R468" s="49">
        <f t="shared" si="60"/>
        <v>1</v>
      </c>
    </row>
    <row r="469" spans="1:18" x14ac:dyDescent="0.35">
      <c r="A469" s="64" t="s">
        <v>77</v>
      </c>
      <c r="B469" s="14">
        <v>1.8756661407353103E-3</v>
      </c>
      <c r="C469" s="12">
        <v>-9.2384086841035273E-4</v>
      </c>
      <c r="D469" s="12">
        <v>1.2080337953012554E-2</v>
      </c>
      <c r="E469" s="12">
        <v>-2.589702524960158E-3</v>
      </c>
      <c r="F469" s="12">
        <v>2.7173913043478937E-3</v>
      </c>
      <c r="G469" s="12">
        <v>8.9108314769099639E-3</v>
      </c>
      <c r="H469" s="12">
        <v>3.3268644302744121E-3</v>
      </c>
      <c r="I469" s="12">
        <v>-3.0229746070142838E-4</v>
      </c>
      <c r="J469" s="12">
        <v>9.4444770340822437E-3</v>
      </c>
      <c r="K469" s="12">
        <v>5.1131221719457054E-2</v>
      </c>
      <c r="L469" s="12">
        <v>8.0122480224549264E-3</v>
      </c>
      <c r="M469" s="13">
        <f t="shared" si="55"/>
        <v>1.5704404098354583E-2</v>
      </c>
      <c r="N469" s="32">
        <f t="shared" si="56"/>
        <v>132.87881816972774</v>
      </c>
      <c r="O469" s="32">
        <f t="shared" si="57"/>
        <v>126.58629814760378</v>
      </c>
      <c r="P469" s="12" t="str">
        <f t="shared" si="58"/>
        <v/>
      </c>
      <c r="Q469" s="13">
        <f t="shared" si="59"/>
        <v>1.3828737957619273E-2</v>
      </c>
      <c r="R469" s="49">
        <f t="shared" si="60"/>
        <v>1</v>
      </c>
    </row>
    <row r="470" spans="1:18" x14ac:dyDescent="0.35">
      <c r="A470" s="64">
        <v>5.2</v>
      </c>
      <c r="B470" s="14">
        <v>-7.2377589891293725E-3</v>
      </c>
      <c r="C470" s="12">
        <v>8.7846038259262738E-3</v>
      </c>
      <c r="D470" s="12">
        <v>9.0070298769771018E-3</v>
      </c>
      <c r="E470" s="12">
        <v>-4.7487274093812593E-3</v>
      </c>
      <c r="F470" s="12">
        <v>-2.0508313191239802E-3</v>
      </c>
      <c r="G470" s="12">
        <v>5.9676553082477213E-5</v>
      </c>
      <c r="H470" s="12">
        <v>-1.2065948236160917E-2</v>
      </c>
      <c r="I470" s="12">
        <v>-8.7692772905956229E-3</v>
      </c>
      <c r="J470" s="12">
        <v>-2.8358902835890376E-2</v>
      </c>
      <c r="K470" s="12">
        <v>1.0761945759791836E-3</v>
      </c>
      <c r="L470" s="12">
        <v>-8.0498177399757065E-3</v>
      </c>
      <c r="M470" s="13">
        <f t="shared" si="55"/>
        <v>-1.0035157333920272E-3</v>
      </c>
      <c r="N470" s="32">
        <f t="shared" si="56"/>
        <v>132.74547218505987</v>
      </c>
      <c r="O470" s="32">
        <f t="shared" si="57"/>
        <v>125.67009703028535</v>
      </c>
      <c r="P470" s="12">
        <f t="shared" si="58"/>
        <v>-1.0035157333920272E-3</v>
      </c>
      <c r="Q470" s="13">
        <f t="shared" si="59"/>
        <v>6.2342432557373449E-3</v>
      </c>
      <c r="R470" s="49" t="str">
        <f t="shared" si="60"/>
        <v/>
      </c>
    </row>
    <row r="471" spans="1:18" x14ac:dyDescent="0.35">
      <c r="A471" s="64" t="s">
        <v>77</v>
      </c>
      <c r="B471" s="14">
        <v>2.2695154935377104E-3</v>
      </c>
      <c r="C471" s="12">
        <v>-2.2916069894013402E-3</v>
      </c>
      <c r="D471" s="12">
        <v>9.289498512228711E-3</v>
      </c>
      <c r="E471" s="12">
        <v>-3.9475490869146368E-3</v>
      </c>
      <c r="F471" s="12">
        <v>4.036697247706833E-4</v>
      </c>
      <c r="G471" s="12">
        <v>-4.8335123523093326E-3</v>
      </c>
      <c r="H471" s="12">
        <v>3.402946112250449E-3</v>
      </c>
      <c r="I471" s="12">
        <v>4.5759609517999067E-3</v>
      </c>
      <c r="J471" s="12">
        <v>8.9114832535885924E-3</v>
      </c>
      <c r="K471" s="12">
        <v>-3.2251128789507755E-3</v>
      </c>
      <c r="L471" s="12">
        <v>7.2474863471647666E-3</v>
      </c>
      <c r="M471" s="13">
        <f t="shared" si="55"/>
        <v>3.3950910409532896E-3</v>
      </c>
      <c r="N471" s="32">
        <f t="shared" si="56"/>
        <v>133.19615514840248</v>
      </c>
      <c r="O471" s="32">
        <f t="shared" si="57"/>
        <v>125.95530726256997</v>
      </c>
      <c r="P471" s="12" t="str">
        <f t="shared" si="58"/>
        <v/>
      </c>
      <c r="Q471" s="13">
        <f t="shared" si="59"/>
        <v>1.1255755474155792E-3</v>
      </c>
      <c r="R471" s="49">
        <f t="shared" si="60"/>
        <v>1</v>
      </c>
    </row>
    <row r="472" spans="1:18" x14ac:dyDescent="0.35">
      <c r="A472" s="64" t="s">
        <v>77</v>
      </c>
      <c r="B472" s="14">
        <v>-1.2899942573545653E-2</v>
      </c>
      <c r="C472" s="12">
        <v>-1.510192362905538E-2</v>
      </c>
      <c r="D472" s="12">
        <v>-5.03343639893572E-3</v>
      </c>
      <c r="E472" s="12">
        <v>-1.3853947685839474E-2</v>
      </c>
      <c r="F472" s="12">
        <v>5.685778217967119E-3</v>
      </c>
      <c r="G472" s="12">
        <v>1.5230557054626059E-2</v>
      </c>
      <c r="H472" s="12">
        <v>-1.1289198606271755E-2</v>
      </c>
      <c r="I472" s="12">
        <v>-1.4637109019131511E-2</v>
      </c>
      <c r="J472" s="12">
        <v>-3.4204754283004402E-2</v>
      </c>
      <c r="K472" s="12">
        <v>-1.4883520276100071E-2</v>
      </c>
      <c r="L472" s="12">
        <v>-8.8674942994679817E-3</v>
      </c>
      <c r="M472" s="13">
        <f t="shared" si="55"/>
        <v>-1.0964510548314607E-2</v>
      </c>
      <c r="N472" s="32">
        <f t="shared" si="56"/>
        <v>131.73572450028288</v>
      </c>
      <c r="O472" s="32">
        <f t="shared" si="57"/>
        <v>124.33049103204952</v>
      </c>
      <c r="P472" s="12">
        <f t="shared" si="58"/>
        <v>-1.0964510548314607E-2</v>
      </c>
      <c r="Q472" s="13">
        <f t="shared" si="59"/>
        <v>1.9354320252310455E-3</v>
      </c>
      <c r="R472" s="49" t="str">
        <f t="shared" si="60"/>
        <v/>
      </c>
    </row>
    <row r="473" spans="1:18" x14ac:dyDescent="0.35">
      <c r="A473" s="64" t="s">
        <v>77</v>
      </c>
      <c r="B473" s="14">
        <v>-2.1400124867564707E-2</v>
      </c>
      <c r="C473" s="12">
        <v>-2.3029384328358327E-2</v>
      </c>
      <c r="D473" s="12">
        <v>-2.03801402038013E-2</v>
      </c>
      <c r="E473" s="12">
        <v>-2.9355233269264258E-2</v>
      </c>
      <c r="F473" s="12">
        <v>-6.8390720747009137E-3</v>
      </c>
      <c r="G473" s="12">
        <v>-1.0158880160652028E-2</v>
      </c>
      <c r="H473" s="12">
        <v>-1.978197537825388E-2</v>
      </c>
      <c r="I473" s="12">
        <v>-2.7983234714004102E-2</v>
      </c>
      <c r="J473" s="12">
        <v>-2.4183648416400638E-2</v>
      </c>
      <c r="K473" s="12">
        <v>-1.7735931683818706E-2</v>
      </c>
      <c r="L473" s="12">
        <v>-1.9631901840490795E-2</v>
      </c>
      <c r="M473" s="13">
        <f t="shared" si="55"/>
        <v>-2.2371984155236731E-2</v>
      </c>
      <c r="N473" s="32">
        <f t="shared" si="56"/>
        <v>128.78853495908393</v>
      </c>
      <c r="O473" s="32">
        <f t="shared" si="57"/>
        <v>121.66980299911803</v>
      </c>
      <c r="P473" s="12">
        <f t="shared" si="58"/>
        <v>-2.2371984155236731E-2</v>
      </c>
      <c r="Q473" s="13">
        <f t="shared" si="59"/>
        <v>-9.7185928767202362E-4</v>
      </c>
      <c r="R473" s="49" t="str">
        <f t="shared" si="60"/>
        <v/>
      </c>
    </row>
    <row r="474" spans="1:18" x14ac:dyDescent="0.35">
      <c r="A474" s="64" t="s">
        <v>77</v>
      </c>
      <c r="B474" s="14">
        <v>-2.2378014446627903E-3</v>
      </c>
      <c r="C474" s="12">
        <v>-2.029002804798008E-3</v>
      </c>
      <c r="D474" s="12">
        <v>-5.9756547399483217E-3</v>
      </c>
      <c r="E474" s="12">
        <v>-4.7164716471647106E-3</v>
      </c>
      <c r="F474" s="12">
        <v>-1.6104449382081443E-2</v>
      </c>
      <c r="G474" s="12">
        <v>-8.7117369771466668E-3</v>
      </c>
      <c r="H474" s="12">
        <v>-8.6764776376971886E-3</v>
      </c>
      <c r="I474" s="12">
        <v>-2.3462270133163265E-3</v>
      </c>
      <c r="J474" s="12">
        <v>6.8562083280916397E-3</v>
      </c>
      <c r="K474" s="12">
        <v>-4.2353990191706936E-3</v>
      </c>
      <c r="L474" s="12">
        <v>2.842094284522334E-2</v>
      </c>
      <c r="M474" s="13">
        <f t="shared" si="55"/>
        <v>1.1396473988888444E-3</v>
      </c>
      <c r="N474" s="32">
        <f t="shared" si="56"/>
        <v>128.93530847795677</v>
      </c>
      <c r="O474" s="32">
        <f t="shared" si="57"/>
        <v>121.39753013819477</v>
      </c>
      <c r="P474" s="12" t="str">
        <f t="shared" si="58"/>
        <v/>
      </c>
      <c r="Q474" s="13">
        <f t="shared" si="59"/>
        <v>3.3774488435516347E-3</v>
      </c>
      <c r="R474" s="49">
        <f t="shared" si="60"/>
        <v>1</v>
      </c>
    </row>
    <row r="475" spans="1:18" x14ac:dyDescent="0.35">
      <c r="A475" s="64">
        <v>5.45</v>
      </c>
      <c r="B475" s="14">
        <v>2.9161509713642175E-3</v>
      </c>
      <c r="C475" s="12">
        <v>1.7939364946482073E-3</v>
      </c>
      <c r="D475" s="12">
        <v>-1.1206768591361271E-2</v>
      </c>
      <c r="E475" s="12">
        <v>-2.3513239762695815E-3</v>
      </c>
      <c r="F475" s="12">
        <v>1.2318029115343521E-3</v>
      </c>
      <c r="G475" s="12">
        <v>-3.3106603262503809E-3</v>
      </c>
      <c r="H475" s="12">
        <v>-6.2862669245655756E-4</v>
      </c>
      <c r="I475" s="12">
        <v>1.1440920358481987E-2</v>
      </c>
      <c r="J475" s="12">
        <v>2.205285187730377E-2</v>
      </c>
      <c r="K475" s="12">
        <v>7.1636445041414198E-3</v>
      </c>
      <c r="L475" s="12">
        <v>-1.5465747173064259E-2</v>
      </c>
      <c r="M475" s="13">
        <f t="shared" si="55"/>
        <v>-2.229518350969073E-3</v>
      </c>
      <c r="N475" s="32">
        <f t="shared" si="56"/>
        <v>128.64784484161731</v>
      </c>
      <c r="O475" s="32">
        <f t="shared" si="57"/>
        <v>121.75154366362848</v>
      </c>
      <c r="P475" s="12">
        <f t="shared" si="58"/>
        <v>-2.229518350969073E-3</v>
      </c>
      <c r="Q475" s="13">
        <f t="shared" si="59"/>
        <v>-5.1456693223332906E-3</v>
      </c>
      <c r="R475" s="49" t="str">
        <f t="shared" si="60"/>
        <v/>
      </c>
    </row>
    <row r="476" spans="1:18" x14ac:dyDescent="0.35">
      <c r="A476" s="64" t="s">
        <v>77</v>
      </c>
      <c r="B476" s="14">
        <v>1.4091582000449021E-2</v>
      </c>
      <c r="C476" s="12">
        <v>1.4922700411866607E-2</v>
      </c>
      <c r="D476" s="12">
        <v>5.6293627561359028E-3</v>
      </c>
      <c r="E476" s="12">
        <v>1.1095398672903212E-2</v>
      </c>
      <c r="F476" s="12">
        <v>9.5254072997055239E-3</v>
      </c>
      <c r="G476" s="12">
        <v>9.3610339412970589E-3</v>
      </c>
      <c r="H476" s="12">
        <v>1.5241689650167034E-2</v>
      </c>
      <c r="I476" s="12">
        <v>1.9480927543517934E-2</v>
      </c>
      <c r="J476" s="12">
        <v>3.533007334963334E-2</v>
      </c>
      <c r="K476" s="12">
        <v>6.6681484774393507E-3</v>
      </c>
      <c r="L476" s="12">
        <v>2.4309847548413588E-2</v>
      </c>
      <c r="M476" s="13">
        <f t="shared" si="55"/>
        <v>1.2466529640429453E-2</v>
      </c>
      <c r="N476" s="32">
        <f t="shared" si="56"/>
        <v>130.2516370125127</v>
      </c>
      <c r="O476" s="32">
        <f t="shared" si="57"/>
        <v>123.46721552484576</v>
      </c>
      <c r="P476" s="12" t="str">
        <f t="shared" si="58"/>
        <v/>
      </c>
      <c r="Q476" s="13">
        <f t="shared" si="59"/>
        <v>-1.6250523600195681E-3</v>
      </c>
      <c r="R476" s="49">
        <f t="shared" si="60"/>
        <v>1</v>
      </c>
    </row>
    <row r="477" spans="1:18" x14ac:dyDescent="0.35">
      <c r="A477" s="64" t="s">
        <v>77</v>
      </c>
      <c r="B477" s="14">
        <v>-3.3688010821315006E-2</v>
      </c>
      <c r="C477" s="12">
        <v>-3.7699229547726865E-2</v>
      </c>
      <c r="D477" s="12">
        <v>-2.6869682042095833E-2</v>
      </c>
      <c r="E477" s="12">
        <v>-3.8587053971669505E-2</v>
      </c>
      <c r="F477" s="12">
        <v>-2.2748675148180353E-2</v>
      </c>
      <c r="G477" s="12">
        <v>-1.7112427451684176E-2</v>
      </c>
      <c r="H477" s="12">
        <v>-3.3028309979982851E-2</v>
      </c>
      <c r="I477" s="12">
        <v>-3.0327313074030582E-2</v>
      </c>
      <c r="J477" s="12">
        <v>-2.8633841067422283E-2</v>
      </c>
      <c r="K477" s="12">
        <v>-3.1353499668801077E-2</v>
      </c>
      <c r="L477" s="12">
        <v>-3.4995977473853634E-2</v>
      </c>
      <c r="M477" s="13">
        <f t="shared" si="55"/>
        <v>-3.154922638661186E-2</v>
      </c>
      <c r="N477" s="32">
        <f t="shared" si="56"/>
        <v>126.14229862917814</v>
      </c>
      <c r="O477" s="32">
        <f t="shared" si="57"/>
        <v>119.30785063216712</v>
      </c>
      <c r="P477" s="12">
        <f t="shared" si="58"/>
        <v>-3.154922638661186E-2</v>
      </c>
      <c r="Q477" s="13">
        <f t="shared" si="59"/>
        <v>2.1387844347031462E-3</v>
      </c>
      <c r="R477" s="49" t="str">
        <f t="shared" si="60"/>
        <v/>
      </c>
    </row>
    <row r="478" spans="1:18" x14ac:dyDescent="0.35">
      <c r="A478" s="64" t="s">
        <v>77</v>
      </c>
      <c r="B478" s="14">
        <v>-6.6664037893761074E-3</v>
      </c>
      <c r="C478" s="12">
        <v>-1.369025791468037E-2</v>
      </c>
      <c r="D478" s="12">
        <v>-5.3689216137442486E-4</v>
      </c>
      <c r="E478" s="12">
        <v>-1.0668059233839178E-2</v>
      </c>
      <c r="F478" s="12">
        <v>9.8252243741137057E-4</v>
      </c>
      <c r="G478" s="12">
        <v>-7.7311742862361532E-3</v>
      </c>
      <c r="H478" s="12">
        <v>-2.7601163191875999E-3</v>
      </c>
      <c r="I478" s="12">
        <v>-1.7608543639946683E-2</v>
      </c>
      <c r="J478" s="12">
        <v>5.4093478392998051E-3</v>
      </c>
      <c r="K478" s="12">
        <v>9.5737405972191603E-3</v>
      </c>
      <c r="L478" s="12">
        <v>-7.2947061275518976E-4</v>
      </c>
      <c r="M478" s="13">
        <f t="shared" si="55"/>
        <v>-3.0017998840097438E-3</v>
      </c>
      <c r="N478" s="32">
        <f t="shared" si="56"/>
        <v>125.76364469178435</v>
      </c>
      <c r="O478" s="32">
        <f t="shared" si="57"/>
        <v>118.51249632461052</v>
      </c>
      <c r="P478" s="12">
        <f t="shared" si="58"/>
        <v>-3.0017998840097438E-3</v>
      </c>
      <c r="Q478" s="13">
        <f t="shared" si="59"/>
        <v>3.6646039053663637E-3</v>
      </c>
      <c r="R478" s="49" t="str">
        <f t="shared" si="60"/>
        <v/>
      </c>
    </row>
    <row r="479" spans="1:18" x14ac:dyDescent="0.35">
      <c r="A479" s="64" t="s">
        <v>77</v>
      </c>
      <c r="B479" s="14">
        <v>-1.1028107408059928E-2</v>
      </c>
      <c r="C479" s="12">
        <v>-1.5305490147477951E-2</v>
      </c>
      <c r="D479" s="12">
        <v>-5.6020259381474036E-3</v>
      </c>
      <c r="E479" s="12">
        <v>-8.5209063831391818E-3</v>
      </c>
      <c r="F479" s="12">
        <v>-1.3081148422900424E-2</v>
      </c>
      <c r="G479" s="12">
        <v>-3.4969325153373365E-3</v>
      </c>
      <c r="H479" s="12">
        <v>-4.6952997578214584E-3</v>
      </c>
      <c r="I479" s="12">
        <v>7.7649799404677644E-4</v>
      </c>
      <c r="J479" s="12">
        <v>-1.9405150525933834E-2</v>
      </c>
      <c r="K479" s="12">
        <v>-2.9351998193724027E-3</v>
      </c>
      <c r="L479" s="12">
        <v>-2.5237251016790085E-2</v>
      </c>
      <c r="M479" s="13">
        <f t="shared" si="55"/>
        <v>-7.523247152651685E-3</v>
      </c>
      <c r="N479" s="32">
        <f t="shared" si="56"/>
        <v>124.81749370994977</v>
      </c>
      <c r="O479" s="32">
        <f t="shared" si="57"/>
        <v>117.20552778594541</v>
      </c>
      <c r="P479" s="12">
        <f t="shared" si="58"/>
        <v>-7.523247152651685E-3</v>
      </c>
      <c r="Q479" s="13">
        <f t="shared" si="59"/>
        <v>3.5048602554082434E-3</v>
      </c>
      <c r="R479" s="49" t="str">
        <f t="shared" si="60"/>
        <v/>
      </c>
    </row>
    <row r="480" spans="1:18" x14ac:dyDescent="0.35">
      <c r="A480" s="64">
        <v>5.49</v>
      </c>
      <c r="B480" s="14">
        <v>-7.8170469825595834E-3</v>
      </c>
      <c r="C480" s="12">
        <v>-1.0634950600969084E-2</v>
      </c>
      <c r="D480" s="12">
        <v>-8.7204815557958559E-3</v>
      </c>
      <c r="E480" s="12">
        <v>-5.704072707913399E-3</v>
      </c>
      <c r="F480" s="12">
        <v>-6.7133348634381695E-3</v>
      </c>
      <c r="G480" s="12">
        <v>-6.7105830203780803E-3</v>
      </c>
      <c r="H480" s="12">
        <v>-1.325851623795804E-2</v>
      </c>
      <c r="I480" s="12">
        <v>-1.7199017199017175E-2</v>
      </c>
      <c r="J480" s="12">
        <v>-1.2083102151531966E-2</v>
      </c>
      <c r="K480" s="12">
        <v>4.5289855072461194E-4</v>
      </c>
      <c r="L480" s="12">
        <v>-1.1928961164009766E-2</v>
      </c>
      <c r="M480" s="13">
        <f t="shared" si="55"/>
        <v>-8.4270917989562565E-3</v>
      </c>
      <c r="N480" s="32">
        <f t="shared" si="56"/>
        <v>123.76564523234038</v>
      </c>
      <c r="O480" s="32">
        <f t="shared" si="57"/>
        <v>116.28932666862698</v>
      </c>
      <c r="P480" s="12">
        <f t="shared" si="58"/>
        <v>-8.4270917989562565E-3</v>
      </c>
      <c r="Q480" s="13">
        <f t="shared" si="59"/>
        <v>-6.1004481639667305E-4</v>
      </c>
      <c r="R480" s="49" t="str">
        <f t="shared" si="60"/>
        <v/>
      </c>
    </row>
    <row r="481" spans="1:18" x14ac:dyDescent="0.35">
      <c r="A481" s="64" t="s">
        <v>77</v>
      </c>
      <c r="B481" s="14">
        <v>2.9962073324905081E-3</v>
      </c>
      <c r="C481" s="12">
        <v>4.706780307848879E-3</v>
      </c>
      <c r="D481" s="12">
        <v>9.4200077851305242E-3</v>
      </c>
      <c r="E481" s="12">
        <v>-4.0922476765978821E-3</v>
      </c>
      <c r="F481" s="12">
        <v>8.9923555350162054E-3</v>
      </c>
      <c r="G481" s="12">
        <v>2.4792363951902763E-2</v>
      </c>
      <c r="H481" s="12">
        <v>7.1460922953046069E-3</v>
      </c>
      <c r="I481" s="12">
        <v>-5.8552631578946412E-3</v>
      </c>
      <c r="J481" s="12">
        <v>-4.1123244929797242E-2</v>
      </c>
      <c r="K481" s="12">
        <v>1.4712539610683528E-2</v>
      </c>
      <c r="L481" s="12">
        <v>-1.2289534946673175E-2</v>
      </c>
      <c r="M481" s="13">
        <f t="shared" si="55"/>
        <v>2.0923014619150812E-3</v>
      </c>
      <c r="N481" s="32">
        <f t="shared" si="56"/>
        <v>124.02460027279488</v>
      </c>
      <c r="O481" s="32">
        <f t="shared" si="57"/>
        <v>116.63775360188191</v>
      </c>
      <c r="P481" s="12" t="str">
        <f t="shared" si="58"/>
        <v/>
      </c>
      <c r="Q481" s="13">
        <f t="shared" si="59"/>
        <v>-9.0390587057542684E-4</v>
      </c>
      <c r="R481" s="49">
        <f t="shared" si="60"/>
        <v>1</v>
      </c>
    </row>
    <row r="482" spans="1:18" x14ac:dyDescent="0.35">
      <c r="A482" s="64" t="s">
        <v>77</v>
      </c>
      <c r="B482" s="14">
        <v>-1.0736478566116592E-2</v>
      </c>
      <c r="C482" s="12">
        <v>-1.361104076981523E-2</v>
      </c>
      <c r="D482" s="12">
        <v>-1.442233533857773E-2</v>
      </c>
      <c r="E482" s="12">
        <v>-1.6666666666666607E-2</v>
      </c>
      <c r="F482" s="12">
        <v>-1.4599236641221314E-2</v>
      </c>
      <c r="G482" s="12">
        <v>-1.5725172372081708E-2</v>
      </c>
      <c r="H482" s="12">
        <v>-1.1842302503372815E-2</v>
      </c>
      <c r="I482" s="12">
        <v>-8.7353583482232544E-3</v>
      </c>
      <c r="J482" s="12">
        <v>-1.1974489131849508E-2</v>
      </c>
      <c r="K482" s="12">
        <v>-1.1153245594467953E-2</v>
      </c>
      <c r="L482" s="12">
        <v>-8.8248191186142133E-3</v>
      </c>
      <c r="M482" s="13">
        <f t="shared" si="55"/>
        <v>-1.1955232178094599E-2</v>
      </c>
      <c r="N482" s="32">
        <f t="shared" si="56"/>
        <v>122.54185738073825</v>
      </c>
      <c r="O482" s="32">
        <f t="shared" si="57"/>
        <v>115.38547486033532</v>
      </c>
      <c r="P482" s="12">
        <f t="shared" si="58"/>
        <v>-1.1955232178094599E-2</v>
      </c>
      <c r="Q482" s="13">
        <f t="shared" si="59"/>
        <v>-1.2187536119780077E-3</v>
      </c>
      <c r="R482" s="49" t="str">
        <f t="shared" si="60"/>
        <v/>
      </c>
    </row>
    <row r="483" spans="1:18" x14ac:dyDescent="0.35">
      <c r="A483" s="64" t="s">
        <v>77</v>
      </c>
      <c r="B483" s="14">
        <v>-4.095039574340209E-3</v>
      </c>
      <c r="C483" s="12">
        <v>-8.2151338168281463E-3</v>
      </c>
      <c r="D483" s="12">
        <v>-8.3731121371000139E-3</v>
      </c>
      <c r="E483" s="12">
        <v>-1.0973990470983352E-2</v>
      </c>
      <c r="F483" s="12">
        <v>2.5757722475063805E-3</v>
      </c>
      <c r="G483" s="12">
        <v>2.7036991520215103E-3</v>
      </c>
      <c r="H483" s="12">
        <v>4.4498381877022819E-3</v>
      </c>
      <c r="I483" s="12">
        <v>-7.9444555711328801E-3</v>
      </c>
      <c r="J483" s="12">
        <v>3.7544460545382297E-3</v>
      </c>
      <c r="K483" s="12">
        <v>-4.9627791563274792E-3</v>
      </c>
      <c r="L483" s="12">
        <v>-9.4010949510603403E-4</v>
      </c>
      <c r="M483" s="13">
        <f t="shared" si="55"/>
        <v>-6.6241427875268549E-3</v>
      </c>
      <c r="N483" s="32">
        <f t="shared" si="56"/>
        <v>121.73012261999949</v>
      </c>
      <c r="O483" s="32">
        <f t="shared" si="57"/>
        <v>114.91296677447821</v>
      </c>
      <c r="P483" s="12">
        <f t="shared" si="58"/>
        <v>-6.6241427875268549E-3</v>
      </c>
      <c r="Q483" s="13">
        <f t="shared" si="59"/>
        <v>-2.5291032131866458E-3</v>
      </c>
      <c r="R483" s="49" t="str">
        <f t="shared" si="60"/>
        <v/>
      </c>
    </row>
    <row r="484" spans="1:18" x14ac:dyDescent="0.35">
      <c r="A484" s="64" t="s">
        <v>77</v>
      </c>
      <c r="B484" s="14">
        <v>1.8340971140093032E-2</v>
      </c>
      <c r="C484" s="12">
        <v>9.253866563126989E-3</v>
      </c>
      <c r="D484" s="12">
        <v>7.8125E-3</v>
      </c>
      <c r="E484" s="12">
        <v>1.911154985192498E-2</v>
      </c>
      <c r="F484" s="12">
        <v>7.7267810230257084E-3</v>
      </c>
      <c r="G484" s="12">
        <v>5.4540997671281843E-3</v>
      </c>
      <c r="H484" s="12">
        <v>8.960934353604566E-3</v>
      </c>
      <c r="I484" s="12">
        <v>2.4562584118438702E-2</v>
      </c>
      <c r="J484" s="12">
        <v>2.3361112933919514E-2</v>
      </c>
      <c r="K484" s="12">
        <v>2.5844479709816293E-2</v>
      </c>
      <c r="L484" s="12">
        <v>1.1070519207352358E-3</v>
      </c>
      <c r="M484" s="13">
        <f t="shared" si="55"/>
        <v>1.5501682316676363E-2</v>
      </c>
      <c r="N484" s="32">
        <f t="shared" si="56"/>
        <v>123.61714430922477</v>
      </c>
      <c r="O484" s="32">
        <f t="shared" si="57"/>
        <v>117.02058218171138</v>
      </c>
      <c r="P484" s="12" t="str">
        <f t="shared" si="58"/>
        <v/>
      </c>
      <c r="Q484" s="13">
        <f t="shared" si="59"/>
        <v>-2.8392888234166688E-3</v>
      </c>
      <c r="R484" s="49">
        <f t="shared" si="60"/>
        <v>1</v>
      </c>
    </row>
    <row r="485" spans="1:18" x14ac:dyDescent="0.35">
      <c r="A485" s="64">
        <v>5.51</v>
      </c>
      <c r="B485" s="14">
        <v>6.6107686934497867E-3</v>
      </c>
      <c r="C485" s="12">
        <v>-9.6178507309566674E-3</v>
      </c>
      <c r="D485" s="12">
        <v>5.9509826951686939E-3</v>
      </c>
      <c r="E485" s="12">
        <v>1.6660854740595532E-3</v>
      </c>
      <c r="F485" s="12">
        <v>1.117543321576453E-2</v>
      </c>
      <c r="G485" s="12">
        <v>8.0453464984457934E-3</v>
      </c>
      <c r="H485" s="12">
        <v>1.4469613810998982E-3</v>
      </c>
      <c r="I485" s="12">
        <v>8.341543513957328E-3</v>
      </c>
      <c r="J485" s="12">
        <v>1.1798653414555993E-2</v>
      </c>
      <c r="K485" s="12">
        <v>5.0828729281766627E-3</v>
      </c>
      <c r="L485" s="12">
        <v>1.2661727302886172E-2</v>
      </c>
      <c r="M485" s="13">
        <f t="shared" si="55"/>
        <v>6.7634819688576573E-3</v>
      </c>
      <c r="N485" s="32">
        <f t="shared" si="56"/>
        <v>124.45322663580187</v>
      </c>
      <c r="O485" s="32">
        <f t="shared" si="57"/>
        <v>117.79417818288751</v>
      </c>
      <c r="P485" s="12" t="str">
        <f t="shared" si="58"/>
        <v/>
      </c>
      <c r="Q485" s="13">
        <f t="shared" si="59"/>
        <v>1.5271327540787062E-4</v>
      </c>
      <c r="R485" s="49">
        <f t="shared" si="60"/>
        <v>1</v>
      </c>
    </row>
    <row r="486" spans="1:18" x14ac:dyDescent="0.35">
      <c r="A486" s="64" t="s">
        <v>77</v>
      </c>
      <c r="B486" s="14">
        <v>1.5271405678227268E-2</v>
      </c>
      <c r="C486" s="12">
        <v>1.8839829081962911E-2</v>
      </c>
      <c r="D486" s="12">
        <v>5.6044212656651826E-3</v>
      </c>
      <c r="E486" s="12">
        <v>2.2976945690855732E-2</v>
      </c>
      <c r="F486" s="12">
        <v>-6.0093647513790316E-3</v>
      </c>
      <c r="G486" s="12">
        <v>1.9348207267670947E-3</v>
      </c>
      <c r="H486" s="12">
        <v>2.2370584425290163E-2</v>
      </c>
      <c r="I486" s="12">
        <v>3.2047941636268895E-2</v>
      </c>
      <c r="J486" s="12">
        <v>-1.7111350529183111E-3</v>
      </c>
      <c r="K486" s="12">
        <v>2.8583992963939764E-3</v>
      </c>
      <c r="L486" s="12">
        <v>3.4616434616434599E-2</v>
      </c>
      <c r="M486" s="13">
        <f t="shared" si="55"/>
        <v>1.7431116632425785E-2</v>
      </c>
      <c r="N486" s="32">
        <f t="shared" si="56"/>
        <v>126.62258534457224</v>
      </c>
      <c r="O486" s="32">
        <f t="shared" si="57"/>
        <v>119.59306086445177</v>
      </c>
      <c r="P486" s="12" t="str">
        <f t="shared" si="58"/>
        <v/>
      </c>
      <c r="Q486" s="13">
        <f t="shared" si="59"/>
        <v>2.1597109541985175E-3</v>
      </c>
      <c r="R486" s="49">
        <f t="shared" si="60"/>
        <v>1</v>
      </c>
    </row>
    <row r="487" spans="1:18" x14ac:dyDescent="0.35">
      <c r="A487" s="64" t="s">
        <v>77</v>
      </c>
      <c r="B487" s="14">
        <v>1.058426104401855E-2</v>
      </c>
      <c r="C487" s="12">
        <v>3.8507974836372805E-2</v>
      </c>
      <c r="D487" s="12">
        <v>1.1378589674123418E-2</v>
      </c>
      <c r="E487" s="12">
        <v>8.281025485895821E-3</v>
      </c>
      <c r="F487" s="12">
        <v>1.3178471983827267E-2</v>
      </c>
      <c r="G487" s="12">
        <v>-4.2242471788078717E-4</v>
      </c>
      <c r="H487" s="12">
        <v>6.9688109161794021E-3</v>
      </c>
      <c r="I487" s="12">
        <v>2.5309265337036146E-2</v>
      </c>
      <c r="J487" s="12">
        <v>7.6180802437784134E-3</v>
      </c>
      <c r="K487" s="12">
        <v>8.9892567419427305E-3</v>
      </c>
      <c r="L487" s="12">
        <v>1.5357010924059278E-2</v>
      </c>
      <c r="M487" s="13">
        <f t="shared" si="55"/>
        <v>1.3772813060286694E-2</v>
      </c>
      <c r="N487" s="32">
        <f t="shared" si="56"/>
        <v>128.36653454173324</v>
      </c>
      <c r="O487" s="32">
        <f t="shared" si="57"/>
        <v>120.85886503969432</v>
      </c>
      <c r="P487" s="12" t="str">
        <f t="shared" si="58"/>
        <v/>
      </c>
      <c r="Q487" s="13">
        <f t="shared" si="59"/>
        <v>3.1885520162681438E-3</v>
      </c>
      <c r="R487" s="49">
        <f t="shared" si="60"/>
        <v>1</v>
      </c>
    </row>
    <row r="488" spans="1:18" x14ac:dyDescent="0.35">
      <c r="A488" s="64" t="s">
        <v>77</v>
      </c>
      <c r="B488" s="14">
        <v>-4.3236562775976095E-2</v>
      </c>
      <c r="C488" s="12">
        <v>-5.8679556996879434E-2</v>
      </c>
      <c r="D488" s="12">
        <v>-2.6098270319914296E-2</v>
      </c>
      <c r="E488" s="12">
        <v>-5.4978436152259391E-2</v>
      </c>
      <c r="F488" s="12">
        <v>-3.2545882352941091E-2</v>
      </c>
      <c r="G488" s="12">
        <v>-2.6020284955324602E-2</v>
      </c>
      <c r="H488" s="12">
        <v>-3.368339544112664E-2</v>
      </c>
      <c r="I488" s="12">
        <v>-4.3705755617112874E-2</v>
      </c>
      <c r="J488" s="12">
        <v>-7.1887600806451624E-2</v>
      </c>
      <c r="K488" s="12">
        <v>-2.0643198609300417E-2</v>
      </c>
      <c r="L488" s="12">
        <v>-4.2047817047817015E-2</v>
      </c>
      <c r="M488" s="13">
        <f t="shared" si="55"/>
        <v>-3.4993689996833097E-2</v>
      </c>
      <c r="N488" s="32">
        <f t="shared" si="56"/>
        <v>123.87451582601207</v>
      </c>
      <c r="O488" s="32">
        <f t="shared" si="57"/>
        <v>115.63334313437235</v>
      </c>
      <c r="P488" s="12">
        <f t="shared" si="58"/>
        <v>-3.4993689996833097E-2</v>
      </c>
      <c r="Q488" s="13">
        <f t="shared" si="59"/>
        <v>8.2428727791429984E-3</v>
      </c>
      <c r="R488" s="49" t="str">
        <f t="shared" si="60"/>
        <v/>
      </c>
    </row>
    <row r="489" spans="1:18" x14ac:dyDescent="0.35">
      <c r="A489" s="64" t="s">
        <v>77</v>
      </c>
      <c r="B489" s="14">
        <v>3.3869946525153516E-3</v>
      </c>
      <c r="C489" s="12">
        <v>9.5553822152885104E-3</v>
      </c>
      <c r="D489" s="12">
        <v>3.4577603143417512E-3</v>
      </c>
      <c r="E489" s="12">
        <v>9.1273463232655061E-4</v>
      </c>
      <c r="F489" s="12">
        <v>-8.1523853996421369E-3</v>
      </c>
      <c r="G489" s="12">
        <v>2.0640922333105882E-2</v>
      </c>
      <c r="H489" s="12">
        <v>-1.3021485450993575E-3</v>
      </c>
      <c r="I489" s="12">
        <v>6.1152236884456368E-3</v>
      </c>
      <c r="J489" s="12">
        <v>1.3237390536962712E-2</v>
      </c>
      <c r="K489" s="12">
        <v>-2.2187708009763218E-3</v>
      </c>
      <c r="L489" s="12">
        <v>1.8447181379197541E-3</v>
      </c>
      <c r="M489" s="13">
        <f t="shared" si="55"/>
        <v>2.0711955875391645E-3</v>
      </c>
      <c r="N489" s="32">
        <f t="shared" si="56"/>
        <v>124.13108417659946</v>
      </c>
      <c r="O489" s="32">
        <f t="shared" si="57"/>
        <v>116.02499264922095</v>
      </c>
      <c r="P489" s="12" t="str">
        <f t="shared" si="58"/>
        <v/>
      </c>
      <c r="Q489" s="13">
        <f t="shared" si="59"/>
        <v>-1.3157990649761871E-3</v>
      </c>
      <c r="R489" s="49">
        <f t="shared" si="60"/>
        <v>1</v>
      </c>
    </row>
    <row r="490" spans="1:18" x14ac:dyDescent="0.35">
      <c r="A490" s="64">
        <v>5.52</v>
      </c>
      <c r="B490" s="14">
        <v>-1.1317761485652666E-2</v>
      </c>
      <c r="C490" s="12">
        <v>-1.8929882171141554E-2</v>
      </c>
      <c r="D490" s="12">
        <v>-1.7229227034223582E-2</v>
      </c>
      <c r="E490" s="12">
        <v>-2.7119181666798831E-2</v>
      </c>
      <c r="F490" s="12">
        <v>2.5776330501991129E-2</v>
      </c>
      <c r="G490" s="12">
        <v>2.5507105550832687E-3</v>
      </c>
      <c r="H490" s="12">
        <v>-2.0259766310616323E-2</v>
      </c>
      <c r="I490" s="12">
        <v>-1.0876519513756122E-3</v>
      </c>
      <c r="J490" s="12">
        <v>3.483853678145632E-3</v>
      </c>
      <c r="K490" s="12">
        <v>-1.0673782521681052E-2</v>
      </c>
      <c r="L490" s="12">
        <v>-1.1697806661250976E-2</v>
      </c>
      <c r="M490" s="13">
        <f t="shared" si="55"/>
        <v>-1.3087116608528401E-2</v>
      </c>
      <c r="N490" s="32">
        <f t="shared" si="56"/>
        <v>122.50656620323726</v>
      </c>
      <c r="O490" s="32">
        <f t="shared" si="57"/>
        <v>114.71184945604246</v>
      </c>
      <c r="P490" s="12">
        <f t="shared" si="58"/>
        <v>-1.3087116608528401E-2</v>
      </c>
      <c r="Q490" s="13">
        <f t="shared" si="59"/>
        <v>-1.7693551228757341E-3</v>
      </c>
      <c r="R490" s="49" t="str">
        <f t="shared" si="60"/>
        <v/>
      </c>
    </row>
    <row r="491" spans="1:18" x14ac:dyDescent="0.35">
      <c r="A491" s="64" t="s">
        <v>77</v>
      </c>
      <c r="B491" s="14">
        <v>-7.1821292629474787E-3</v>
      </c>
      <c r="C491" s="12">
        <v>-1.0960162761698644E-2</v>
      </c>
      <c r="D491" s="12">
        <v>1.4184397163120588E-2</v>
      </c>
      <c r="E491" s="12">
        <v>-2.6081995272637659E-3</v>
      </c>
      <c r="F491" s="12">
        <v>-3.6143887093380567E-3</v>
      </c>
      <c r="G491" s="12">
        <v>1.5265325902592553E-2</v>
      </c>
      <c r="H491" s="12">
        <v>-1.0595280749347347E-2</v>
      </c>
      <c r="I491" s="12">
        <v>-1.9535002882213437E-2</v>
      </c>
      <c r="J491" s="12">
        <v>-3.6653758846307949E-2</v>
      </c>
      <c r="K491" s="12">
        <v>-2.0229265003371966E-3</v>
      </c>
      <c r="L491" s="12">
        <v>-1.6548851991890046E-2</v>
      </c>
      <c r="M491" s="13">
        <f t="shared" si="55"/>
        <v>-3.496785259515283E-3</v>
      </c>
      <c r="N491" s="32">
        <f t="shared" si="56"/>
        <v>122.07818704834395</v>
      </c>
      <c r="O491" s="32">
        <f t="shared" si="57"/>
        <v>113.88797412525739</v>
      </c>
      <c r="P491" s="12">
        <f t="shared" si="58"/>
        <v>-3.496785259515283E-3</v>
      </c>
      <c r="Q491" s="13">
        <f t="shared" si="59"/>
        <v>3.6853440034321956E-3</v>
      </c>
      <c r="R491" s="49" t="str">
        <f t="shared" si="60"/>
        <v/>
      </c>
    </row>
    <row r="492" spans="1:18" x14ac:dyDescent="0.35">
      <c r="A492" s="64" t="s">
        <v>77</v>
      </c>
      <c r="B492" s="14">
        <v>6.8571487583035662E-3</v>
      </c>
      <c r="C492" s="12">
        <v>2.5082946250829519E-2</v>
      </c>
      <c r="D492" s="12">
        <v>3.6143631649250274E-3</v>
      </c>
      <c r="E492" s="12">
        <v>-8.9891313230361369E-4</v>
      </c>
      <c r="F492" s="12">
        <v>4.8558596598977655E-3</v>
      </c>
      <c r="G492" s="12">
        <v>-7.8758949880667339E-3</v>
      </c>
      <c r="H492" s="12">
        <v>-8.794619762029221E-4</v>
      </c>
      <c r="I492" s="12">
        <v>1.4894172981447573E-2</v>
      </c>
      <c r="J492" s="12">
        <v>4.0889874558180939E-3</v>
      </c>
      <c r="K492" s="12">
        <v>8.5585585585585822E-3</v>
      </c>
      <c r="L492" s="12">
        <v>1.4709979383741079E-2</v>
      </c>
      <c r="M492" s="13">
        <f t="shared" si="55"/>
        <v>8.153417999240558E-3</v>
      </c>
      <c r="N492" s="32">
        <f t="shared" si="56"/>
        <v>123.07354153593857</v>
      </c>
      <c r="O492" s="32">
        <f t="shared" si="57"/>
        <v>114.6689209056161</v>
      </c>
      <c r="P492" s="12" t="str">
        <f t="shared" si="58"/>
        <v/>
      </c>
      <c r="Q492" s="13">
        <f t="shared" si="59"/>
        <v>1.2962692409369918E-3</v>
      </c>
      <c r="R492" s="49">
        <f t="shared" si="60"/>
        <v>1</v>
      </c>
    </row>
    <row r="493" spans="1:18" x14ac:dyDescent="0.35">
      <c r="A493" s="64" t="s">
        <v>77</v>
      </c>
      <c r="B493" s="14">
        <v>-1.1272112803181633E-2</v>
      </c>
      <c r="C493" s="12">
        <v>1.5665458311755698E-2</v>
      </c>
      <c r="D493" s="12">
        <v>-1.1195490487747595E-2</v>
      </c>
      <c r="E493" s="12">
        <v>-8.4655651889417038E-3</v>
      </c>
      <c r="F493" s="12">
        <v>-1.4325279342947139E-3</v>
      </c>
      <c r="G493" s="12">
        <v>-7.8782776040413616E-3</v>
      </c>
      <c r="H493" s="12">
        <v>-5.4885310412675636E-3</v>
      </c>
      <c r="I493" s="12">
        <v>-1.2100926879505813E-2</v>
      </c>
      <c r="J493" s="12">
        <v>7.3163997791276802E-3</v>
      </c>
      <c r="K493" s="12">
        <v>-5.8061634658329586E-3</v>
      </c>
      <c r="L493" s="12">
        <v>-2.2623688979188428E-2</v>
      </c>
      <c r="M493" s="13">
        <f t="shared" si="55"/>
        <v>-1.1728939449266999E-2</v>
      </c>
      <c r="N493" s="32">
        <f t="shared" si="56"/>
        <v>121.6300194194567</v>
      </c>
      <c r="O493" s="32">
        <f t="shared" si="57"/>
        <v>113.37635989414889</v>
      </c>
      <c r="P493" s="12">
        <f t="shared" si="58"/>
        <v>-1.1728939449266999E-2</v>
      </c>
      <c r="Q493" s="13">
        <f t="shared" si="59"/>
        <v>-4.5682664608536622E-4</v>
      </c>
      <c r="R493" s="49" t="str">
        <f t="shared" si="60"/>
        <v/>
      </c>
    </row>
    <row r="494" spans="1:18" x14ac:dyDescent="0.35">
      <c r="A494" s="64" t="s">
        <v>77</v>
      </c>
      <c r="B494" s="14">
        <v>-1.7116493297336777E-2</v>
      </c>
      <c r="C494" s="12">
        <v>-2.0267686424474185E-2</v>
      </c>
      <c r="D494" s="12">
        <v>-1.0847189231987242E-2</v>
      </c>
      <c r="E494" s="12">
        <v>-1.4435966178593551E-2</v>
      </c>
      <c r="F494" s="12">
        <v>-2.0504973221116884E-2</v>
      </c>
      <c r="G494" s="12">
        <v>-1.0244286840031536E-2</v>
      </c>
      <c r="H494" s="12">
        <v>-2.6292497526943182E-2</v>
      </c>
      <c r="I494" s="12">
        <v>-3.1078967943705904E-2</v>
      </c>
      <c r="J494" s="12">
        <v>-1.8158147183774176E-2</v>
      </c>
      <c r="K494" s="12">
        <v>8.9847259658579759E-3</v>
      </c>
      <c r="L494" s="12">
        <v>-3.393449070172494E-2</v>
      </c>
      <c r="M494" s="13">
        <f t="shared" si="55"/>
        <v>-1.473153241590245E-2</v>
      </c>
      <c r="N494" s="32">
        <f t="shared" si="56"/>
        <v>119.83822284563213</v>
      </c>
      <c r="O494" s="32">
        <f t="shared" si="57"/>
        <v>111.43575418994425</v>
      </c>
      <c r="P494" s="12">
        <f t="shared" si="58"/>
        <v>-1.473153241590245E-2</v>
      </c>
      <c r="Q494" s="13">
        <f t="shared" si="59"/>
        <v>2.3849608814343268E-3</v>
      </c>
      <c r="R494" s="49" t="str">
        <f t="shared" si="60"/>
        <v/>
      </c>
    </row>
    <row r="495" spans="1:18" x14ac:dyDescent="0.35">
      <c r="A495" s="64">
        <v>5.57</v>
      </c>
      <c r="B495" s="14">
        <v>-8.4275962880581146E-3</v>
      </c>
      <c r="C495" s="12">
        <v>-6.3752276867030666E-3</v>
      </c>
      <c r="D495" s="12">
        <v>3.0417033538781002E-3</v>
      </c>
      <c r="E495" s="12">
        <v>8.4955011508682787E-3</v>
      </c>
      <c r="F495" s="12">
        <v>1.0506170910795198E-2</v>
      </c>
      <c r="G495" s="12">
        <v>1.7760901518863337E-2</v>
      </c>
      <c r="H495" s="12">
        <v>-6.5768367019570784E-3</v>
      </c>
      <c r="I495" s="12">
        <v>-3.8195144912917756E-2</v>
      </c>
      <c r="J495" s="12">
        <v>-3.19631516504989E-2</v>
      </c>
      <c r="K495" s="12">
        <v>-1.0240427426536081E-2</v>
      </c>
      <c r="L495" s="12">
        <v>-8.1419017156149076E-3</v>
      </c>
      <c r="M495" s="13">
        <f t="shared" si="55"/>
        <v>-9.0156844393591284E-3</v>
      </c>
      <c r="N495" s="32">
        <f t="shared" si="56"/>
        <v>118.7577992446823</v>
      </c>
      <c r="O495" s="32">
        <f t="shared" si="57"/>
        <v>110.49661864157612</v>
      </c>
      <c r="P495" s="12">
        <f t="shared" si="58"/>
        <v>-9.0156844393591284E-3</v>
      </c>
      <c r="Q495" s="13">
        <f t="shared" si="59"/>
        <v>-5.8808815130101388E-4</v>
      </c>
      <c r="R495" s="49" t="str">
        <f t="shared" si="60"/>
        <v/>
      </c>
    </row>
    <row r="496" spans="1:18" x14ac:dyDescent="0.35">
      <c r="A496" s="64" t="s">
        <v>77</v>
      </c>
      <c r="B496" s="14">
        <v>-1.7232616372049869E-2</v>
      </c>
      <c r="C496" s="12">
        <v>-1.5123739688359339E-2</v>
      </c>
      <c r="D496" s="12">
        <v>-2.0748543611842751E-2</v>
      </c>
      <c r="E496" s="12">
        <v>-1.2698149224002031E-2</v>
      </c>
      <c r="F496" s="12">
        <v>-7.4401886136127304E-3</v>
      </c>
      <c r="G496" s="12">
        <v>3.2494885064386914E-3</v>
      </c>
      <c r="H496" s="12">
        <v>-9.8498304537379955E-3</v>
      </c>
      <c r="I496" s="12">
        <v>-1.9366566454590006E-2</v>
      </c>
      <c r="J496" s="12">
        <v>-5.3709177420517729E-2</v>
      </c>
      <c r="K496" s="12">
        <v>-2.496626180836703E-2</v>
      </c>
      <c r="L496" s="12">
        <v>-3.6997947815889831E-2</v>
      </c>
      <c r="M496" s="13">
        <f t="shared" si="55"/>
        <v>-2.3072454900006457E-2</v>
      </c>
      <c r="N496" s="32">
        <f t="shared" si="56"/>
        <v>116.01776527758535</v>
      </c>
      <c r="O496" s="32">
        <f t="shared" si="57"/>
        <v>108.59247280211714</v>
      </c>
      <c r="P496" s="12">
        <f t="shared" si="58"/>
        <v>-2.3072454900006457E-2</v>
      </c>
      <c r="Q496" s="13">
        <f t="shared" si="59"/>
        <v>-5.8398385279565881E-3</v>
      </c>
      <c r="R496" s="49" t="str">
        <f t="shared" si="60"/>
        <v/>
      </c>
    </row>
    <row r="497" spans="1:18" x14ac:dyDescent="0.35">
      <c r="A497" s="64" t="s">
        <v>77</v>
      </c>
      <c r="B497" s="14">
        <v>-1.0340542018774879E-2</v>
      </c>
      <c r="C497" s="12">
        <v>2.2601874626071439E-3</v>
      </c>
      <c r="D497" s="12">
        <v>-5.7045065601823985E-3</v>
      </c>
      <c r="E497" s="12">
        <v>-1.9754539340954835E-3</v>
      </c>
      <c r="F497" s="12">
        <v>-1.0221763594945532E-2</v>
      </c>
      <c r="G497" s="12">
        <v>-6.1180422264875967E-3</v>
      </c>
      <c r="H497" s="12">
        <v>-1.8319199826049126E-2</v>
      </c>
      <c r="I497" s="12">
        <v>-2.003422215884787E-2</v>
      </c>
      <c r="J497" s="12">
        <v>-2.986439128447349E-2</v>
      </c>
      <c r="K497" s="12">
        <v>9.6885813148790412E-3</v>
      </c>
      <c r="L497" s="12">
        <v>-9.8636142230882351E-3</v>
      </c>
      <c r="M497" s="13">
        <f t="shared" si="55"/>
        <v>-5.2086918726393519E-3</v>
      </c>
      <c r="N497" s="32">
        <f t="shared" si="56"/>
        <v>115.41346448650221</v>
      </c>
      <c r="O497" s="32">
        <f t="shared" si="57"/>
        <v>107.46956777418418</v>
      </c>
      <c r="P497" s="12">
        <f t="shared" si="58"/>
        <v>-5.2086918726393519E-3</v>
      </c>
      <c r="Q497" s="13">
        <f t="shared" si="59"/>
        <v>5.1318501461355267E-3</v>
      </c>
      <c r="R497" s="49" t="str">
        <f t="shared" si="60"/>
        <v/>
      </c>
    </row>
    <row r="498" spans="1:18" x14ac:dyDescent="0.35">
      <c r="A498" s="64" t="s">
        <v>77</v>
      </c>
      <c r="B498" s="14">
        <v>-2.1203598319033956E-3</v>
      </c>
      <c r="C498" s="12">
        <v>6.5662930291170429E-3</v>
      </c>
      <c r="D498" s="12">
        <v>-2.2129333661176087E-3</v>
      </c>
      <c r="E498" s="12">
        <v>-4.3798694461991694E-3</v>
      </c>
      <c r="F498" s="12">
        <v>1.9671099221074684E-5</v>
      </c>
      <c r="G498" s="12">
        <v>-4.5866022933011008E-3</v>
      </c>
      <c r="H498" s="12">
        <v>-1.5061742067667083E-2</v>
      </c>
      <c r="I498" s="12">
        <v>2.9101491451455352E-4</v>
      </c>
      <c r="J498" s="12">
        <v>1.3350086382912796E-3</v>
      </c>
      <c r="K498" s="12">
        <v>-2.7416038382455099E-3</v>
      </c>
      <c r="L498" s="12">
        <v>-1.1068749231337716E-3</v>
      </c>
      <c r="M498" s="13">
        <f t="shared" si="55"/>
        <v>-1.961963565768483E-3</v>
      </c>
      <c r="N498" s="32">
        <f t="shared" si="56"/>
        <v>115.18702747418057</v>
      </c>
      <c r="O498" s="32">
        <f t="shared" si="57"/>
        <v>107.24169361952379</v>
      </c>
      <c r="P498" s="12">
        <f t="shared" si="58"/>
        <v>-1.961963565768483E-3</v>
      </c>
      <c r="Q498" s="13">
        <f t="shared" si="59"/>
        <v>1.583962661349126E-4</v>
      </c>
      <c r="R498" s="49" t="str">
        <f t="shared" si="60"/>
        <v/>
      </c>
    </row>
    <row r="499" spans="1:18" x14ac:dyDescent="0.35">
      <c r="A499" s="64" t="s">
        <v>77</v>
      </c>
      <c r="B499" s="14">
        <v>1.9672140136923533E-2</v>
      </c>
      <c r="C499" s="12">
        <v>-1.2651555086979349E-2</v>
      </c>
      <c r="D499" s="12">
        <v>8.3785115820602662E-3</v>
      </c>
      <c r="E499" s="12">
        <v>1.9711518125290706E-2</v>
      </c>
      <c r="F499" s="12">
        <v>1.0956586738005925E-2</v>
      </c>
      <c r="G499" s="12">
        <v>8.6091912210501942E-3</v>
      </c>
      <c r="H499" s="12">
        <v>7.3649294428514978E-3</v>
      </c>
      <c r="I499" s="12">
        <v>2.2328896647028751E-2</v>
      </c>
      <c r="J499" s="12">
        <v>4.6506156379891639E-2</v>
      </c>
      <c r="K499" s="12">
        <v>1.6494845360824684E-2</v>
      </c>
      <c r="L499" s="12">
        <v>3.2750554050726466E-2</v>
      </c>
      <c r="M499" s="13">
        <f t="shared" si="55"/>
        <v>1.8601881243354379E-2</v>
      </c>
      <c r="N499" s="32">
        <f t="shared" si="56"/>
        <v>117.32972288003027</v>
      </c>
      <c r="O499" s="32">
        <f t="shared" si="57"/>
        <v>109.35136724492807</v>
      </c>
      <c r="P499" s="12" t="str">
        <f t="shared" si="58"/>
        <v/>
      </c>
      <c r="Q499" s="13">
        <f t="shared" si="59"/>
        <v>-1.0702588935691537E-3</v>
      </c>
      <c r="R499" s="49">
        <f t="shared" si="60"/>
        <v>1</v>
      </c>
    </row>
    <row r="500" spans="1:18" x14ac:dyDescent="0.35">
      <c r="A500" s="64">
        <v>5.5</v>
      </c>
      <c r="B500" s="14">
        <v>-2.1126419721218426E-2</v>
      </c>
      <c r="C500" s="12">
        <v>-4.911906033101987E-2</v>
      </c>
      <c r="D500" s="12">
        <v>-9.2049527533398789E-3</v>
      </c>
      <c r="E500" s="12">
        <v>-1.4808976645787508E-2</v>
      </c>
      <c r="F500" s="12">
        <v>-9.9427948787798037E-3</v>
      </c>
      <c r="G500" s="12">
        <v>-1.10002404424141E-2</v>
      </c>
      <c r="H500" s="12">
        <v>4.9112624176805841E-3</v>
      </c>
      <c r="I500" s="12">
        <v>-1.9706886738759311E-2</v>
      </c>
      <c r="J500" s="12">
        <v>-6.0776378896882477E-2</v>
      </c>
      <c r="K500" s="12">
        <v>-6.5359477124182774E-3</v>
      </c>
      <c r="L500" s="12">
        <v>-1.1087267525035638E-2</v>
      </c>
      <c r="M500" s="13">
        <f t="shared" si="55"/>
        <v>-1.1728642247585793E-2</v>
      </c>
      <c r="N500" s="32">
        <f t="shared" si="56"/>
        <v>115.95360453536202</v>
      </c>
      <c r="O500" s="32">
        <f t="shared" si="57"/>
        <v>107.04116436342262</v>
      </c>
      <c r="P500" s="12">
        <f t="shared" si="58"/>
        <v>-1.1728642247585793E-2</v>
      </c>
      <c r="Q500" s="13">
        <f t="shared" si="59"/>
        <v>9.3977774736326326E-3</v>
      </c>
      <c r="R500" s="49" t="str">
        <f t="shared" si="60"/>
        <v/>
      </c>
    </row>
    <row r="501" spans="1:18" x14ac:dyDescent="0.35">
      <c r="A501" s="64" t="s">
        <v>77</v>
      </c>
      <c r="B501" s="14">
        <v>-1.506673588849794E-2</v>
      </c>
      <c r="C501" s="12">
        <v>-3.0039303761931535E-2</v>
      </c>
      <c r="D501" s="12">
        <v>-2.3185069472991815E-2</v>
      </c>
      <c r="E501" s="12">
        <v>-1.936842105263159E-2</v>
      </c>
      <c r="F501" s="12">
        <v>-7.4484601929917238E-3</v>
      </c>
      <c r="G501" s="12">
        <v>-7.1111651370570073E-3</v>
      </c>
      <c r="H501" s="12">
        <v>-1.3384427413084543E-2</v>
      </c>
      <c r="I501" s="12">
        <v>-2.0901371652514711E-2</v>
      </c>
      <c r="J501" s="12">
        <v>-3.391047634245592E-2</v>
      </c>
      <c r="K501" s="12">
        <v>-1.928312159709622E-2</v>
      </c>
      <c r="L501" s="12">
        <v>-1.0970464135021007E-2</v>
      </c>
      <c r="M501" s="13">
        <f t="shared" si="55"/>
        <v>-1.9263818255328545E-2</v>
      </c>
      <c r="N501" s="32">
        <f t="shared" si="56"/>
        <v>113.71989537154256</v>
      </c>
      <c r="O501" s="32">
        <f t="shared" si="57"/>
        <v>105.42840341076163</v>
      </c>
      <c r="P501" s="12">
        <f t="shared" si="58"/>
        <v>-1.9263818255328545E-2</v>
      </c>
      <c r="Q501" s="13">
        <f t="shared" si="59"/>
        <v>-4.1970823668306054E-3</v>
      </c>
      <c r="R501" s="49" t="str">
        <f t="shared" si="60"/>
        <v/>
      </c>
    </row>
    <row r="502" spans="1:18" x14ac:dyDescent="0.35">
      <c r="A502" s="64" t="s">
        <v>77</v>
      </c>
      <c r="B502" s="14">
        <v>2.5883947546031072E-2</v>
      </c>
      <c r="C502" s="12">
        <v>3.0752532561505008E-2</v>
      </c>
      <c r="D502" s="12">
        <v>2.2725359818197122E-2</v>
      </c>
      <c r="E502" s="12">
        <v>3.3662516101331086E-2</v>
      </c>
      <c r="F502" s="12">
        <v>2.0731031205448947E-2</v>
      </c>
      <c r="G502" s="12">
        <v>-9.7943192948102276E-4</v>
      </c>
      <c r="H502" s="12">
        <v>2.251618350689566E-2</v>
      </c>
      <c r="I502" s="12">
        <v>3.7877103254021272E-2</v>
      </c>
      <c r="J502" s="12">
        <v>4.1047241493227693E-2</v>
      </c>
      <c r="K502" s="12">
        <v>2.1975479990747226E-2</v>
      </c>
      <c r="L502" s="12">
        <v>4.3576304241833119E-2</v>
      </c>
      <c r="M502" s="13">
        <f t="shared" si="55"/>
        <v>3.054197527070273E-2</v>
      </c>
      <c r="N502" s="32">
        <f t="shared" si="56"/>
        <v>117.19312560376713</v>
      </c>
      <c r="O502" s="32">
        <f t="shared" si="57"/>
        <v>108.15730667450759</v>
      </c>
      <c r="P502" s="12" t="str">
        <f t="shared" si="58"/>
        <v/>
      </c>
      <c r="Q502" s="13">
        <f t="shared" si="59"/>
        <v>4.6580277246716581E-3</v>
      </c>
      <c r="R502" s="49">
        <f t="shared" si="60"/>
        <v>1</v>
      </c>
    </row>
    <row r="503" spans="1:18" x14ac:dyDescent="0.35">
      <c r="A503" s="64" t="s">
        <v>77</v>
      </c>
      <c r="B503" s="14">
        <v>3.0583700111188827E-2</v>
      </c>
      <c r="C503" s="12">
        <v>2.5623025623025653E-2</v>
      </c>
      <c r="D503" s="12">
        <v>3.2836803555262861E-2</v>
      </c>
      <c r="E503" s="12">
        <v>3.3812411730497649E-2</v>
      </c>
      <c r="F503" s="12">
        <v>1.4859071598998908E-2</v>
      </c>
      <c r="G503" s="12">
        <v>1.4828431372549078E-2</v>
      </c>
      <c r="H503" s="12">
        <v>2.2020368841178195E-2</v>
      </c>
      <c r="I503" s="12">
        <v>3.8851592629624232E-2</v>
      </c>
      <c r="J503" s="12">
        <v>5.9182863942879749E-2</v>
      </c>
      <c r="K503" s="12">
        <v>1.2901765504753193E-2</v>
      </c>
      <c r="L503" s="12">
        <v>4.9056824154645851E-2</v>
      </c>
      <c r="M503" s="13">
        <f t="shared" si="55"/>
        <v>3.2429181967539689E-2</v>
      </c>
      <c r="N503" s="32">
        <f t="shared" si="56"/>
        <v>120.99360279931643</v>
      </c>
      <c r="O503" s="32">
        <f t="shared" si="57"/>
        <v>111.46515730667461</v>
      </c>
      <c r="P503" s="12" t="str">
        <f t="shared" si="58"/>
        <v/>
      </c>
      <c r="Q503" s="13">
        <f t="shared" si="59"/>
        <v>1.8454818563508613E-3</v>
      </c>
      <c r="R503" s="49">
        <f t="shared" si="60"/>
        <v>1</v>
      </c>
    </row>
    <row r="504" spans="1:18" x14ac:dyDescent="0.35">
      <c r="A504" s="64" t="s">
        <v>77</v>
      </c>
      <c r="B504" s="14">
        <v>-2.0179744811957834E-3</v>
      </c>
      <c r="C504" s="12">
        <v>2.0533880903490509E-3</v>
      </c>
      <c r="D504" s="12">
        <v>1.9123505976095245E-3</v>
      </c>
      <c r="E504" s="12">
        <v>1.2857602057216866E-3</v>
      </c>
      <c r="F504" s="12">
        <v>7.4545558804979262E-3</v>
      </c>
      <c r="G504" s="12">
        <v>-3.0793382441733907E-3</v>
      </c>
      <c r="H504" s="12">
        <v>1.0880689469431548E-2</v>
      </c>
      <c r="I504" s="12">
        <v>-7.4934689949127664E-3</v>
      </c>
      <c r="J504" s="12">
        <v>-1.0486105909669474E-2</v>
      </c>
      <c r="K504" s="12">
        <v>-9.8324022346367723E-3</v>
      </c>
      <c r="L504" s="12">
        <v>-6.9587485386628511E-3</v>
      </c>
      <c r="M504" s="13">
        <f t="shared" si="55"/>
        <v>-4.1232364278106937E-3</v>
      </c>
      <c r="N504" s="32">
        <f t="shared" si="56"/>
        <v>120.49471756872224</v>
      </c>
      <c r="O504" s="32">
        <f t="shared" si="57"/>
        <v>111.24022346368727</v>
      </c>
      <c r="P504" s="12">
        <f t="shared" si="58"/>
        <v>-4.1232364278106937E-3</v>
      </c>
      <c r="Q504" s="13">
        <f t="shared" si="59"/>
        <v>-2.1052619466149104E-3</v>
      </c>
      <c r="R504" s="49" t="str">
        <f t="shared" si="60"/>
        <v/>
      </c>
    </row>
    <row r="505" spans="1:18" x14ac:dyDescent="0.35">
      <c r="A505" s="64">
        <v>5.84</v>
      </c>
      <c r="B505" s="14">
        <v>-1.0245078344716774E-2</v>
      </c>
      <c r="C505" s="12">
        <v>-6.6256830601092442E-3</v>
      </c>
      <c r="D505" s="12">
        <v>-2.7914744711308948E-2</v>
      </c>
      <c r="E505" s="12">
        <v>-9.6709470304975342E-3</v>
      </c>
      <c r="F505" s="12">
        <v>-1.5064412696605856E-2</v>
      </c>
      <c r="G505" s="12">
        <v>-1.938101871479625E-2</v>
      </c>
      <c r="H505" s="12">
        <v>-1.1083284488730083E-2</v>
      </c>
      <c r="I505" s="12">
        <v>-1.3784027152455525E-2</v>
      </c>
      <c r="J505" s="12">
        <v>6.812504730904223E-4</v>
      </c>
      <c r="K505" s="12">
        <v>-9.4786729857819774E-3</v>
      </c>
      <c r="L505" s="12">
        <v>2.4105841462047639E-3</v>
      </c>
      <c r="M505" s="13">
        <f t="shared" si="55"/>
        <v>-1.3374420215245111E-2</v>
      </c>
      <c r="N505" s="32">
        <f t="shared" si="56"/>
        <v>118.88317058224087</v>
      </c>
      <c r="O505" s="32">
        <f t="shared" si="57"/>
        <v>110.100558659218</v>
      </c>
      <c r="P505" s="12">
        <f t="shared" si="58"/>
        <v>-1.3374420215245111E-2</v>
      </c>
      <c r="Q505" s="13">
        <f t="shared" si="59"/>
        <v>-3.1293418705283377E-3</v>
      </c>
      <c r="R505" s="49" t="str">
        <f t="shared" si="60"/>
        <v/>
      </c>
    </row>
    <row r="506" spans="1:18" x14ac:dyDescent="0.35">
      <c r="A506" s="64" t="s">
        <v>77</v>
      </c>
      <c r="B506" s="14">
        <v>-2.8003589245083504E-2</v>
      </c>
      <c r="C506" s="12">
        <v>-3.6718696279997243E-2</v>
      </c>
      <c r="D506" s="12">
        <v>-2.7898224658430948E-2</v>
      </c>
      <c r="E506" s="12">
        <v>-5.0852951902427113E-2</v>
      </c>
      <c r="F506" s="12">
        <v>-2.7507560726600211E-2</v>
      </c>
      <c r="G506" s="12">
        <v>-1.0561423012784954E-2</v>
      </c>
      <c r="H506" s="12">
        <v>-9.4832695727139482E-3</v>
      </c>
      <c r="I506" s="12">
        <v>-2.373928922601487E-2</v>
      </c>
      <c r="J506" s="12">
        <v>-1.8229954614220834E-2</v>
      </c>
      <c r="K506" s="12">
        <v>-2.3695602642970992E-2</v>
      </c>
      <c r="L506" s="12">
        <v>-7.0465857614226968E-3</v>
      </c>
      <c r="M506" s="13">
        <f t="shared" si="55"/>
        <v>-2.5798381117890016E-2</v>
      </c>
      <c r="N506" s="32">
        <f t="shared" si="56"/>
        <v>115.81617723905708</v>
      </c>
      <c r="O506" s="32">
        <f t="shared" si="57"/>
        <v>107.01734783887103</v>
      </c>
      <c r="P506" s="12">
        <f t="shared" si="58"/>
        <v>-2.5798381117890016E-2</v>
      </c>
      <c r="Q506" s="13">
        <f t="shared" si="59"/>
        <v>2.2052081271934885E-3</v>
      </c>
      <c r="R506" s="49" t="str">
        <f t="shared" si="60"/>
        <v/>
      </c>
    </row>
    <row r="507" spans="1:18" x14ac:dyDescent="0.35">
      <c r="A507" s="64" t="s">
        <v>77</v>
      </c>
      <c r="B507" s="14">
        <v>-7.4924580867443691E-3</v>
      </c>
      <c r="C507" s="12">
        <v>2.3556285245198705E-3</v>
      </c>
      <c r="D507" s="12">
        <v>-9.0052179767715623E-3</v>
      </c>
      <c r="E507" s="12">
        <v>-2.1302937158469981E-2</v>
      </c>
      <c r="F507" s="12">
        <v>-1.1864910369416726E-2</v>
      </c>
      <c r="G507" s="12">
        <v>1.3108614232211213E-3</v>
      </c>
      <c r="H507" s="12">
        <v>-8.9756840559213069E-3</v>
      </c>
      <c r="I507" s="12">
        <v>-1.0719424460431726E-2</v>
      </c>
      <c r="J507" s="12">
        <v>1.6257030587872867E-2</v>
      </c>
      <c r="K507" s="12">
        <v>6.0676779463242347E-3</v>
      </c>
      <c r="L507" s="12">
        <v>6.3080822303576145E-3</v>
      </c>
      <c r="M507" s="13">
        <f t="shared" si="55"/>
        <v>-5.0655140780326707E-3</v>
      </c>
      <c r="N507" s="32">
        <f t="shared" si="56"/>
        <v>115.22950876278871</v>
      </c>
      <c r="O507" s="32">
        <f t="shared" si="57"/>
        <v>106.21552484563375</v>
      </c>
      <c r="P507" s="12">
        <f t="shared" si="58"/>
        <v>-5.0655140780326707E-3</v>
      </c>
      <c r="Q507" s="13">
        <f t="shared" si="59"/>
        <v>2.4269440087116984E-3</v>
      </c>
      <c r="R507" s="49" t="str">
        <f t="shared" si="60"/>
        <v/>
      </c>
    </row>
    <row r="508" spans="1:18" x14ac:dyDescent="0.35">
      <c r="A508" s="64" t="s">
        <v>77</v>
      </c>
      <c r="B508" s="14">
        <v>-6.5192296512833758E-3</v>
      </c>
      <c r="C508" s="12">
        <v>-1.0254949437402017E-2</v>
      </c>
      <c r="D508" s="12">
        <v>4.2462845010615702E-4</v>
      </c>
      <c r="E508" s="12">
        <v>-1.6750272628135221E-2</v>
      </c>
      <c r="F508" s="12">
        <v>1.9043418995308148E-3</v>
      </c>
      <c r="G508" s="12">
        <v>1.4462938719531193E-2</v>
      </c>
      <c r="H508" s="12">
        <v>-1.6686793281370238E-2</v>
      </c>
      <c r="I508" s="12">
        <v>-1.1635517416914709E-3</v>
      </c>
      <c r="J508" s="12">
        <v>-2.5018953752844464E-3</v>
      </c>
      <c r="K508" s="12">
        <v>2.5748086290883876E-2</v>
      </c>
      <c r="L508" s="12">
        <v>6.0446633458330901E-3</v>
      </c>
      <c r="M508" s="13">
        <f t="shared" si="55"/>
        <v>4.3556528460945597E-3</v>
      </c>
      <c r="N508" s="32">
        <f t="shared" si="56"/>
        <v>115.73140850058543</v>
      </c>
      <c r="O508" s="32">
        <f t="shared" si="57"/>
        <v>105.52308144663347</v>
      </c>
      <c r="P508" s="12" t="str">
        <f t="shared" si="58"/>
        <v/>
      </c>
      <c r="Q508" s="13">
        <f t="shared" si="59"/>
        <v>1.0874882497377936E-2</v>
      </c>
      <c r="R508" s="49">
        <f t="shared" si="60"/>
        <v>1</v>
      </c>
    </row>
    <row r="509" spans="1:18" x14ac:dyDescent="0.35">
      <c r="A509" s="64">
        <v>5.75</v>
      </c>
      <c r="B509" s="14">
        <v>-3.2907569019515748E-3</v>
      </c>
      <c r="C509" s="12">
        <v>-4.6049791336881807E-3</v>
      </c>
      <c r="D509" s="12">
        <v>-1.9524617996604654E-3</v>
      </c>
      <c r="E509" s="12">
        <v>1.5083625393728095E-3</v>
      </c>
      <c r="F509" s="12">
        <v>3.0011404333651903E-4</v>
      </c>
      <c r="G509" s="12">
        <v>-2.4580593621326141E-4</v>
      </c>
      <c r="H509" s="12">
        <v>-5.024003572624669E-3</v>
      </c>
      <c r="I509" s="12">
        <v>-4.4412085911902377E-3</v>
      </c>
      <c r="J509" s="12">
        <v>-8.7405943604165204E-3</v>
      </c>
      <c r="K509" s="12">
        <v>-1.1307100859339614E-2</v>
      </c>
      <c r="L509" s="12">
        <v>-1.3908205841446364E-3</v>
      </c>
      <c r="M509" s="13">
        <f t="shared" si="55"/>
        <v>-3.9486281749098679E-3</v>
      </c>
      <c r="N509" s="32">
        <f t="shared" si="56"/>
        <v>115.27442820025801</v>
      </c>
      <c r="O509" s="32">
        <f t="shared" si="57"/>
        <v>105.17583063804776</v>
      </c>
      <c r="P509" s="12">
        <f t="shared" si="58"/>
        <v>-3.9486281749098679E-3</v>
      </c>
      <c r="Q509" s="13">
        <f t="shared" si="59"/>
        <v>-6.578712729582931E-4</v>
      </c>
      <c r="R509" s="49" t="str">
        <f t="shared" si="60"/>
        <v/>
      </c>
    </row>
    <row r="510" spans="1:18" x14ac:dyDescent="0.35">
      <c r="A510" s="64" t="s">
        <v>77</v>
      </c>
      <c r="B510" s="14">
        <v>2.5965675434648228E-2</v>
      </c>
      <c r="C510" s="12">
        <v>3.3612837935521167E-2</v>
      </c>
      <c r="D510" s="12">
        <v>3.5893510249213278E-2</v>
      </c>
      <c r="E510" s="12">
        <v>3.760797342192701E-2</v>
      </c>
      <c r="F510" s="12">
        <v>1.9901592127370193E-2</v>
      </c>
      <c r="G510" s="12">
        <v>1.5120781855061827E-2</v>
      </c>
      <c r="H510" s="12">
        <v>3.6018850987432627E-2</v>
      </c>
      <c r="I510" s="12">
        <v>3.5176246891911678E-2</v>
      </c>
      <c r="J510" s="12">
        <v>1.5181720595000892E-2</v>
      </c>
      <c r="K510" s="12">
        <v>8.4629460201282036E-3</v>
      </c>
      <c r="L510" s="12">
        <v>2.0278551532033395E-2</v>
      </c>
      <c r="M510" s="13">
        <f t="shared" si="55"/>
        <v>2.7198707486744366E-2</v>
      </c>
      <c r="N510" s="32">
        <f t="shared" si="56"/>
        <v>118.40974365357854</v>
      </c>
      <c r="O510" s="32">
        <f t="shared" si="57"/>
        <v>107.90679211996483</v>
      </c>
      <c r="P510" s="12" t="str">
        <f t="shared" si="58"/>
        <v/>
      </c>
      <c r="Q510" s="13">
        <f t="shared" si="59"/>
        <v>1.2330320520961384E-3</v>
      </c>
      <c r="R510" s="49">
        <f t="shared" si="60"/>
        <v>1</v>
      </c>
    </row>
    <row r="511" spans="1:18" x14ac:dyDescent="0.35">
      <c r="A511" s="64" t="s">
        <v>77</v>
      </c>
      <c r="B511" s="14">
        <v>-2.3662705624933444E-2</v>
      </c>
      <c r="C511" s="12">
        <v>-3.224001678439059E-2</v>
      </c>
      <c r="D511" s="12">
        <v>-1.4368995812464092E-2</v>
      </c>
      <c r="E511" s="12">
        <v>-2.4248633879781489E-2</v>
      </c>
      <c r="F511" s="12">
        <v>6.3148398737031819E-3</v>
      </c>
      <c r="G511" s="12">
        <v>-4.1780199818346464E-3</v>
      </c>
      <c r="H511" s="12">
        <v>-1.1047330228528107E-2</v>
      </c>
      <c r="I511" s="12">
        <v>-3.3486400565171381E-2</v>
      </c>
      <c r="J511" s="12">
        <v>5.6646525679757698E-3</v>
      </c>
      <c r="K511" s="12">
        <v>-1.3835336811068411E-2</v>
      </c>
      <c r="L511" s="12">
        <v>-2.7028502784754771E-2</v>
      </c>
      <c r="M511" s="13">
        <f t="shared" si="55"/>
        <v>-2.145700766476262E-2</v>
      </c>
      <c r="N511" s="32">
        <f t="shared" si="56"/>
        <v>115.86902487642112</v>
      </c>
      <c r="O511" s="32">
        <f t="shared" si="57"/>
        <v>105.35342546309921</v>
      </c>
      <c r="P511" s="12">
        <f t="shared" si="58"/>
        <v>-2.145700766476262E-2</v>
      </c>
      <c r="Q511" s="13">
        <f t="shared" si="59"/>
        <v>2.2056979601708243E-3</v>
      </c>
      <c r="R511" s="49" t="str">
        <f t="shared" si="60"/>
        <v/>
      </c>
    </row>
    <row r="512" spans="1:18" x14ac:dyDescent="0.35">
      <c r="A512" s="64" t="s">
        <v>77</v>
      </c>
      <c r="B512" s="14">
        <v>2.6480085513260976E-2</v>
      </c>
      <c r="C512" s="12">
        <v>2.9122705593293885E-2</v>
      </c>
      <c r="D512" s="12">
        <v>1.2329223592135952E-2</v>
      </c>
      <c r="E512" s="12">
        <v>3.9245712285614243E-2</v>
      </c>
      <c r="F512" s="12">
        <v>1.705220899187343E-2</v>
      </c>
      <c r="G512" s="12">
        <v>1.2951477562933134E-2</v>
      </c>
      <c r="H512" s="12">
        <v>1.4401489431606684E-2</v>
      </c>
      <c r="I512" s="12">
        <v>3.4573496089467026E-2</v>
      </c>
      <c r="J512" s="12">
        <v>2.2080360495681628E-2</v>
      </c>
      <c r="K512" s="12">
        <v>7.1297148114075615E-3</v>
      </c>
      <c r="L512" s="12">
        <v>1.4647286604186682E-2</v>
      </c>
      <c r="M512" s="13">
        <f t="shared" si="55"/>
        <v>1.9582631623724246E-2</v>
      </c>
      <c r="N512" s="32">
        <f t="shared" si="56"/>
        <v>118.13804530717621</v>
      </c>
      <c r="O512" s="32">
        <f t="shared" si="57"/>
        <v>108.14319317847705</v>
      </c>
      <c r="P512" s="12" t="str">
        <f t="shared" si="58"/>
        <v/>
      </c>
      <c r="Q512" s="13">
        <f t="shared" si="59"/>
        <v>-6.8974538895367303E-3</v>
      </c>
      <c r="R512" s="49">
        <f t="shared" si="60"/>
        <v>1</v>
      </c>
    </row>
    <row r="513" spans="1:18" x14ac:dyDescent="0.35">
      <c r="A513" s="64" t="s">
        <v>77</v>
      </c>
      <c r="B513" s="14">
        <v>1.1427561549232745E-2</v>
      </c>
      <c r="C513" s="12">
        <v>9.4094515834561854E-3</v>
      </c>
      <c r="D513" s="12">
        <v>1.1685319289005847E-2</v>
      </c>
      <c r="E513" s="12">
        <v>4.0836946911968486E-3</v>
      </c>
      <c r="F513" s="12">
        <v>6.3232927109679871E-4</v>
      </c>
      <c r="G513" s="12">
        <v>-3.4816015367069575E-3</v>
      </c>
      <c r="H513" s="12">
        <v>1.0364372469635619E-2</v>
      </c>
      <c r="I513" s="12">
        <v>3.1439875653525684E-2</v>
      </c>
      <c r="J513" s="12">
        <v>9.1850980968477547E-3</v>
      </c>
      <c r="K513" s="12">
        <v>2.1009362868234849E-2</v>
      </c>
      <c r="L513" s="12">
        <v>1.5210176991150348E-2</v>
      </c>
      <c r="M513" s="13">
        <f t="shared" si="55"/>
        <v>1.7119164925118564E-2</v>
      </c>
      <c r="N513" s="32">
        <f t="shared" si="56"/>
        <v>120.16046998872089</v>
      </c>
      <c r="O513" s="32">
        <f t="shared" si="57"/>
        <v>109.37900617465466</v>
      </c>
      <c r="P513" s="12" t="str">
        <f t="shared" si="58"/>
        <v/>
      </c>
      <c r="Q513" s="13">
        <f t="shared" si="59"/>
        <v>5.6916033758858189E-3</v>
      </c>
      <c r="R513" s="49">
        <f t="shared" si="60"/>
        <v>1</v>
      </c>
    </row>
    <row r="514" spans="1:18" x14ac:dyDescent="0.35">
      <c r="A514" s="64">
        <v>5.95</v>
      </c>
      <c r="B514" s="14">
        <v>-6.6720788821446053E-3</v>
      </c>
      <c r="C514" s="12">
        <v>7.6521739130441802E-4</v>
      </c>
      <c r="D514" s="12">
        <v>-3.4976411257523488E-3</v>
      </c>
      <c r="E514" s="12">
        <v>-8.4696016771489413E-3</v>
      </c>
      <c r="F514" s="12">
        <v>-3.6192336416384085E-3</v>
      </c>
      <c r="G514" s="12">
        <v>-7.9513282332389634E-3</v>
      </c>
      <c r="H514" s="12">
        <v>-4.0604797777421542E-3</v>
      </c>
      <c r="I514" s="12">
        <v>-1.3836564148229424E-2</v>
      </c>
      <c r="J514" s="12">
        <v>7.6452599388376896E-3</v>
      </c>
      <c r="K514" s="12">
        <v>-2.6839633191678702E-3</v>
      </c>
      <c r="L514" s="12">
        <v>4.6853718332877659E-3</v>
      </c>
      <c r="M514" s="13">
        <f t="shared" si="55"/>
        <v>-4.6048292226404932E-3</v>
      </c>
      <c r="N514" s="32">
        <f t="shared" si="56"/>
        <v>119.60715154511061</v>
      </c>
      <c r="O514" s="32">
        <f t="shared" si="57"/>
        <v>108.64922081740679</v>
      </c>
      <c r="P514" s="12">
        <f t="shared" si="58"/>
        <v>-4.6048292226404932E-3</v>
      </c>
      <c r="Q514" s="13">
        <f t="shared" si="59"/>
        <v>2.0672496595041121E-3</v>
      </c>
      <c r="R514" s="49" t="str">
        <f t="shared" si="60"/>
        <v/>
      </c>
    </row>
    <row r="515" spans="1:18" x14ac:dyDescent="0.35">
      <c r="A515" s="64" t="s">
        <v>77</v>
      </c>
      <c r="B515" s="14">
        <v>-7.9509412312320782E-3</v>
      </c>
      <c r="C515" s="12">
        <v>-3.2670652022801505E-3</v>
      </c>
      <c r="D515" s="12">
        <v>4.7261448045057497E-2</v>
      </c>
      <c r="E515" s="12">
        <v>-1.3954668470905762E-3</v>
      </c>
      <c r="F515" s="12">
        <v>1.0762607626075837E-3</v>
      </c>
      <c r="G515" s="12">
        <v>2.5502459165707148E-3</v>
      </c>
      <c r="H515" s="12">
        <v>4.3452604474008005E-3</v>
      </c>
      <c r="I515" s="12">
        <v>-1.0766131833020887E-2</v>
      </c>
      <c r="J515" s="12">
        <v>5.3472071681479605E-3</v>
      </c>
      <c r="K515" s="12">
        <v>2.4669208342678051E-3</v>
      </c>
      <c r="L515" s="12">
        <v>-2.0985846754514426E-2</v>
      </c>
      <c r="M515" s="13">
        <f t="shared" si="55"/>
        <v>7.693423348754001E-3</v>
      </c>
      <c r="N515" s="32">
        <f t="shared" si="56"/>
        <v>120.52733999748573</v>
      </c>
      <c r="O515" s="32">
        <f t="shared" si="57"/>
        <v>107.78535724786843</v>
      </c>
      <c r="P515" s="12" t="str">
        <f t="shared" si="58"/>
        <v/>
      </c>
      <c r="Q515" s="13">
        <f t="shared" si="59"/>
        <v>1.5644364579986081E-2</v>
      </c>
      <c r="R515" s="49">
        <f t="shared" si="60"/>
        <v>1</v>
      </c>
    </row>
    <row r="516" spans="1:18" x14ac:dyDescent="0.35">
      <c r="A516" s="64" t="s">
        <v>77</v>
      </c>
      <c r="B516" s="14">
        <v>2.3724828003862664E-2</v>
      </c>
      <c r="C516" s="12">
        <v>2.7059069670130498E-2</v>
      </c>
      <c r="D516" s="12">
        <v>1.2470771628994459E-2</v>
      </c>
      <c r="E516" s="12">
        <v>2.5280542028371711E-2</v>
      </c>
      <c r="F516" s="12">
        <v>2.4669789586853064E-2</v>
      </c>
      <c r="G516" s="12">
        <v>2.1803646054145753E-2</v>
      </c>
      <c r="H516" s="12">
        <v>1.682512552077764E-2</v>
      </c>
      <c r="I516" s="12">
        <v>-1.671113607639374E-2</v>
      </c>
      <c r="J516" s="12">
        <v>1.5740674189606896E-2</v>
      </c>
      <c r="K516" s="12">
        <v>2.0134228187919323E-2</v>
      </c>
      <c r="L516" s="12">
        <v>5.361692699678744E-2</v>
      </c>
      <c r="M516" s="13">
        <f t="shared" si="55"/>
        <v>1.7346724430404827E-2</v>
      </c>
      <c r="N516" s="32">
        <f t="shared" si="56"/>
        <v>122.61809455075182</v>
      </c>
      <c r="O516" s="32">
        <f t="shared" si="57"/>
        <v>110.342546309909</v>
      </c>
      <c r="P516" s="12" t="str">
        <f t="shared" si="58"/>
        <v/>
      </c>
      <c r="Q516" s="13">
        <f t="shared" si="59"/>
        <v>-6.3781035734578363E-3</v>
      </c>
      <c r="R516" s="49">
        <f t="shared" si="60"/>
        <v>1</v>
      </c>
    </row>
    <row r="517" spans="1:18" x14ac:dyDescent="0.35">
      <c r="A517" s="64" t="s">
        <v>77</v>
      </c>
      <c r="B517" s="14">
        <v>1.1881953234294862E-2</v>
      </c>
      <c r="C517" s="12">
        <v>1.4802743260677431E-2</v>
      </c>
      <c r="D517" s="12">
        <v>2.147806004618924E-2</v>
      </c>
      <c r="E517" s="12">
        <v>2.1187840740128916E-2</v>
      </c>
      <c r="F517" s="12">
        <v>1.4745283195623182E-2</v>
      </c>
      <c r="G517" s="12">
        <v>1.345504119494989E-2</v>
      </c>
      <c r="H517" s="12">
        <v>1.7859956925987408E-3</v>
      </c>
      <c r="I517" s="12">
        <v>1.1353898886032665E-2</v>
      </c>
      <c r="J517" s="12">
        <v>5.1655816586471115E-3</v>
      </c>
      <c r="K517" s="12">
        <v>1.9078947368420973E-2</v>
      </c>
      <c r="L517" s="12">
        <v>5.6776364209862873E-3</v>
      </c>
      <c r="M517" s="13">
        <f t="shared" si="55"/>
        <v>1.6263257418607679E-2</v>
      </c>
      <c r="N517" s="32">
        <f t="shared" si="56"/>
        <v>124.61226418660988</v>
      </c>
      <c r="O517" s="32">
        <f t="shared" si="57"/>
        <v>111.65363128491634</v>
      </c>
      <c r="P517" s="12" t="str">
        <f t="shared" si="58"/>
        <v/>
      </c>
      <c r="Q517" s="13">
        <f t="shared" si="59"/>
        <v>4.3813041843128175E-3</v>
      </c>
      <c r="R517" s="49">
        <f t="shared" si="60"/>
        <v>1</v>
      </c>
    </row>
    <row r="518" spans="1:18" x14ac:dyDescent="0.35">
      <c r="A518" s="64" t="s">
        <v>77</v>
      </c>
      <c r="B518" s="14">
        <v>1.6266649812763712E-2</v>
      </c>
      <c r="C518" s="12">
        <v>1.9337571094011574E-2</v>
      </c>
      <c r="D518" s="12">
        <v>1.8087271082976031E-3</v>
      </c>
      <c r="E518" s="12">
        <v>1.3791708796764501E-2</v>
      </c>
      <c r="F518" s="12">
        <v>-2.5480059084195261E-3</v>
      </c>
      <c r="G518" s="12">
        <v>-1.5791320622293714E-3</v>
      </c>
      <c r="H518" s="12">
        <v>1.9243878139583614E-2</v>
      </c>
      <c r="I518" s="12">
        <v>3.8056908846995752E-2</v>
      </c>
      <c r="J518" s="12">
        <v>3.2382963745160032E-2</v>
      </c>
      <c r="K518" s="12">
        <v>4.7342371422423035E-3</v>
      </c>
      <c r="L518" s="12">
        <v>1.8504966021954949E-2</v>
      </c>
      <c r="M518" s="13">
        <f t="shared" si="55"/>
        <v>1.3948337937644373E-2</v>
      </c>
      <c r="N518" s="32">
        <f t="shared" si="56"/>
        <v>126.35039815865973</v>
      </c>
      <c r="O518" s="32">
        <f t="shared" si="57"/>
        <v>113.46986180535151</v>
      </c>
      <c r="P518" s="12" t="str">
        <f t="shared" si="58"/>
        <v/>
      </c>
      <c r="Q518" s="13">
        <f t="shared" si="59"/>
        <v>-2.3183118751193381E-3</v>
      </c>
      <c r="R518" s="49">
        <f t="shared" si="60"/>
        <v>1</v>
      </c>
    </row>
    <row r="519" spans="1:18" x14ac:dyDescent="0.35">
      <c r="A519" s="64">
        <v>5.94</v>
      </c>
      <c r="B519" s="14">
        <v>-7.3877137474703813E-3</v>
      </c>
      <c r="C519" s="12">
        <v>-1.9627149796507926E-2</v>
      </c>
      <c r="D519" s="12">
        <v>1.5647333182878143E-2</v>
      </c>
      <c r="E519" s="12">
        <v>-7.7156307348599684E-2</v>
      </c>
      <c r="F519" s="12">
        <v>5.4607382177629393E-3</v>
      </c>
      <c r="G519" s="12">
        <v>8.7868314685723981E-3</v>
      </c>
      <c r="H519" s="12">
        <v>4.6043831669924984E-2</v>
      </c>
      <c r="I519" s="12">
        <v>-9.5225139436816431E-4</v>
      </c>
      <c r="J519" s="12">
        <v>-8.7691783157177072E-2</v>
      </c>
      <c r="K519" s="12">
        <v>7.7104304990360806E-3</v>
      </c>
      <c r="L519" s="12">
        <v>1.0880722644220908E-2</v>
      </c>
      <c r="M519" s="13">
        <f t="shared" si="55"/>
        <v>-3.0287797303473465E-3</v>
      </c>
      <c r="N519" s="32">
        <f t="shared" si="56"/>
        <v>125.96771063379546</v>
      </c>
      <c r="O519" s="32">
        <f t="shared" si="57"/>
        <v>112.63157894736855</v>
      </c>
      <c r="P519" s="12">
        <f t="shared" si="58"/>
        <v>-3.0287797303473465E-3</v>
      </c>
      <c r="Q519" s="13">
        <f t="shared" si="59"/>
        <v>4.3589340171230348E-3</v>
      </c>
      <c r="R519" s="49" t="str">
        <f t="shared" si="60"/>
        <v/>
      </c>
    </row>
    <row r="520" spans="1:18" x14ac:dyDescent="0.35">
      <c r="A520" s="64" t="s">
        <v>77</v>
      </c>
      <c r="B520" s="14">
        <v>-6.0825980264187507E-3</v>
      </c>
      <c r="C520" s="12">
        <v>-3.0465349849347012E-2</v>
      </c>
      <c r="D520" s="12">
        <v>-1.7776461002887434E-3</v>
      </c>
      <c r="E520" s="12">
        <v>-1.9756181912502169E-2</v>
      </c>
      <c r="F520" s="12">
        <v>-2.5222306092015367E-3</v>
      </c>
      <c r="G520" s="12">
        <v>5.8068637129093936E-4</v>
      </c>
      <c r="H520" s="12">
        <v>4.7213888752273281E-3</v>
      </c>
      <c r="I520" s="12">
        <v>6.1274509803932453E-4</v>
      </c>
      <c r="J520" s="12">
        <v>4.4622169070932083E-2</v>
      </c>
      <c r="K520" s="12">
        <v>-2.9755579171094615E-3</v>
      </c>
      <c r="L520" s="12">
        <v>7.7071486596263172E-2</v>
      </c>
      <c r="M520" s="13">
        <f t="shared" si="55"/>
        <v>9.3319594839746476E-3</v>
      </c>
      <c r="N520" s="32">
        <f t="shared" si="56"/>
        <v>127.14323620571909</v>
      </c>
      <c r="O520" s="32">
        <f t="shared" si="57"/>
        <v>111.94648632755086</v>
      </c>
      <c r="P520" s="12" t="str">
        <f t="shared" si="58"/>
        <v/>
      </c>
      <c r="Q520" s="13">
        <f t="shared" si="59"/>
        <v>1.5414557510393398E-2</v>
      </c>
      <c r="R520" s="49">
        <f t="shared" si="60"/>
        <v>1</v>
      </c>
    </row>
    <row r="521" spans="1:18" x14ac:dyDescent="0.35">
      <c r="A521" s="64" t="s">
        <v>77</v>
      </c>
      <c r="B521" s="14">
        <v>2.4626375646783716E-2</v>
      </c>
      <c r="C521" s="12">
        <v>7.555248618784538E-2</v>
      </c>
      <c r="D521" s="12">
        <v>2.7750983156488607E-2</v>
      </c>
      <c r="E521" s="12">
        <v>4.0220507166482955E-2</v>
      </c>
      <c r="F521" s="12">
        <v>1.7423403469915222E-2</v>
      </c>
      <c r="G521" s="12">
        <v>1.4856943880215967E-2</v>
      </c>
      <c r="H521" s="12">
        <v>2.4719761123892514E-2</v>
      </c>
      <c r="I521" s="12">
        <v>2.3610260597400901E-2</v>
      </c>
      <c r="J521" s="12">
        <v>2.9192902117916475E-2</v>
      </c>
      <c r="K521" s="12">
        <v>1.2577275634193308E-2</v>
      </c>
      <c r="L521" s="12">
        <v>3.3939851041765001E-2</v>
      </c>
      <c r="M521" s="13">
        <f t="shared" si="55"/>
        <v>2.6343516612109173E-2</v>
      </c>
      <c r="N521" s="32">
        <f t="shared" si="56"/>
        <v>130.49263616082177</v>
      </c>
      <c r="O521" s="32">
        <f t="shared" si="57"/>
        <v>114.70332255219066</v>
      </c>
      <c r="P521" s="12" t="str">
        <f t="shared" si="58"/>
        <v/>
      </c>
      <c r="Q521" s="13">
        <f t="shared" si="59"/>
        <v>1.7171409653254574E-3</v>
      </c>
      <c r="R521" s="49">
        <f t="shared" si="60"/>
        <v>1</v>
      </c>
    </row>
    <row r="522" spans="1:18" x14ac:dyDescent="0.35">
      <c r="A522" s="64" t="s">
        <v>77</v>
      </c>
      <c r="B522" s="14">
        <v>-7.4543841930141408E-3</v>
      </c>
      <c r="C522" s="12">
        <v>-1.5410299216643164E-2</v>
      </c>
      <c r="D522" s="12">
        <v>-1.5883329723485051E-3</v>
      </c>
      <c r="E522" s="12">
        <v>-1.5856191970153088E-2</v>
      </c>
      <c r="F522" s="12">
        <v>7.093099194543262E-3</v>
      </c>
      <c r="G522" s="12">
        <v>-5.1466803911477399E-3</v>
      </c>
      <c r="H522" s="12">
        <v>-1.0413681092958815E-2</v>
      </c>
      <c r="I522" s="12">
        <v>-1.322786492954009E-2</v>
      </c>
      <c r="J522" s="12">
        <v>-9.2463848720801822E-3</v>
      </c>
      <c r="K522" s="12">
        <v>-1.2631578947368549E-3</v>
      </c>
      <c r="L522" s="12">
        <v>-1.3130299990881666E-2</v>
      </c>
      <c r="M522" s="13">
        <f t="shared" si="55"/>
        <v>-7.7026382536875704E-3</v>
      </c>
      <c r="N522" s="32">
        <f t="shared" si="56"/>
        <v>129.4874985897049</v>
      </c>
      <c r="O522" s="32">
        <f t="shared" si="57"/>
        <v>113.84827991767141</v>
      </c>
      <c r="P522" s="12">
        <f t="shared" si="58"/>
        <v>-7.7026382536875704E-3</v>
      </c>
      <c r="Q522" s="13">
        <f t="shared" si="59"/>
        <v>-2.4825406067342966E-4</v>
      </c>
      <c r="R522" s="49" t="str">
        <f t="shared" si="60"/>
        <v/>
      </c>
    </row>
    <row r="523" spans="1:18" x14ac:dyDescent="0.35">
      <c r="A523" s="64" t="s">
        <v>77</v>
      </c>
      <c r="B523" s="14">
        <v>-4.10126085362017E-3</v>
      </c>
      <c r="C523" s="12">
        <v>-1.7542715534107245E-2</v>
      </c>
      <c r="D523" s="12">
        <v>-6.5080627666502799E-4</v>
      </c>
      <c r="E523" s="12">
        <v>-1.7059406367121888E-2</v>
      </c>
      <c r="F523" s="12">
        <v>-1.4122309285778623E-2</v>
      </c>
      <c r="G523" s="12">
        <v>-5.0583433925389665E-3</v>
      </c>
      <c r="H523" s="12">
        <v>-1.1102529445838893E-3</v>
      </c>
      <c r="I523" s="12">
        <v>-9.2286965308182589E-3</v>
      </c>
      <c r="J523" s="12">
        <v>6.1048347484387033E-3</v>
      </c>
      <c r="K523" s="12">
        <v>-4.4266441821247948E-3</v>
      </c>
      <c r="L523" s="12">
        <v>9.4243740182944347E-3</v>
      </c>
      <c r="M523" s="13">
        <f t="shared" si="55"/>
        <v>-3.7128355026201832E-3</v>
      </c>
      <c r="N523" s="32">
        <f t="shared" si="56"/>
        <v>129.00673280779557</v>
      </c>
      <c r="O523" s="32">
        <f t="shared" si="57"/>
        <v>113.38135842399306</v>
      </c>
      <c r="P523" s="12">
        <f t="shared" si="58"/>
        <v>-3.7128355026201832E-3</v>
      </c>
      <c r="Q523" s="13">
        <f t="shared" si="59"/>
        <v>3.8842535099998686E-4</v>
      </c>
      <c r="R523" s="49" t="str">
        <f t="shared" si="60"/>
        <v/>
      </c>
    </row>
    <row r="524" spans="1:18" x14ac:dyDescent="0.35">
      <c r="A524" s="64">
        <v>6.06</v>
      </c>
      <c r="B524" s="14">
        <v>-2.5001944970306722E-2</v>
      </c>
      <c r="C524" s="12">
        <v>-3.7305011616329264E-2</v>
      </c>
      <c r="D524" s="12">
        <v>-9.9131693198262205E-3</v>
      </c>
      <c r="E524" s="12">
        <v>-3.5368365692246995E-2</v>
      </c>
      <c r="F524" s="12">
        <v>-7.0892181761706974E-3</v>
      </c>
      <c r="G524" s="12">
        <v>-1.5367727771679496E-2</v>
      </c>
      <c r="H524" s="12">
        <v>-2.8898661383076507E-2</v>
      </c>
      <c r="I524" s="12">
        <v>-2.4340494968724591E-2</v>
      </c>
      <c r="J524" s="12">
        <v>2.8107127911842555E-2</v>
      </c>
      <c r="K524" s="12">
        <v>-6.5636248147362686E-3</v>
      </c>
      <c r="L524" s="12">
        <v>-1.8123569794050387E-2</v>
      </c>
      <c r="M524" s="13">
        <f t="shared" si="55"/>
        <v>-1.6874884292899794E-2</v>
      </c>
      <c r="N524" s="32">
        <f t="shared" si="56"/>
        <v>126.82975911865897</v>
      </c>
      <c r="O524" s="32">
        <f t="shared" si="57"/>
        <v>110.54660394001776</v>
      </c>
      <c r="P524" s="12">
        <f t="shared" si="58"/>
        <v>-1.6874884292899794E-2</v>
      </c>
      <c r="Q524" s="13">
        <f t="shared" si="59"/>
        <v>8.1270606774069276E-3</v>
      </c>
      <c r="R524" s="49" t="str">
        <f t="shared" si="60"/>
        <v/>
      </c>
    </row>
    <row r="525" spans="1:18" x14ac:dyDescent="0.35">
      <c r="A525" s="64" t="s">
        <v>77</v>
      </c>
      <c r="B525" s="14">
        <v>-1.0585979163175718E-2</v>
      </c>
      <c r="C525" s="12">
        <v>-4.2405019651106657E-2</v>
      </c>
      <c r="D525" s="12">
        <v>-1.7247679602426458E-2</v>
      </c>
      <c r="E525" s="12">
        <v>-2.6578827805542882E-2</v>
      </c>
      <c r="F525" s="12">
        <v>3.3122941317209609E-4</v>
      </c>
      <c r="G525" s="12">
        <v>1.7015783606171286E-3</v>
      </c>
      <c r="H525" s="12">
        <v>-3.0853446130878259E-2</v>
      </c>
      <c r="I525" s="12">
        <v>-2.919860627177695E-2</v>
      </c>
      <c r="J525" s="12">
        <v>6.3360694661149131E-2</v>
      </c>
      <c r="K525" s="12">
        <v>-2.1312872975287611E-4</v>
      </c>
      <c r="L525" s="12">
        <v>2.2000559336254222E-2</v>
      </c>
      <c r="M525" s="13">
        <f t="shared" si="55"/>
        <v>-1.0355760435066912E-2</v>
      </c>
      <c r="N525" s="32">
        <f t="shared" si="56"/>
        <v>125.51634051718889</v>
      </c>
      <c r="O525" s="32">
        <f t="shared" si="57"/>
        <v>109.37635989414889</v>
      </c>
      <c r="P525" s="12">
        <f t="shared" si="58"/>
        <v>-1.0355760435066912E-2</v>
      </c>
      <c r="Q525" s="13">
        <f t="shared" si="59"/>
        <v>2.3021872810880667E-4</v>
      </c>
      <c r="R525" s="49" t="str">
        <f t="shared" si="60"/>
        <v/>
      </c>
    </row>
    <row r="526" spans="1:18" x14ac:dyDescent="0.35">
      <c r="A526" s="64" t="s">
        <v>77</v>
      </c>
      <c r="B526" s="14">
        <v>1.3618682272863003E-2</v>
      </c>
      <c r="C526" s="12">
        <v>-3.6002304147465525E-3</v>
      </c>
      <c r="D526" s="12">
        <v>1.851714136982241E-2</v>
      </c>
      <c r="E526" s="12">
        <v>3.3325554259043155E-2</v>
      </c>
      <c r="F526" s="12">
        <v>-1.0007174260959206E-2</v>
      </c>
      <c r="G526" s="12">
        <v>4.4517338331770961E-3</v>
      </c>
      <c r="H526" s="12">
        <v>1.1450577663671302E-2</v>
      </c>
      <c r="I526" s="12">
        <v>3.8834254540234037E-2</v>
      </c>
      <c r="J526" s="12">
        <v>2.0797448165869259E-2</v>
      </c>
      <c r="K526" s="12">
        <v>1.7053933063313487E-3</v>
      </c>
      <c r="L526" s="12">
        <v>3.9177232509349569E-2</v>
      </c>
      <c r="M526" s="13">
        <f t="shared" si="55"/>
        <v>2.4239488588345591E-2</v>
      </c>
      <c r="N526" s="32">
        <f t="shared" si="56"/>
        <v>128.55879242080621</v>
      </c>
      <c r="O526" s="32">
        <f t="shared" si="57"/>
        <v>110.86592178770962</v>
      </c>
      <c r="P526" s="12" t="str">
        <f t="shared" si="58"/>
        <v/>
      </c>
      <c r="Q526" s="13">
        <f t="shared" si="59"/>
        <v>1.0620806315482588E-2</v>
      </c>
      <c r="R526" s="49">
        <f t="shared" si="60"/>
        <v>1</v>
      </c>
    </row>
    <row r="527" spans="1:18" x14ac:dyDescent="0.35">
      <c r="A527" s="64" t="s">
        <v>77</v>
      </c>
      <c r="B527" s="14">
        <v>9.6139820450598101E-3</v>
      </c>
      <c r="C527" s="12">
        <v>3.9022980199450163E-3</v>
      </c>
      <c r="D527" s="12">
        <v>1.0075934579439227E-2</v>
      </c>
      <c r="E527" s="12">
        <v>2.9269614707078118E-2</v>
      </c>
      <c r="F527" s="12">
        <v>1.2728320047568742E-2</v>
      </c>
      <c r="G527" s="12">
        <v>8.7473757872638114E-3</v>
      </c>
      <c r="H527" s="12">
        <v>1.5839171489491433E-2</v>
      </c>
      <c r="I527" s="12">
        <v>1.5616362631287961E-2</v>
      </c>
      <c r="J527" s="12">
        <v>3.0623086057121496E-2</v>
      </c>
      <c r="K527" s="12">
        <v>1.0427750585230822E-2</v>
      </c>
      <c r="L527" s="12">
        <v>3.3355277594910859E-3</v>
      </c>
      <c r="M527" s="13">
        <f t="shared" si="55"/>
        <v>1.2741183407254752E-2</v>
      </c>
      <c r="N527" s="32">
        <f t="shared" si="56"/>
        <v>130.1967835736549</v>
      </c>
      <c r="O527" s="32">
        <f t="shared" si="57"/>
        <v>111.93178476918567</v>
      </c>
      <c r="P527" s="12" t="str">
        <f t="shared" si="58"/>
        <v/>
      </c>
      <c r="Q527" s="13">
        <f t="shared" si="59"/>
        <v>3.127201362194942E-3</v>
      </c>
      <c r="R527" s="49">
        <f t="shared" si="60"/>
        <v>1</v>
      </c>
    </row>
    <row r="528" spans="1:18" x14ac:dyDescent="0.35">
      <c r="A528" s="64" t="s">
        <v>77</v>
      </c>
      <c r="B528" s="14">
        <v>5.5978774823999267E-3</v>
      </c>
      <c r="C528" s="12">
        <v>4.1750647854881251E-3</v>
      </c>
      <c r="D528" s="12">
        <v>1.2288564406534475E-2</v>
      </c>
      <c r="E528" s="12">
        <v>4.388467108439098E-3</v>
      </c>
      <c r="F528" s="12">
        <v>1.4733404278741924E-2</v>
      </c>
      <c r="G528" s="12">
        <v>4.9716730257833852E-3</v>
      </c>
      <c r="H528" s="12">
        <v>8.3958020989505222E-3</v>
      </c>
      <c r="I528" s="12">
        <v>2.1907742550006715E-2</v>
      </c>
      <c r="J528" s="12">
        <v>2.8561033290885884E-2</v>
      </c>
      <c r="K528" s="12">
        <v>2.5273799494525129E-3</v>
      </c>
      <c r="L528" s="12">
        <v>5.2491142119766021E-3</v>
      </c>
      <c r="M528" s="13">
        <f t="shared" si="55"/>
        <v>9.6612573942883133E-3</v>
      </c>
      <c r="N528" s="32">
        <f t="shared" si="56"/>
        <v>131.45464821166843</v>
      </c>
      <c r="O528" s="32">
        <f t="shared" si="57"/>
        <v>112.55836518670993</v>
      </c>
      <c r="P528" s="12" t="str">
        <f t="shared" si="58"/>
        <v/>
      </c>
      <c r="Q528" s="13">
        <f t="shared" si="59"/>
        <v>4.0633799118883866E-3</v>
      </c>
      <c r="R528" s="49">
        <f t="shared" si="60"/>
        <v>1</v>
      </c>
    </row>
    <row r="529" spans="1:18" x14ac:dyDescent="0.35">
      <c r="A529" s="64">
        <v>6.15</v>
      </c>
      <c r="B529" s="14">
        <v>-2.0777877333723382E-2</v>
      </c>
      <c r="C529" s="12">
        <v>-3.3189964157706031E-2</v>
      </c>
      <c r="D529" s="12">
        <v>-1.8923164810054294E-2</v>
      </c>
      <c r="E529" s="12">
        <v>-1.9050115786254262E-2</v>
      </c>
      <c r="F529" s="12">
        <v>-2.2403037700027051E-2</v>
      </c>
      <c r="G529" s="12">
        <v>-7.9958582604694461E-3</v>
      </c>
      <c r="H529" s="12">
        <v>-3.8903756566557646E-2</v>
      </c>
      <c r="I529" s="12">
        <v>-2.8894806924101069E-2</v>
      </c>
      <c r="J529" s="12">
        <v>-5.188067444876765E-3</v>
      </c>
      <c r="K529" s="12">
        <v>-2.3319327731092465E-2</v>
      </c>
      <c r="L529" s="12">
        <v>-1.8580566554980193E-2</v>
      </c>
      <c r="M529" s="13">
        <f t="shared" ref="M529:M592" si="61">SUMPRODUCT($C$2:$L$2,C529:L529)</f>
        <v>-2.1786292451658328E-2</v>
      </c>
      <c r="N529" s="32">
        <f t="shared" ref="N529:N592" si="62">+(N528*(1+M529))</f>
        <v>128.59073880159914</v>
      </c>
      <c r="O529" s="32">
        <f t="shared" ref="O529:O592" si="63">+(O528*(1+B529))</f>
        <v>110.21964128197604</v>
      </c>
      <c r="P529" s="12">
        <f t="shared" ref="P529:P592" si="64">+IF(M529&lt;0,M529,"")</f>
        <v>-2.1786292451658328E-2</v>
      </c>
      <c r="Q529" s="13">
        <f t="shared" ref="Q529:Q592" si="65">M529-B529</f>
        <v>-1.0084151179349451E-3</v>
      </c>
      <c r="R529" s="49" t="str">
        <f t="shared" ref="R529:R592" si="66">+IF(M529&gt;0,1,"")</f>
        <v/>
      </c>
    </row>
    <row r="530" spans="1:18" x14ac:dyDescent="0.35">
      <c r="A530" s="64" t="s">
        <v>77</v>
      </c>
      <c r="B530" s="14">
        <v>5.5434472345454289E-2</v>
      </c>
      <c r="C530" s="12">
        <v>8.897456810261728E-2</v>
      </c>
      <c r="D530" s="12">
        <v>2.7949632433219351E-2</v>
      </c>
      <c r="E530" s="12">
        <v>8.2268050420916561E-2</v>
      </c>
      <c r="F530" s="12">
        <v>6.4920652535789269E-3</v>
      </c>
      <c r="G530" s="12">
        <v>1.1713540156567115E-2</v>
      </c>
      <c r="H530" s="12">
        <v>6.0021657299025311E-2</v>
      </c>
      <c r="I530" s="12">
        <v>6.094885506650205E-2</v>
      </c>
      <c r="J530" s="12">
        <v>5.2388289676425392E-2</v>
      </c>
      <c r="K530" s="12">
        <v>2.0649602064960249E-2</v>
      </c>
      <c r="L530" s="12">
        <v>3.0637580916910601E-2</v>
      </c>
      <c r="M530" s="13">
        <f t="shared" si="61"/>
        <v>4.0673634439650393E-2</v>
      </c>
      <c r="N530" s="32">
        <f t="shared" si="62"/>
        <v>133.82099150393995</v>
      </c>
      <c r="O530" s="32">
        <f t="shared" si="63"/>
        <v>116.32960893854764</v>
      </c>
      <c r="P530" s="12" t="str">
        <f t="shared" si="64"/>
        <v/>
      </c>
      <c r="Q530" s="13">
        <f t="shared" si="65"/>
        <v>-1.4760837905803896E-2</v>
      </c>
      <c r="R530" s="49">
        <f t="shared" si="66"/>
        <v>1</v>
      </c>
    </row>
    <row r="531" spans="1:18" x14ac:dyDescent="0.35">
      <c r="A531" s="64" t="s">
        <v>77</v>
      </c>
      <c r="B531" s="14">
        <v>9.2407939601200084E-3</v>
      </c>
      <c r="C531" s="12">
        <v>1.9268741063525496E-2</v>
      </c>
      <c r="D531" s="12">
        <v>1.3736458259576478E-2</v>
      </c>
      <c r="E531" s="12">
        <v>1.6997283727055779E-2</v>
      </c>
      <c r="F531" s="12">
        <v>-4.05939320432952E-2</v>
      </c>
      <c r="G531" s="12">
        <v>-2.9919183813836181E-2</v>
      </c>
      <c r="H531" s="12">
        <v>-2.7727781291043696E-3</v>
      </c>
      <c r="I531" s="12">
        <v>9.0468497576723372E-4</v>
      </c>
      <c r="J531" s="12">
        <v>-5.0681383038631012E-4</v>
      </c>
      <c r="K531" s="12">
        <v>1.6859852476289738E-3</v>
      </c>
      <c r="L531" s="12">
        <v>1.7380081738008313E-2</v>
      </c>
      <c r="M531" s="13">
        <f t="shared" si="61"/>
        <v>9.6420607539524951E-3</v>
      </c>
      <c r="N531" s="32">
        <f t="shared" si="62"/>
        <v>135.11130163417511</v>
      </c>
      <c r="O531" s="32">
        <f t="shared" si="63"/>
        <v>117.40458688621008</v>
      </c>
      <c r="P531" s="12" t="str">
        <f t="shared" si="64"/>
        <v/>
      </c>
      <c r="Q531" s="13">
        <f t="shared" si="65"/>
        <v>4.0126679383248667E-4</v>
      </c>
      <c r="R531" s="49">
        <f t="shared" si="66"/>
        <v>1</v>
      </c>
    </row>
    <row r="532" spans="1:18" x14ac:dyDescent="0.35">
      <c r="A532" s="64" t="s">
        <v>77</v>
      </c>
      <c r="B532" s="14">
        <v>-8.9357940159231486E-3</v>
      </c>
      <c r="C532" s="12">
        <v>-9.4856379425516391E-3</v>
      </c>
      <c r="D532" s="12">
        <v>7.194244604316502E-3</v>
      </c>
      <c r="E532" s="12">
        <v>-2.2500101169519615E-2</v>
      </c>
      <c r="F532" s="12">
        <v>-1.5955409132699994E-2</v>
      </c>
      <c r="G532" s="12">
        <v>1.5716395864106225E-2</v>
      </c>
      <c r="H532" s="12">
        <v>9.0731707317073251E-3</v>
      </c>
      <c r="I532" s="12">
        <v>-4.9067079863127638E-3</v>
      </c>
      <c r="J532" s="12">
        <v>-2.2198433714575416E-2</v>
      </c>
      <c r="K532" s="12">
        <v>-2.945508100147276E-2</v>
      </c>
      <c r="L532" s="12">
        <v>4.2285086050197762E-5</v>
      </c>
      <c r="M532" s="13">
        <f t="shared" si="61"/>
        <v>-8.679028580377798E-3</v>
      </c>
      <c r="N532" s="32">
        <f t="shared" si="62"/>
        <v>133.93866678576006</v>
      </c>
      <c r="O532" s="32">
        <f t="shared" si="63"/>
        <v>116.35548368127036</v>
      </c>
      <c r="P532" s="12">
        <f t="shared" si="64"/>
        <v>-8.679028580377798E-3</v>
      </c>
      <c r="Q532" s="13">
        <f t="shared" si="65"/>
        <v>2.567654355453506E-4</v>
      </c>
      <c r="R532" s="49" t="str">
        <f t="shared" si="66"/>
        <v/>
      </c>
    </row>
    <row r="533" spans="1:18" x14ac:dyDescent="0.35">
      <c r="A533" s="64" t="s">
        <v>77</v>
      </c>
      <c r="B533" s="14">
        <v>8.7131214858804373E-3</v>
      </c>
      <c r="C533" s="12">
        <v>1.1869436201780381E-2</v>
      </c>
      <c r="D533" s="12">
        <v>9.7087378640781097E-4</v>
      </c>
      <c r="E533" s="12">
        <v>1.7387704409024263E-3</v>
      </c>
      <c r="F533" s="12">
        <v>-2.090510948905111E-2</v>
      </c>
      <c r="G533" s="12">
        <v>2.7921586876853421E-3</v>
      </c>
      <c r="H533" s="12">
        <v>1.513100647781096E-2</v>
      </c>
      <c r="I533" s="12">
        <v>-1.5571271004996001E-3</v>
      </c>
      <c r="J533" s="12">
        <v>1.0371650821088929E-2</v>
      </c>
      <c r="K533" s="12">
        <v>6.5467158031649486E-2</v>
      </c>
      <c r="L533" s="12">
        <v>-8.0761099365750377E-3</v>
      </c>
      <c r="M533" s="13">
        <f t="shared" si="61"/>
        <v>1.3484072945532773E-2</v>
      </c>
      <c r="N533" s="32">
        <f t="shared" si="62"/>
        <v>135.74470553892667</v>
      </c>
      <c r="O533" s="32">
        <f t="shared" si="63"/>
        <v>117.36930314613365</v>
      </c>
      <c r="P533" s="12" t="str">
        <f t="shared" si="64"/>
        <v/>
      </c>
      <c r="Q533" s="13">
        <f t="shared" si="65"/>
        <v>4.770951459652336E-3</v>
      </c>
      <c r="R533" s="49">
        <f t="shared" si="66"/>
        <v>1</v>
      </c>
    </row>
    <row r="534" spans="1:18" x14ac:dyDescent="0.35">
      <c r="A534" s="64">
        <v>6.33</v>
      </c>
      <c r="B534" s="14">
        <v>-8.2520611363995355E-3</v>
      </c>
      <c r="C534" s="12">
        <v>-8.3311117035457238E-3</v>
      </c>
      <c r="D534" s="12">
        <v>1.2470555632535518E-3</v>
      </c>
      <c r="E534" s="12">
        <v>-9.9185849485472488E-4</v>
      </c>
      <c r="F534" s="12">
        <v>1.6918152720621915E-2</v>
      </c>
      <c r="G534" s="12">
        <v>6.2068565462034542E-3</v>
      </c>
      <c r="H534" s="12">
        <v>7.143197295107484E-4</v>
      </c>
      <c r="I534" s="12">
        <v>-8.5775553967119E-3</v>
      </c>
      <c r="J534" s="12">
        <v>-1.5169660678642671E-2</v>
      </c>
      <c r="K534" s="12">
        <v>7.1210579857579059E-3</v>
      </c>
      <c r="L534" s="12">
        <v>-9.2501811671427125E-3</v>
      </c>
      <c r="M534" s="13">
        <f t="shared" si="61"/>
        <v>-1.4272327590583568E-3</v>
      </c>
      <c r="N534" s="32">
        <f t="shared" si="62"/>
        <v>135.55096624831279</v>
      </c>
      <c r="O534" s="32">
        <f t="shared" si="63"/>
        <v>116.40076448103514</v>
      </c>
      <c r="P534" s="12">
        <f t="shared" si="64"/>
        <v>-1.4272327590583568E-3</v>
      </c>
      <c r="Q534" s="13">
        <f t="shared" si="65"/>
        <v>6.8248283773411789E-3</v>
      </c>
      <c r="R534" s="49" t="str">
        <f t="shared" si="66"/>
        <v/>
      </c>
    </row>
    <row r="535" spans="1:18" x14ac:dyDescent="0.35">
      <c r="A535" s="64" t="s">
        <v>77</v>
      </c>
      <c r="B535" s="14">
        <v>-3.0893277996559831E-3</v>
      </c>
      <c r="C535" s="12">
        <v>1.2971301834800775E-2</v>
      </c>
      <c r="D535" s="12">
        <v>1.0863548297813441E-2</v>
      </c>
      <c r="E535" s="12">
        <v>-2.0684234476475716E-4</v>
      </c>
      <c r="F535" s="12">
        <v>7.4092899593367623E-3</v>
      </c>
      <c r="G535" s="12">
        <v>8.0710250201776468E-3</v>
      </c>
      <c r="H535" s="12">
        <v>4.0449224326639666E-3</v>
      </c>
      <c r="I535" s="12">
        <v>-1.2649931179130935E-2</v>
      </c>
      <c r="J535" s="12">
        <v>5.211650935201817E-4</v>
      </c>
      <c r="K535" s="12">
        <v>-3.4343434343434565E-3</v>
      </c>
      <c r="L535" s="12">
        <v>-8.51906032183114E-3</v>
      </c>
      <c r="M535" s="13">
        <f t="shared" si="61"/>
        <v>-1.6990908362000401E-3</v>
      </c>
      <c r="N535" s="32">
        <f t="shared" si="62"/>
        <v>135.32065284372223</v>
      </c>
      <c r="O535" s="32">
        <f t="shared" si="63"/>
        <v>116.04116436342267</v>
      </c>
      <c r="P535" s="12">
        <f t="shared" si="64"/>
        <v>-1.6990908362000401E-3</v>
      </c>
      <c r="Q535" s="13">
        <f t="shared" si="65"/>
        <v>1.3902369634559431E-3</v>
      </c>
      <c r="R535" s="49" t="str">
        <f t="shared" si="66"/>
        <v/>
      </c>
    </row>
    <row r="536" spans="1:18" x14ac:dyDescent="0.35">
      <c r="A536" s="64" t="s">
        <v>77</v>
      </c>
      <c r="B536" s="14">
        <v>4.7585745560692061E-3</v>
      </c>
      <c r="C536" s="12">
        <v>3.781847133757843E-3</v>
      </c>
      <c r="D536" s="12">
        <v>1.0609898008077101E-2</v>
      </c>
      <c r="E536" s="12">
        <v>-1.9033432638199121E-3</v>
      </c>
      <c r="F536" s="12">
        <v>2.8507112223710163E-2</v>
      </c>
      <c r="G536" s="12">
        <v>7.6632734759234378E-3</v>
      </c>
      <c r="H536" s="12">
        <v>-9.0051661216172807E-4</v>
      </c>
      <c r="I536" s="12">
        <v>1.2347318109400041E-2</v>
      </c>
      <c r="J536" s="12">
        <v>6.4243546706794774E-3</v>
      </c>
      <c r="K536" s="12">
        <v>1.5203729981755565E-2</v>
      </c>
      <c r="L536" s="12">
        <v>4.2961291442458194E-3</v>
      </c>
      <c r="M536" s="13">
        <f t="shared" si="61"/>
        <v>9.159798498870355E-3</v>
      </c>
      <c r="N536" s="32">
        <f t="shared" si="62"/>
        <v>136.56016275650632</v>
      </c>
      <c r="O536" s="32">
        <f t="shared" si="63"/>
        <v>116.5933548956191</v>
      </c>
      <c r="P536" s="12" t="str">
        <f t="shared" si="64"/>
        <v/>
      </c>
      <c r="Q536" s="13">
        <f t="shared" si="65"/>
        <v>4.4012239428011489E-3</v>
      </c>
      <c r="R536" s="49">
        <f t="shared" si="66"/>
        <v>1</v>
      </c>
    </row>
    <row r="537" spans="1:18" x14ac:dyDescent="0.35">
      <c r="A537" s="64" t="s">
        <v>77</v>
      </c>
      <c r="B537" s="14">
        <v>-3.8836518432215916E-3</v>
      </c>
      <c r="C537" s="12">
        <v>-2.1680216802168029E-2</v>
      </c>
      <c r="D537" s="12">
        <v>-6.5023028989432685E-3</v>
      </c>
      <c r="E537" s="12">
        <v>3.4408423845453395E-3</v>
      </c>
      <c r="F537" s="12">
        <v>-2.4169811320754575E-2</v>
      </c>
      <c r="G537" s="12">
        <v>-1.3053348467649828E-3</v>
      </c>
      <c r="H537" s="12">
        <v>-2.1252371916508639E-2</v>
      </c>
      <c r="I537" s="12">
        <v>2.0327868852458852E-3</v>
      </c>
      <c r="J537" s="12">
        <v>-5.4632238771636921E-3</v>
      </c>
      <c r="K537" s="12">
        <v>5.990415335463295E-3</v>
      </c>
      <c r="L537" s="12">
        <v>3.1975111264743727E-3</v>
      </c>
      <c r="M537" s="13">
        <f t="shared" si="61"/>
        <v>9.6830466266465678E-4</v>
      </c>
      <c r="N537" s="32">
        <f t="shared" si="62"/>
        <v>136.69239459883769</v>
      </c>
      <c r="O537" s="32">
        <f t="shared" si="63"/>
        <v>116.14054689797133</v>
      </c>
      <c r="P537" s="12" t="str">
        <f t="shared" si="64"/>
        <v/>
      </c>
      <c r="Q537" s="13">
        <f t="shared" si="65"/>
        <v>4.8519565058862488E-3</v>
      </c>
      <c r="R537" s="49">
        <f t="shared" si="66"/>
        <v>1</v>
      </c>
    </row>
    <row r="538" spans="1:18" x14ac:dyDescent="0.35">
      <c r="A538" s="64">
        <v>6.49</v>
      </c>
      <c r="B538" s="14">
        <v>1.3579953113211918E-2</v>
      </c>
      <c r="C538" s="12">
        <v>1.466117154246338E-2</v>
      </c>
      <c r="D538" s="12">
        <v>1.6498500136351124E-2</v>
      </c>
      <c r="E538" s="12">
        <v>1.2311505887213414E-2</v>
      </c>
      <c r="F538" s="12">
        <v>1.1407799841450794E-2</v>
      </c>
      <c r="G538" s="12">
        <v>4.830368812865693E-3</v>
      </c>
      <c r="H538" s="12">
        <v>1.9435827840248221E-2</v>
      </c>
      <c r="I538" s="12">
        <v>1.158301158301156E-2</v>
      </c>
      <c r="J538" s="12">
        <v>-2.5442349947958354E-3</v>
      </c>
      <c r="K538" s="12">
        <v>3.5728463676061306E-3</v>
      </c>
      <c r="L538" s="12">
        <v>2.1923590472498589E-2</v>
      </c>
      <c r="M538" s="13">
        <f t="shared" si="61"/>
        <v>1.3000937283634634E-2</v>
      </c>
      <c r="N538" s="32">
        <f t="shared" si="62"/>
        <v>138.46952384816703</v>
      </c>
      <c r="O538" s="32">
        <f t="shared" si="63"/>
        <v>117.71773007938857</v>
      </c>
      <c r="P538" s="12" t="str">
        <f t="shared" si="64"/>
        <v/>
      </c>
      <c r="Q538" s="13">
        <f t="shared" si="65"/>
        <v>-5.7901582957728404E-4</v>
      </c>
      <c r="R538" s="49">
        <f t="shared" si="66"/>
        <v>1</v>
      </c>
    </row>
    <row r="539" spans="1:18" x14ac:dyDescent="0.35">
      <c r="A539" s="64" t="s">
        <v>77</v>
      </c>
      <c r="B539" s="14">
        <v>5.9147063378277576E-3</v>
      </c>
      <c r="C539" s="12">
        <v>5.9262218670927957E-3</v>
      </c>
      <c r="D539" s="12">
        <v>-2.3474178403755097E-3</v>
      </c>
      <c r="E539" s="12">
        <v>1.0406888952373183E-2</v>
      </c>
      <c r="F539" s="12">
        <v>1.2655565963792137E-2</v>
      </c>
      <c r="G539" s="12">
        <v>1.0745390792896714E-3</v>
      </c>
      <c r="H539" s="12">
        <v>6.6562069129461054E-3</v>
      </c>
      <c r="I539" s="12">
        <v>-4.204942424634539E-3</v>
      </c>
      <c r="J539" s="12">
        <v>1.3623188405797126E-2</v>
      </c>
      <c r="K539" s="12">
        <v>4.9446202531646666E-3</v>
      </c>
      <c r="L539" s="12">
        <v>-1.4330270589226757E-3</v>
      </c>
      <c r="M539" s="13">
        <f t="shared" si="61"/>
        <v>8.5414918890391271E-4</v>
      </c>
      <c r="N539" s="32">
        <f t="shared" si="62"/>
        <v>138.58779747964985</v>
      </c>
      <c r="O539" s="32">
        <f t="shared" si="63"/>
        <v>118.41399588356383</v>
      </c>
      <c r="P539" s="12" t="str">
        <f t="shared" si="64"/>
        <v/>
      </c>
      <c r="Q539" s="13">
        <f t="shared" si="65"/>
        <v>-5.0605571489238449E-3</v>
      </c>
      <c r="R539" s="49">
        <f t="shared" si="66"/>
        <v>1</v>
      </c>
    </row>
    <row r="540" spans="1:18" x14ac:dyDescent="0.35">
      <c r="A540" s="64" t="s">
        <v>77</v>
      </c>
      <c r="B540" s="14">
        <v>-2.830708720074071E-4</v>
      </c>
      <c r="C540" s="12">
        <v>-1.9593565896604104E-2</v>
      </c>
      <c r="D540" s="12">
        <v>-2.5546218487394468E-3</v>
      </c>
      <c r="E540" s="12">
        <v>-3.6351886258989552E-4</v>
      </c>
      <c r="F540" s="12">
        <v>1.4932699023994189E-2</v>
      </c>
      <c r="G540" s="12">
        <v>1.2993616179877154E-3</v>
      </c>
      <c r="H540" s="12">
        <v>9.7293723137958921E-3</v>
      </c>
      <c r="I540" s="12">
        <v>1.4292210745143752E-3</v>
      </c>
      <c r="J540" s="12">
        <v>2.0074349442379402E-2</v>
      </c>
      <c r="K540" s="12">
        <v>4.133044676244868E-3</v>
      </c>
      <c r="L540" s="12">
        <v>-5.1494175249029439E-3</v>
      </c>
      <c r="M540" s="13">
        <f t="shared" si="61"/>
        <v>-4.2808399575377653E-4</v>
      </c>
      <c r="N540" s="32">
        <f t="shared" si="62"/>
        <v>138.52847026154205</v>
      </c>
      <c r="O540" s="32">
        <f t="shared" si="63"/>
        <v>118.38047633049119</v>
      </c>
      <c r="P540" s="12">
        <f t="shared" si="64"/>
        <v>-4.2808399575377653E-4</v>
      </c>
      <c r="Q540" s="13">
        <f t="shared" si="65"/>
        <v>-1.4501312374636942E-4</v>
      </c>
      <c r="R540" s="49" t="str">
        <f t="shared" si="66"/>
        <v/>
      </c>
    </row>
    <row r="541" spans="1:18" x14ac:dyDescent="0.35">
      <c r="A541" s="64" t="s">
        <v>77</v>
      </c>
      <c r="B541" s="14">
        <v>-1.5444149702443011E-2</v>
      </c>
      <c r="C541" s="12">
        <v>-2.6264263047734882E-2</v>
      </c>
      <c r="D541" s="12">
        <v>-1.4760396306530921E-2</v>
      </c>
      <c r="E541" s="12">
        <v>-2.31524506040649E-2</v>
      </c>
      <c r="F541" s="12">
        <v>-9.9512666939474137E-3</v>
      </c>
      <c r="G541" s="12">
        <v>5.0778605280976663E-4</v>
      </c>
      <c r="H541" s="12">
        <v>-1.1834042752233542E-2</v>
      </c>
      <c r="I541" s="12">
        <v>-2.1277975997405107E-2</v>
      </c>
      <c r="J541" s="12">
        <v>-3.6611347835837638E-2</v>
      </c>
      <c r="K541" s="12">
        <v>2.9400235201881841E-3</v>
      </c>
      <c r="L541" s="12">
        <v>-1.4425116673737692E-2</v>
      </c>
      <c r="M541" s="13">
        <f t="shared" si="61"/>
        <v>-1.3163316617615349E-2</v>
      </c>
      <c r="N541" s="32">
        <f t="shared" si="62"/>
        <v>136.70497614693545</v>
      </c>
      <c r="O541" s="32">
        <f t="shared" si="63"/>
        <v>116.55219053219658</v>
      </c>
      <c r="P541" s="12">
        <f t="shared" si="64"/>
        <v>-1.3163316617615349E-2</v>
      </c>
      <c r="Q541" s="13">
        <f t="shared" si="65"/>
        <v>2.2808330848276617E-3</v>
      </c>
      <c r="R541" s="49" t="str">
        <f t="shared" si="66"/>
        <v/>
      </c>
    </row>
    <row r="542" spans="1:18" x14ac:dyDescent="0.35">
      <c r="A542" s="64" t="s">
        <v>77</v>
      </c>
      <c r="B542" s="14">
        <v>-1.5918505325509535E-3</v>
      </c>
      <c r="C542" s="12">
        <v>-2.1148245735681637E-2</v>
      </c>
      <c r="D542" s="12">
        <v>2.120673142700813E-3</v>
      </c>
      <c r="E542" s="12">
        <v>-5.9149569821309589E-3</v>
      </c>
      <c r="F542" s="12">
        <v>-8.0222443496721363E-3</v>
      </c>
      <c r="G542" s="12">
        <v>-6.9926126430948088E-3</v>
      </c>
      <c r="H542" s="12">
        <v>-1.041370822682941E-2</v>
      </c>
      <c r="I542" s="12">
        <v>2.3530191555643842E-2</v>
      </c>
      <c r="J542" s="12">
        <v>2.0310772274922728E-2</v>
      </c>
      <c r="K542" s="12">
        <v>-3.5176861442250962E-3</v>
      </c>
      <c r="L542" s="12">
        <v>1.2139474817046914E-2</v>
      </c>
      <c r="M542" s="13">
        <f t="shared" si="61"/>
        <v>5.5695648370209429E-3</v>
      </c>
      <c r="N542" s="32">
        <f t="shared" si="62"/>
        <v>137.46636337512919</v>
      </c>
      <c r="O542" s="32">
        <f t="shared" si="63"/>
        <v>116.36665686562792</v>
      </c>
      <c r="P542" s="12" t="str">
        <f t="shared" si="64"/>
        <v/>
      </c>
      <c r="Q542" s="13">
        <f t="shared" si="65"/>
        <v>7.1614153695718965E-3</v>
      </c>
      <c r="R542" s="49">
        <f t="shared" si="66"/>
        <v>1</v>
      </c>
    </row>
    <row r="543" spans="1:18" x14ac:dyDescent="0.35">
      <c r="A543" s="64">
        <v>6.52</v>
      </c>
      <c r="B543" s="14">
        <v>3.0947814727501077E-2</v>
      </c>
      <c r="C543" s="12">
        <v>4.8593893886803352E-2</v>
      </c>
      <c r="D543" s="12">
        <v>1.6451634923885461E-2</v>
      </c>
      <c r="E543" s="12">
        <v>6.1623600882120266E-2</v>
      </c>
      <c r="F543" s="12">
        <v>3.742424242424236E-2</v>
      </c>
      <c r="G543" s="12">
        <v>1.0846726105968596E-2</v>
      </c>
      <c r="H543" s="12">
        <v>3.7979527408399383E-2</v>
      </c>
      <c r="I543" s="12">
        <v>2.0528428959979417E-2</v>
      </c>
      <c r="J543" s="12">
        <v>2.0305726671229873E-2</v>
      </c>
      <c r="K543" s="12">
        <v>-3.530103941949414E-3</v>
      </c>
      <c r="L543" s="12">
        <v>5.4865600544402593E-3</v>
      </c>
      <c r="M543" s="13">
        <f t="shared" si="61"/>
        <v>1.7175257069297456E-2</v>
      </c>
      <c r="N543" s="32">
        <f t="shared" si="62"/>
        <v>139.82738350447849</v>
      </c>
      <c r="O543" s="32">
        <f t="shared" si="63"/>
        <v>119.96795060276406</v>
      </c>
      <c r="P543" s="12" t="str">
        <f t="shared" si="64"/>
        <v/>
      </c>
      <c r="Q543" s="13">
        <f t="shared" si="65"/>
        <v>-1.3772557658203621E-2</v>
      </c>
      <c r="R543" s="49">
        <f t="shared" si="66"/>
        <v>1</v>
      </c>
    </row>
    <row r="544" spans="1:18" x14ac:dyDescent="0.35">
      <c r="A544" s="64" t="s">
        <v>77</v>
      </c>
      <c r="B544" s="14">
        <v>-8.6762366700898763E-4</v>
      </c>
      <c r="C544" s="12">
        <v>1.8915084780111169E-3</v>
      </c>
      <c r="D544" s="12">
        <v>1.7461383478845072E-3</v>
      </c>
      <c r="E544" s="12">
        <v>-1.7637375558516855E-3</v>
      </c>
      <c r="F544" s="12">
        <v>-1.9807945085438927E-2</v>
      </c>
      <c r="G544" s="12">
        <v>4.1573033707864582E-3</v>
      </c>
      <c r="H544" s="12">
        <v>0</v>
      </c>
      <c r="I544" s="12">
        <v>-5.711022272987254E-4</v>
      </c>
      <c r="J544" s="12">
        <v>-1.7330053667262924E-2</v>
      </c>
      <c r="K544" s="12">
        <v>6.1011611887422657E-3</v>
      </c>
      <c r="L544" s="12">
        <v>-3.0455564485427633E-3</v>
      </c>
      <c r="M544" s="13">
        <f t="shared" si="61"/>
        <v>9.7163605349464665E-4</v>
      </c>
      <c r="N544" s="32">
        <f t="shared" si="62"/>
        <v>139.96324483155726</v>
      </c>
      <c r="O544" s="32">
        <f t="shared" si="63"/>
        <v>119.86386356953854</v>
      </c>
      <c r="P544" s="12" t="str">
        <f t="shared" si="64"/>
        <v/>
      </c>
      <c r="Q544" s="13">
        <f t="shared" si="65"/>
        <v>1.8392597205036344E-3</v>
      </c>
      <c r="R544" s="49">
        <f t="shared" si="66"/>
        <v>1</v>
      </c>
    </row>
    <row r="545" spans="1:18" x14ac:dyDescent="0.35">
      <c r="A545" s="64" t="s">
        <v>77</v>
      </c>
      <c r="B545" s="14">
        <v>-1.1946317615054713E-3</v>
      </c>
      <c r="C545" s="12">
        <v>-3.3713168363562751E-3</v>
      </c>
      <c r="D545" s="12">
        <v>-3.2850630195763175E-3</v>
      </c>
      <c r="E545" s="12">
        <v>1.2956928030154469E-3</v>
      </c>
      <c r="F545" s="12">
        <v>-1.3968821590211178E-3</v>
      </c>
      <c r="G545" s="12">
        <v>7.8326060199174208E-4</v>
      </c>
      <c r="H545" s="12">
        <v>3.0414746543778737E-3</v>
      </c>
      <c r="I545" s="12">
        <v>-4.761904761904745E-3</v>
      </c>
      <c r="J545" s="12">
        <v>4.0334509045397704E-2</v>
      </c>
      <c r="K545" s="12">
        <v>-9.7809076682309204E-4</v>
      </c>
      <c r="L545" s="12">
        <v>1.8668590097161708E-3</v>
      </c>
      <c r="M545" s="13">
        <f t="shared" si="61"/>
        <v>-1.5402780359733456E-3</v>
      </c>
      <c r="N545" s="32">
        <f t="shared" si="62"/>
        <v>139.74766251969965</v>
      </c>
      <c r="O545" s="32">
        <f t="shared" si="63"/>
        <v>119.7206703910616</v>
      </c>
      <c r="P545" s="12">
        <f t="shared" si="64"/>
        <v>-1.5402780359733456E-3</v>
      </c>
      <c r="Q545" s="13">
        <f t="shared" si="65"/>
        <v>-3.4564627446787423E-4</v>
      </c>
      <c r="R545" s="49" t="str">
        <f t="shared" si="66"/>
        <v/>
      </c>
    </row>
    <row r="546" spans="1:18" x14ac:dyDescent="0.35">
      <c r="A546" s="64" t="s">
        <v>77</v>
      </c>
      <c r="B546" s="14">
        <v>-1.7894245646781326E-2</v>
      </c>
      <c r="C546" s="12">
        <v>-7.983221703538379E-3</v>
      </c>
      <c r="D546" s="12">
        <v>-8.4751462971681679E-3</v>
      </c>
      <c r="E546" s="12">
        <v>-1.8900478393851561E-2</v>
      </c>
      <c r="F546" s="12">
        <v>-2.0889286780065852E-3</v>
      </c>
      <c r="G546" s="12">
        <v>-5.5903398926648862E-4</v>
      </c>
      <c r="H546" s="12">
        <v>-1.8285399246531275E-2</v>
      </c>
      <c r="I546" s="12">
        <v>-4.2743221690589861E-3</v>
      </c>
      <c r="J546" s="12">
        <v>1.2194455077377375E-2</v>
      </c>
      <c r="K546" s="12">
        <v>-1.0182102995888065E-2</v>
      </c>
      <c r="L546" s="12">
        <v>-1.5076440943548097E-2</v>
      </c>
      <c r="M546" s="13">
        <f t="shared" si="61"/>
        <v>-1.0619715331082547E-2</v>
      </c>
      <c r="N546" s="32">
        <f t="shared" si="62"/>
        <v>138.26358212555624</v>
      </c>
      <c r="O546" s="32">
        <f t="shared" si="63"/>
        <v>117.57835930608661</v>
      </c>
      <c r="P546" s="12">
        <f t="shared" si="64"/>
        <v>-1.0619715331082547E-2</v>
      </c>
      <c r="Q546" s="13">
        <f t="shared" si="65"/>
        <v>7.2745303156987792E-3</v>
      </c>
      <c r="R546" s="49" t="str">
        <f t="shared" si="66"/>
        <v/>
      </c>
    </row>
    <row r="547" spans="1:18" x14ac:dyDescent="0.35">
      <c r="A547" s="64" t="s">
        <v>77</v>
      </c>
      <c r="B547" s="14">
        <v>-1.4399175760970717E-2</v>
      </c>
      <c r="C547" s="12">
        <v>-2.5369978858350906E-2</v>
      </c>
      <c r="D547" s="12">
        <v>6.105420256428129E-4</v>
      </c>
      <c r="E547" s="12">
        <v>-2.0303756994404454E-2</v>
      </c>
      <c r="F547" s="12">
        <v>7.9994019138758254E-3</v>
      </c>
      <c r="G547" s="12">
        <v>-1.4990491106387727E-2</v>
      </c>
      <c r="H547" s="12">
        <v>-2.1527517783601624E-2</v>
      </c>
      <c r="I547" s="12">
        <v>-8.8416196822144189E-3</v>
      </c>
      <c r="J547" s="12">
        <v>-3.6034575904916211E-2</v>
      </c>
      <c r="K547" s="12">
        <v>-1.1671612265083953E-2</v>
      </c>
      <c r="L547" s="12">
        <v>-1.8403061443866386E-2</v>
      </c>
      <c r="M547" s="13">
        <f t="shared" si="61"/>
        <v>-1.0098318142314664E-2</v>
      </c>
      <c r="N547" s="32">
        <f t="shared" si="62"/>
        <v>136.86735248575633</v>
      </c>
      <c r="O547" s="32">
        <f t="shared" si="63"/>
        <v>115.8853278447517</v>
      </c>
      <c r="P547" s="12">
        <f t="shared" si="64"/>
        <v>-1.0098318142314664E-2</v>
      </c>
      <c r="Q547" s="13">
        <f t="shared" si="65"/>
        <v>4.3008576186560534E-3</v>
      </c>
      <c r="R547" s="49" t="str">
        <f t="shared" si="66"/>
        <v/>
      </c>
    </row>
    <row r="548" spans="1:18" x14ac:dyDescent="0.35">
      <c r="A548" s="64">
        <v>6.52</v>
      </c>
      <c r="B548" s="14">
        <v>-1.8623485890298941E-3</v>
      </c>
      <c r="C548" s="12">
        <v>-1.3784899587152788E-2</v>
      </c>
      <c r="D548" s="12">
        <v>-1.5593220338981917E-3</v>
      </c>
      <c r="E548" s="12">
        <v>-3.0597258485639545E-3</v>
      </c>
      <c r="F548" s="12">
        <v>6.6565304457464336E-3</v>
      </c>
      <c r="G548" s="12">
        <v>6.0760931289038922E-3</v>
      </c>
      <c r="H548" s="12">
        <v>-6.0742299598239846E-3</v>
      </c>
      <c r="I548" s="12">
        <v>4.5248868778302587E-4</v>
      </c>
      <c r="J548" s="12">
        <v>-1.0816566720842968E-2</v>
      </c>
      <c r="K548" s="12">
        <v>-5.2041633306645352E-3</v>
      </c>
      <c r="L548" s="12">
        <v>3.0224714179332146E-3</v>
      </c>
      <c r="M548" s="13">
        <f t="shared" si="61"/>
        <v>-1.4164805318268093E-3</v>
      </c>
      <c r="N548" s="32">
        <f t="shared" si="62"/>
        <v>136.67348254551757</v>
      </c>
      <c r="O548" s="32">
        <f t="shared" si="63"/>
        <v>115.66950896795076</v>
      </c>
      <c r="P548" s="12">
        <f t="shared" si="64"/>
        <v>-1.4164805318268093E-3</v>
      </c>
      <c r="Q548" s="13">
        <f t="shared" si="65"/>
        <v>4.4586805720308481E-4</v>
      </c>
      <c r="R548" s="49" t="str">
        <f t="shared" si="66"/>
        <v/>
      </c>
    </row>
    <row r="549" spans="1:18" x14ac:dyDescent="0.35">
      <c r="A549" s="64" t="s">
        <v>77</v>
      </c>
      <c r="B549" s="14">
        <v>7.5217594663847809E-3</v>
      </c>
      <c r="C549" s="12">
        <v>1.2132822477650018E-2</v>
      </c>
      <c r="D549" s="12">
        <v>3.4630270930942064E-3</v>
      </c>
      <c r="E549" s="12">
        <v>1.2399230674796424E-2</v>
      </c>
      <c r="F549" s="12">
        <v>9.2280488478753142E-3</v>
      </c>
      <c r="G549" s="12">
        <v>1.6932889315346422E-4</v>
      </c>
      <c r="H549" s="12">
        <v>6.2075934748087036E-3</v>
      </c>
      <c r="I549" s="12">
        <v>-4.1997803191833327E-3</v>
      </c>
      <c r="J549" s="12">
        <v>1.4617563739376838E-2</v>
      </c>
      <c r="K549" s="12">
        <v>-2.2132796780683917E-3</v>
      </c>
      <c r="L549" s="12">
        <v>8.4723556642500863E-3</v>
      </c>
      <c r="M549" s="13">
        <f t="shared" si="61"/>
        <v>2.8110901052362954E-3</v>
      </c>
      <c r="N549" s="32">
        <f t="shared" si="62"/>
        <v>137.05768401994945</v>
      </c>
      <c r="O549" s="32">
        <f t="shared" si="63"/>
        <v>116.53954719200253</v>
      </c>
      <c r="P549" s="12" t="str">
        <f t="shared" si="64"/>
        <v/>
      </c>
      <c r="Q549" s="13">
        <f t="shared" si="65"/>
        <v>-4.710669361148485E-3</v>
      </c>
      <c r="R549" s="49">
        <f t="shared" si="66"/>
        <v>1</v>
      </c>
    </row>
    <row r="550" spans="1:18" x14ac:dyDescent="0.35">
      <c r="A550" s="64" t="s">
        <v>77</v>
      </c>
      <c r="B550" s="14">
        <v>-7.3495462355336327E-3</v>
      </c>
      <c r="C550" s="12">
        <v>-3.4349807220470652E-3</v>
      </c>
      <c r="D550" s="12">
        <v>-4.9397753417240731E-3</v>
      </c>
      <c r="E550" s="12">
        <v>-8.0032336297494178E-3</v>
      </c>
      <c r="F550" s="12">
        <v>-1.5914732077675464E-2</v>
      </c>
      <c r="G550" s="12">
        <v>-8.2392776523700917E-3</v>
      </c>
      <c r="H550" s="12">
        <v>-1.9129603060736855E-3</v>
      </c>
      <c r="I550" s="12">
        <v>-1.4274591227614319E-3</v>
      </c>
      <c r="J550" s="12">
        <v>2.5686843868661935E-3</v>
      </c>
      <c r="K550" s="12">
        <v>-2.3190159306311853E-2</v>
      </c>
      <c r="L550" s="12">
        <v>-1.571972977654601E-2</v>
      </c>
      <c r="M550" s="13">
        <f t="shared" si="61"/>
        <v>-1.0607068274581312E-2</v>
      </c>
      <c r="N550" s="32">
        <f t="shared" si="62"/>
        <v>135.60390380799385</v>
      </c>
      <c r="O550" s="32">
        <f t="shared" si="63"/>
        <v>115.68303440164675</v>
      </c>
      <c r="P550" s="12">
        <f t="shared" si="64"/>
        <v>-1.0607068274581312E-2</v>
      </c>
      <c r="Q550" s="13">
        <f t="shared" si="65"/>
        <v>-3.2575220390476788E-3</v>
      </c>
      <c r="R550" s="49" t="str">
        <f t="shared" si="66"/>
        <v/>
      </c>
    </row>
    <row r="551" spans="1:18" x14ac:dyDescent="0.35">
      <c r="A551" s="64" t="s">
        <v>77</v>
      </c>
      <c r="B551" s="14">
        <v>1.4279251114533986E-2</v>
      </c>
      <c r="C551" s="12">
        <v>1.6389983117613971E-2</v>
      </c>
      <c r="D551" s="12">
        <v>1.4688881332880044E-2</v>
      </c>
      <c r="E551" s="12">
        <v>2.8889251079781575E-2</v>
      </c>
      <c r="F551" s="12">
        <v>1.235163204747769E-2</v>
      </c>
      <c r="G551" s="12">
        <v>1.1949470809149876E-2</v>
      </c>
      <c r="H551" s="12">
        <v>2.8222328701485555E-2</v>
      </c>
      <c r="I551" s="12">
        <v>2.2157244964262413E-2</v>
      </c>
      <c r="J551" s="12">
        <v>3.7484683078979675E-2</v>
      </c>
      <c r="K551" s="12">
        <v>1.857968620974404E-2</v>
      </c>
      <c r="L551" s="12">
        <v>2.5386070658629967E-2</v>
      </c>
      <c r="M551" s="13">
        <f t="shared" si="61"/>
        <v>2.0790346317941286E-2</v>
      </c>
      <c r="N551" s="32">
        <f t="shared" si="62"/>
        <v>138.42315593022684</v>
      </c>
      <c r="O551" s="32">
        <f t="shared" si="63"/>
        <v>117.33490149955914</v>
      </c>
      <c r="P551" s="12" t="str">
        <f t="shared" si="64"/>
        <v/>
      </c>
      <c r="Q551" s="13">
        <f t="shared" si="65"/>
        <v>6.5110952034072994E-3</v>
      </c>
      <c r="R551" s="49">
        <f t="shared" si="66"/>
        <v>1</v>
      </c>
    </row>
    <row r="552" spans="1:18" x14ac:dyDescent="0.35">
      <c r="A552" s="64">
        <v>6.52</v>
      </c>
      <c r="B552" s="14">
        <v>7.289703700733785E-3</v>
      </c>
      <c r="C552" s="12">
        <v>6.782476295937423E-3</v>
      </c>
      <c r="D552" s="12">
        <v>9.1146705984852527E-3</v>
      </c>
      <c r="E552" s="12">
        <v>1.7464654865154028E-2</v>
      </c>
      <c r="F552" s="12">
        <v>-1.39962627780017E-2</v>
      </c>
      <c r="G552" s="12">
        <v>7.7035537561853662E-3</v>
      </c>
      <c r="H552" s="12">
        <v>-7.2230765646116302E-3</v>
      </c>
      <c r="I552" s="12">
        <v>1.3349437416565468E-3</v>
      </c>
      <c r="J552" s="12">
        <v>4.616953884146513E-3</v>
      </c>
      <c r="K552" s="12">
        <v>-3.6481556546413829E-3</v>
      </c>
      <c r="L552" s="12">
        <v>1.0426499613833462E-2</v>
      </c>
      <c r="M552" s="13">
        <f t="shared" si="61"/>
        <v>6.1439326223727154E-3</v>
      </c>
      <c r="N552" s="32">
        <f t="shared" si="62"/>
        <v>139.27361847363835</v>
      </c>
      <c r="O552" s="32">
        <f t="shared" si="63"/>
        <v>118.1902381652457</v>
      </c>
      <c r="P552" s="12" t="str">
        <f t="shared" si="64"/>
        <v/>
      </c>
      <c r="Q552" s="13">
        <f t="shared" si="65"/>
        <v>-1.1457710783610697E-3</v>
      </c>
      <c r="R552" s="49">
        <f t="shared" si="66"/>
        <v>1</v>
      </c>
    </row>
    <row r="553" spans="1:18" x14ac:dyDescent="0.35">
      <c r="A553" s="64" t="s">
        <v>77</v>
      </c>
      <c r="B553" s="14">
        <v>-6.0527657880661279E-3</v>
      </c>
      <c r="C553" s="12">
        <v>-1.5535849316010153E-2</v>
      </c>
      <c r="D553" s="12">
        <v>-4.7154147572556759E-3</v>
      </c>
      <c r="E553" s="12">
        <v>1.1676786548342477E-3</v>
      </c>
      <c r="F553" s="12">
        <v>2.601166809110822E-4</v>
      </c>
      <c r="G553" s="12">
        <v>3.0690251660061563E-3</v>
      </c>
      <c r="H553" s="12">
        <v>1.3143071723620281E-3</v>
      </c>
      <c r="I553" s="12">
        <v>-2.16480446927374E-2</v>
      </c>
      <c r="J553" s="12">
        <v>5.9851440175280324E-3</v>
      </c>
      <c r="K553" s="12">
        <v>-5.4922701383237627E-3</v>
      </c>
      <c r="L553" s="12">
        <v>-4.2889294662195043E-3</v>
      </c>
      <c r="M553" s="13">
        <f t="shared" si="61"/>
        <v>-7.2597547483296398E-3</v>
      </c>
      <c r="N553" s="32">
        <f t="shared" si="62"/>
        <v>138.26252616060731</v>
      </c>
      <c r="O553" s="32">
        <f t="shared" si="63"/>
        <v>117.47486033519571</v>
      </c>
      <c r="P553" s="12">
        <f t="shared" si="64"/>
        <v>-7.2597547483296398E-3</v>
      </c>
      <c r="Q553" s="13">
        <f t="shared" si="65"/>
        <v>-1.2069889602635119E-3</v>
      </c>
      <c r="R553" s="49" t="str">
        <f t="shared" si="66"/>
        <v/>
      </c>
    </row>
    <row r="554" spans="1:18" x14ac:dyDescent="0.35">
      <c r="A554" s="64" t="s">
        <v>77</v>
      </c>
      <c r="B554" s="14">
        <v>-2.4921658340258168E-2</v>
      </c>
      <c r="C554" s="12">
        <v>-4.6854269953215621E-2</v>
      </c>
      <c r="D554" s="12">
        <v>-5.0046710262912075E-2</v>
      </c>
      <c r="E554" s="12">
        <v>-3.1918202317082756E-2</v>
      </c>
      <c r="F554" s="12">
        <v>-1.9838026599301672E-2</v>
      </c>
      <c r="G554" s="12">
        <v>-1.2627948375611875E-2</v>
      </c>
      <c r="H554" s="12">
        <v>-2.5360960060003768E-2</v>
      </c>
      <c r="I554" s="12">
        <v>-2.5241710466549994E-2</v>
      </c>
      <c r="J554" s="12">
        <v>-2.4063745019920368E-2</v>
      </c>
      <c r="K554" s="12">
        <v>-8.9997954591940488E-3</v>
      </c>
      <c r="L554" s="12">
        <v>-1.6291368133742767E-2</v>
      </c>
      <c r="M554" s="13">
        <f t="shared" si="61"/>
        <v>-2.7823813984246534E-2</v>
      </c>
      <c r="N554" s="32">
        <f t="shared" si="62"/>
        <v>134.41553535172255</v>
      </c>
      <c r="O554" s="32">
        <f t="shared" si="63"/>
        <v>114.54719200235242</v>
      </c>
      <c r="P554" s="12">
        <f t="shared" si="64"/>
        <v>-2.7823813984246534E-2</v>
      </c>
      <c r="Q554" s="13">
        <f t="shared" si="65"/>
        <v>-2.9021556439883661E-3</v>
      </c>
      <c r="R554" s="49" t="str">
        <f t="shared" si="66"/>
        <v/>
      </c>
    </row>
    <row r="555" spans="1:18" x14ac:dyDescent="0.35">
      <c r="A555" s="64" t="s">
        <v>77</v>
      </c>
      <c r="B555" s="14">
        <v>-1.1137778348199956E-2</v>
      </c>
      <c r="C555" s="12">
        <v>-1.4578754578754682E-2</v>
      </c>
      <c r="D555" s="12">
        <v>-1.5453779151447189E-2</v>
      </c>
      <c r="E555" s="12">
        <v>-1.7348700855387311E-2</v>
      </c>
      <c r="F555" s="12">
        <v>-7.5424499696784553E-3</v>
      </c>
      <c r="G555" s="12">
        <v>-1.0254098822468971E-2</v>
      </c>
      <c r="H555" s="12">
        <v>-4.9059689288635244E-3</v>
      </c>
      <c r="I555" s="12">
        <v>-2.6095060577819074E-2</v>
      </c>
      <c r="J555" s="12">
        <v>5.3342042238186949E-3</v>
      </c>
      <c r="K555" s="12">
        <v>-1.7956656346749367E-2</v>
      </c>
      <c r="L555" s="12">
        <v>8.9308939564727297E-3</v>
      </c>
      <c r="M555" s="13">
        <f t="shared" si="61"/>
        <v>-1.4177373415536208E-2</v>
      </c>
      <c r="N555" s="32">
        <f t="shared" si="62"/>
        <v>132.50987611419197</v>
      </c>
      <c r="O555" s="32">
        <f t="shared" si="63"/>
        <v>113.27139076742151</v>
      </c>
      <c r="P555" s="12">
        <f t="shared" si="64"/>
        <v>-1.4177373415536208E-2</v>
      </c>
      <c r="Q555" s="13">
        <f t="shared" si="65"/>
        <v>-3.039595067336252E-3</v>
      </c>
      <c r="R555" s="49" t="str">
        <f t="shared" si="66"/>
        <v/>
      </c>
    </row>
    <row r="556" spans="1:18" x14ac:dyDescent="0.35">
      <c r="A556" s="64">
        <v>6.5</v>
      </c>
      <c r="B556" s="14">
        <v>-9.007465553582783E-3</v>
      </c>
      <c r="C556" s="12">
        <v>-1.5909597799420028E-2</v>
      </c>
      <c r="D556" s="12">
        <v>-9.2037671232876317E-3</v>
      </c>
      <c r="E556" s="12">
        <v>-1.7328047733867424E-2</v>
      </c>
      <c r="F556" s="12">
        <v>-1.9094901661265151E-4</v>
      </c>
      <c r="G556" s="12">
        <v>-1.0815734046791814E-3</v>
      </c>
      <c r="H556" s="12">
        <v>-1.0005316835033029E-2</v>
      </c>
      <c r="I556" s="12">
        <v>-8.8174982911826127E-3</v>
      </c>
      <c r="J556" s="12">
        <v>5.305901461830187E-3</v>
      </c>
      <c r="K556" s="12">
        <v>4.2034468263985048E-4</v>
      </c>
      <c r="L556" s="12">
        <v>-1.8477139910622054E-3</v>
      </c>
      <c r="M556" s="13">
        <f t="shared" si="61"/>
        <v>-6.8529215437166504E-3</v>
      </c>
      <c r="N556" s="32">
        <f t="shared" si="62"/>
        <v>131.60179632941379</v>
      </c>
      <c r="O556" s="32">
        <f t="shared" si="63"/>
        <v>112.25110261687755</v>
      </c>
      <c r="P556" s="12">
        <f t="shared" si="64"/>
        <v>-6.8529215437166504E-3</v>
      </c>
      <c r="Q556" s="13">
        <f t="shared" si="65"/>
        <v>2.1545440098661326E-3</v>
      </c>
      <c r="R556" s="49" t="str">
        <f t="shared" si="66"/>
        <v/>
      </c>
    </row>
    <row r="557" spans="1:18" x14ac:dyDescent="0.35">
      <c r="A557" s="64" t="s">
        <v>77</v>
      </c>
      <c r="B557" s="14">
        <v>1.0372846193742458E-3</v>
      </c>
      <c r="C557" s="12">
        <v>-5.2882072977256112E-4</v>
      </c>
      <c r="D557" s="12">
        <v>1.7354360192986196E-2</v>
      </c>
      <c r="E557" s="12">
        <v>5.6144728633813479E-3</v>
      </c>
      <c r="F557" s="12">
        <v>-6.4744079449962078E-3</v>
      </c>
      <c r="G557" s="12">
        <v>1.0827444723044977E-3</v>
      </c>
      <c r="H557" s="12">
        <v>2.6364612830778178E-3</v>
      </c>
      <c r="I557" s="12">
        <v>4.7582925315494684E-3</v>
      </c>
      <c r="J557" s="12">
        <v>1.4056441189142621E-2</v>
      </c>
      <c r="K557" s="12">
        <v>8.8235294117646745E-3</v>
      </c>
      <c r="L557" s="12">
        <v>1.2269146325713631E-2</v>
      </c>
      <c r="M557" s="13">
        <f t="shared" si="61"/>
        <v>1.0523869552609436E-2</v>
      </c>
      <c r="N557" s="32">
        <f t="shared" si="62"/>
        <v>132.98675646687363</v>
      </c>
      <c r="O557" s="32">
        <f t="shared" si="63"/>
        <v>112.36753895912983</v>
      </c>
      <c r="P557" s="12" t="str">
        <f t="shared" si="64"/>
        <v/>
      </c>
      <c r="Q557" s="13">
        <f t="shared" si="65"/>
        <v>9.4865849332351898E-3</v>
      </c>
      <c r="R557" s="49">
        <f t="shared" si="66"/>
        <v>1</v>
      </c>
    </row>
    <row r="558" spans="1:18" x14ac:dyDescent="0.35">
      <c r="A558" s="64" t="s">
        <v>77</v>
      </c>
      <c r="B558" s="14">
        <v>1.4868040255179737E-2</v>
      </c>
      <c r="C558" s="12">
        <v>2.3809523809523725E-2</v>
      </c>
      <c r="D558" s="12">
        <v>6.0872027180067789E-3</v>
      </c>
      <c r="E558" s="12">
        <v>1.0876757650951197E-2</v>
      </c>
      <c r="F558" s="12">
        <v>1.409046346667675E-2</v>
      </c>
      <c r="G558" s="12">
        <v>1.1441908123185573E-2</v>
      </c>
      <c r="H558" s="12">
        <v>7.0607713283987739E-3</v>
      </c>
      <c r="I558" s="12">
        <v>9.608785175017287E-3</v>
      </c>
      <c r="J558" s="12">
        <v>4.0947474640182779E-2</v>
      </c>
      <c r="K558" s="12">
        <v>7.7051228654727577E-3</v>
      </c>
      <c r="L558" s="12">
        <v>2.8025856936293225E-2</v>
      </c>
      <c r="M558" s="13">
        <f t="shared" si="61"/>
        <v>1.1525278598211536E-2</v>
      </c>
      <c r="N558" s="32">
        <f t="shared" si="62"/>
        <v>134.51946588502688</v>
      </c>
      <c r="O558" s="32">
        <f t="shared" si="63"/>
        <v>114.03822405174965</v>
      </c>
      <c r="P558" s="12" t="str">
        <f t="shared" si="64"/>
        <v/>
      </c>
      <c r="Q558" s="13">
        <f t="shared" si="65"/>
        <v>-3.3427616569682017E-3</v>
      </c>
      <c r="R558" s="49">
        <f t="shared" si="66"/>
        <v>1</v>
      </c>
    </row>
    <row r="559" spans="1:18" x14ac:dyDescent="0.35">
      <c r="A559" s="64" t="s">
        <v>77</v>
      </c>
      <c r="B559" s="14">
        <v>-1.4451686760656446E-2</v>
      </c>
      <c r="C559" s="12">
        <v>-2.3772609819121437E-2</v>
      </c>
      <c r="D559" s="12">
        <v>-8.8644997889404387E-3</v>
      </c>
      <c r="E559" s="12">
        <v>-2.5528781246164534E-2</v>
      </c>
      <c r="F559" s="12">
        <v>-8.5301588505126702E-4</v>
      </c>
      <c r="G559" s="12">
        <v>-3.6582620441243385E-3</v>
      </c>
      <c r="H559" s="12">
        <v>-8.4618732169624566E-3</v>
      </c>
      <c r="I559" s="12">
        <v>-1.2168592794017608E-2</v>
      </c>
      <c r="J559" s="12">
        <v>-3.9540816326530615E-2</v>
      </c>
      <c r="K559" s="12">
        <v>-1.1572638974994831E-2</v>
      </c>
      <c r="L559" s="12">
        <v>-1.7333388491291957E-2</v>
      </c>
      <c r="M559" s="13">
        <f t="shared" si="61"/>
        <v>-1.3862673753642762E-2</v>
      </c>
      <c r="N559" s="32">
        <f t="shared" si="62"/>
        <v>132.65466641594847</v>
      </c>
      <c r="O559" s="32">
        <f t="shared" si="63"/>
        <v>112.39017935901221</v>
      </c>
      <c r="P559" s="12">
        <f t="shared" si="64"/>
        <v>-1.3862673753642762E-2</v>
      </c>
      <c r="Q559" s="13">
        <f t="shared" si="65"/>
        <v>5.8901300701368411E-4</v>
      </c>
      <c r="R559" s="49" t="str">
        <f t="shared" si="66"/>
        <v/>
      </c>
    </row>
    <row r="560" spans="1:18" x14ac:dyDescent="0.35">
      <c r="A560" s="64" t="s">
        <v>77</v>
      </c>
      <c r="B560" s="14">
        <v>5.8680563731070556E-3</v>
      </c>
      <c r="C560" s="12">
        <v>-2.7981547303937981E-3</v>
      </c>
      <c r="D560" s="12">
        <v>5.4656445201590742E-3</v>
      </c>
      <c r="E560" s="12">
        <v>2.2670976951173483E-3</v>
      </c>
      <c r="F560" s="12">
        <v>8.0062228461930118E-3</v>
      </c>
      <c r="G560" s="12">
        <v>2.5419420437213791E-3</v>
      </c>
      <c r="H560" s="12">
        <v>3.7549985370135541E-3</v>
      </c>
      <c r="I560" s="12">
        <v>1.1767944394742269E-2</v>
      </c>
      <c r="J560" s="12">
        <v>4.3027888446214302E-3</v>
      </c>
      <c r="K560" s="12">
        <v>1.8816642274723794E-3</v>
      </c>
      <c r="L560" s="12">
        <v>9.8088742948556629E-3</v>
      </c>
      <c r="M560" s="13">
        <f t="shared" si="61"/>
        <v>6.1717337697130281E-3</v>
      </c>
      <c r="N560" s="32">
        <f t="shared" si="62"/>
        <v>133.4733757003778</v>
      </c>
      <c r="O560" s="32">
        <f t="shared" si="63"/>
        <v>113.04969126727451</v>
      </c>
      <c r="P560" s="12" t="str">
        <f t="shared" si="64"/>
        <v/>
      </c>
      <c r="Q560" s="13">
        <f t="shared" si="65"/>
        <v>3.0367739660597248E-4</v>
      </c>
      <c r="R560" s="49">
        <f t="shared" si="66"/>
        <v>1</v>
      </c>
    </row>
    <row r="561" spans="1:18" x14ac:dyDescent="0.35">
      <c r="A561" s="64">
        <v>6.68</v>
      </c>
      <c r="B561" s="14">
        <v>-4.0496044028068834E-3</v>
      </c>
      <c r="C561" s="12">
        <v>-1.3878355831943079E-2</v>
      </c>
      <c r="D561" s="12">
        <v>5.4359336392515445E-3</v>
      </c>
      <c r="E561" s="12">
        <v>-7.414233653080804E-3</v>
      </c>
      <c r="F561" s="12">
        <v>1.2798554516197935E-3</v>
      </c>
      <c r="G561" s="12">
        <v>-2.8172188415587218E-4</v>
      </c>
      <c r="H561" s="12">
        <v>2.234854005732867E-3</v>
      </c>
      <c r="I561" s="12">
        <v>-4.2851312746566839E-3</v>
      </c>
      <c r="J561" s="12">
        <v>1.7983708875488613E-3</v>
      </c>
      <c r="K561" s="12">
        <v>4.1736227045063856E-4</v>
      </c>
      <c r="L561" s="12">
        <v>1.3632384208112747E-2</v>
      </c>
      <c r="M561" s="13">
        <f t="shared" si="61"/>
        <v>2.0504153742028422E-3</v>
      </c>
      <c r="N561" s="32">
        <f t="shared" si="62"/>
        <v>133.74705156196063</v>
      </c>
      <c r="O561" s="32">
        <f t="shared" si="63"/>
        <v>112.5918847397826</v>
      </c>
      <c r="P561" s="12" t="str">
        <f t="shared" si="64"/>
        <v/>
      </c>
      <c r="Q561" s="13">
        <f t="shared" si="65"/>
        <v>6.1000197770097256E-3</v>
      </c>
      <c r="R561" s="49">
        <f t="shared" si="66"/>
        <v>1</v>
      </c>
    </row>
    <row r="562" spans="1:18" x14ac:dyDescent="0.35">
      <c r="A562" s="64" t="s">
        <v>77</v>
      </c>
      <c r="B562" s="14">
        <v>-1.202063067180259E-2</v>
      </c>
      <c r="C562" s="12">
        <v>-3.0685226486195427E-2</v>
      </c>
      <c r="D562" s="12">
        <v>-1.6851565791321299E-2</v>
      </c>
      <c r="E562" s="12">
        <v>-1.0254895340985892E-2</v>
      </c>
      <c r="F562" s="12">
        <v>-6.6542604184288701E-3</v>
      </c>
      <c r="G562" s="12">
        <v>-4.3397396156231727E-3</v>
      </c>
      <c r="H562" s="12">
        <v>-6.3018081341799093E-3</v>
      </c>
      <c r="I562" s="12">
        <v>-1.6257941116196384E-2</v>
      </c>
      <c r="J562" s="12">
        <v>-5.3854276663147793E-3</v>
      </c>
      <c r="K562" s="12">
        <v>-1.7521902377972354E-2</v>
      </c>
      <c r="L562" s="12">
        <v>-1.546434153162779E-2</v>
      </c>
      <c r="M562" s="13">
        <f t="shared" si="61"/>
        <v>-1.5734800900821487E-2</v>
      </c>
      <c r="N562" s="32">
        <f t="shared" si="62"/>
        <v>131.64256833456128</v>
      </c>
      <c r="O562" s="32">
        <f t="shared" si="63"/>
        <v>111.23845927668351</v>
      </c>
      <c r="P562" s="12">
        <f t="shared" si="64"/>
        <v>-1.5734800900821487E-2</v>
      </c>
      <c r="Q562" s="13">
        <f t="shared" si="65"/>
        <v>-3.7141702290188969E-3</v>
      </c>
      <c r="R562" s="49" t="str">
        <f t="shared" si="66"/>
        <v/>
      </c>
    </row>
    <row r="563" spans="1:18" x14ac:dyDescent="0.35">
      <c r="A563" s="64" t="s">
        <v>77</v>
      </c>
      <c r="B563" s="14">
        <v>1.7461316021801565E-2</v>
      </c>
      <c r="C563" s="12">
        <v>2.832434147889562E-2</v>
      </c>
      <c r="D563" s="12">
        <v>7.4275103556633582E-3</v>
      </c>
      <c r="E563" s="12">
        <v>2.7629727540186666E-2</v>
      </c>
      <c r="F563" s="12">
        <v>2.7060270602705661E-3</v>
      </c>
      <c r="G563" s="12">
        <v>5.0945318691271169E-3</v>
      </c>
      <c r="H563" s="12">
        <v>1.4976340309283298E-2</v>
      </c>
      <c r="I563" s="12">
        <v>2.29845149642387E-2</v>
      </c>
      <c r="J563" s="12">
        <v>2.8134621509714464E-3</v>
      </c>
      <c r="K563" s="12">
        <v>5.9447983014861983E-3</v>
      </c>
      <c r="L563" s="12">
        <v>3.4255159161165061E-3</v>
      </c>
      <c r="M563" s="13">
        <f t="shared" si="61"/>
        <v>1.2216947213916023E-2</v>
      </c>
      <c r="N563" s="32">
        <f t="shared" si="62"/>
        <v>133.25083864300893</v>
      </c>
      <c r="O563" s="32">
        <f t="shared" si="63"/>
        <v>113.18082916789199</v>
      </c>
      <c r="P563" s="12" t="str">
        <f t="shared" si="64"/>
        <v/>
      </c>
      <c r="Q563" s="13">
        <f t="shared" si="65"/>
        <v>-5.2443688078855424E-3</v>
      </c>
      <c r="R563" s="49">
        <f t="shared" si="66"/>
        <v>1</v>
      </c>
    </row>
    <row r="564" spans="1:18" x14ac:dyDescent="0.35">
      <c r="A564" s="64" t="s">
        <v>77</v>
      </c>
      <c r="B564" s="14">
        <v>-2.5407348906808513E-3</v>
      </c>
      <c r="C564" s="12">
        <v>2.4689452974306914E-3</v>
      </c>
      <c r="D564" s="12">
        <v>-1.2051609244294603E-3</v>
      </c>
      <c r="E564" s="12">
        <v>-4.937554458321225E-3</v>
      </c>
      <c r="F564" s="12">
        <v>5.6616592436009583E-4</v>
      </c>
      <c r="G564" s="12">
        <v>-5.1250281594953373E-3</v>
      </c>
      <c r="H564" s="12">
        <v>-1.4418917619918314E-3</v>
      </c>
      <c r="I564" s="12">
        <v>2.9188161824600378E-3</v>
      </c>
      <c r="J564" s="12">
        <v>8.3637711079349586E-3</v>
      </c>
      <c r="K564" s="12">
        <v>-2.5327142254116808E-3</v>
      </c>
      <c r="L564" s="12">
        <v>-2.6644462947542635E-3</v>
      </c>
      <c r="M564" s="13">
        <f t="shared" si="61"/>
        <v>-1.4749629907022911E-3</v>
      </c>
      <c r="N564" s="32">
        <f t="shared" si="62"/>
        <v>133.05429858753047</v>
      </c>
      <c r="O564" s="32">
        <f t="shared" si="63"/>
        <v>112.89326668626893</v>
      </c>
      <c r="P564" s="12">
        <f t="shared" si="64"/>
        <v>-1.4749629907022911E-3</v>
      </c>
      <c r="Q564" s="13">
        <f t="shared" si="65"/>
        <v>1.0657718999785603E-3</v>
      </c>
      <c r="R564" s="49" t="str">
        <f t="shared" si="66"/>
        <v/>
      </c>
    </row>
    <row r="565" spans="1:18" x14ac:dyDescent="0.35">
      <c r="A565" s="64" t="s">
        <v>77</v>
      </c>
      <c r="B565" s="14">
        <v>-4.0005209011589882E-3</v>
      </c>
      <c r="C565" s="12">
        <v>-3.7404756407296347E-2</v>
      </c>
      <c r="D565" s="12">
        <v>4.6845056427000653E-3</v>
      </c>
      <c r="E565" s="12">
        <v>-1.000750562922148E-3</v>
      </c>
      <c r="F565" s="12">
        <v>-2.1766192613829172E-2</v>
      </c>
      <c r="G565" s="12">
        <v>8.7178035663741937E-3</v>
      </c>
      <c r="H565" s="12">
        <v>-1.7809010396612202E-3</v>
      </c>
      <c r="I565" s="12">
        <v>-4.2639593908628814E-3</v>
      </c>
      <c r="J565" s="12">
        <v>2.5723135072707182E-2</v>
      </c>
      <c r="K565" s="12">
        <v>1.2907321201861999E-2</v>
      </c>
      <c r="L565" s="12">
        <v>-2.8385373184171003E-3</v>
      </c>
      <c r="M565" s="13">
        <f t="shared" si="61"/>
        <v>2.7317505098346023E-3</v>
      </c>
      <c r="N565" s="32">
        <f t="shared" si="62"/>
        <v>133.41776973553263</v>
      </c>
      <c r="O565" s="32">
        <f t="shared" si="63"/>
        <v>112.44163481329039</v>
      </c>
      <c r="P565" s="12" t="str">
        <f t="shared" si="64"/>
        <v/>
      </c>
      <c r="Q565" s="13">
        <f t="shared" si="65"/>
        <v>6.7322714109935905E-3</v>
      </c>
      <c r="R565" s="49">
        <f t="shared" si="66"/>
        <v>1</v>
      </c>
    </row>
    <row r="566" spans="1:18" x14ac:dyDescent="0.35">
      <c r="A566" s="64">
        <v>6.85</v>
      </c>
      <c r="B566" s="14">
        <v>7.5389499338414101E-3</v>
      </c>
      <c r="C566" s="12">
        <v>1.0314224034540631E-2</v>
      </c>
      <c r="D566" s="12">
        <v>7.4178735429175635E-3</v>
      </c>
      <c r="E566" s="12">
        <v>-4.3743217296936421E-2</v>
      </c>
      <c r="F566" s="12">
        <v>-2.7263612525065484E-2</v>
      </c>
      <c r="G566" s="12">
        <v>1.0887255177058242E-2</v>
      </c>
      <c r="H566" s="12">
        <v>2.516996962245055E-2</v>
      </c>
      <c r="I566" s="12">
        <v>2.3246329526916742E-2</v>
      </c>
      <c r="J566" s="12">
        <v>4.2223245816060295E-2</v>
      </c>
      <c r="K566" s="12">
        <v>1.044495508669474E-3</v>
      </c>
      <c r="L566" s="12">
        <v>1.0381781647689214E-2</v>
      </c>
      <c r="M566" s="13">
        <f t="shared" si="61"/>
        <v>2.4361192379138705E-3</v>
      </c>
      <c r="N566" s="32">
        <f t="shared" si="62"/>
        <v>133.74279133106492</v>
      </c>
      <c r="O566" s="32">
        <f t="shared" si="63"/>
        <v>113.28932666862707</v>
      </c>
      <c r="P566" s="12" t="str">
        <f t="shared" si="64"/>
        <v/>
      </c>
      <c r="Q566" s="13">
        <f t="shared" si="65"/>
        <v>-5.1028306959275396E-3</v>
      </c>
      <c r="R566" s="49">
        <f t="shared" si="66"/>
        <v>1</v>
      </c>
    </row>
    <row r="567" spans="1:18" x14ac:dyDescent="0.35">
      <c r="A567" s="64" t="s">
        <v>77</v>
      </c>
      <c r="B567" s="14">
        <v>-1.164556173549236E-2</v>
      </c>
      <c r="C567" s="12">
        <v>-1.0604621715732843E-2</v>
      </c>
      <c r="D567" s="12">
        <v>-1.0448807854137265E-2</v>
      </c>
      <c r="E567" s="12">
        <v>-2.9637712789175041E-2</v>
      </c>
      <c r="F567" s="12">
        <v>-2.8820614469772132E-2</v>
      </c>
      <c r="G567" s="12">
        <v>-7.3835563204351917E-3</v>
      </c>
      <c r="H567" s="12">
        <v>-7.0551714406660304E-3</v>
      </c>
      <c r="I567" s="12">
        <v>-2.7301713830211183E-2</v>
      </c>
      <c r="J567" s="12">
        <v>6.6293459045374536E-3</v>
      </c>
      <c r="K567" s="12">
        <v>-3.3388981636061077E-3</v>
      </c>
      <c r="L567" s="12">
        <v>-4.4746436857806549E-3</v>
      </c>
      <c r="M567" s="13">
        <f t="shared" si="61"/>
        <v>-1.3752245029708187E-2</v>
      </c>
      <c r="N567" s="32">
        <f t="shared" si="62"/>
        <v>131.90352769372299</v>
      </c>
      <c r="O567" s="32">
        <f t="shared" si="63"/>
        <v>111.97000882093521</v>
      </c>
      <c r="P567" s="12">
        <f t="shared" si="64"/>
        <v>-1.3752245029708187E-2</v>
      </c>
      <c r="Q567" s="13">
        <f t="shared" si="65"/>
        <v>-2.1066832942158269E-3</v>
      </c>
      <c r="R567" s="49" t="str">
        <f t="shared" si="66"/>
        <v/>
      </c>
    </row>
    <row r="568" spans="1:18" x14ac:dyDescent="0.35">
      <c r="A568" s="64" t="s">
        <v>77</v>
      </c>
      <c r="B568" s="14">
        <v>2.284078674404566E-2</v>
      </c>
      <c r="C568" s="12">
        <v>3.6794112941929358E-2</v>
      </c>
      <c r="D568" s="12">
        <v>1.835447523208833E-2</v>
      </c>
      <c r="E568" s="12">
        <v>1.1785344788808549E-2</v>
      </c>
      <c r="F568" s="12">
        <v>8.1639317495385555E-5</v>
      </c>
      <c r="G568" s="12">
        <v>8.1096196868009063E-3</v>
      </c>
      <c r="H568" s="12">
        <v>3.1452797119984721E-2</v>
      </c>
      <c r="I568" s="12">
        <v>2.5541214232056131E-2</v>
      </c>
      <c r="J568" s="12">
        <v>3.9075076833016142E-2</v>
      </c>
      <c r="K568" s="12">
        <v>2.4497487437185939E-2</v>
      </c>
      <c r="L568" s="12">
        <v>3.570834026968539E-2</v>
      </c>
      <c r="M568" s="13">
        <f t="shared" si="61"/>
        <v>2.3152814408665408E-2</v>
      </c>
      <c r="N568" s="32">
        <f t="shared" si="62"/>
        <v>134.95746559026404</v>
      </c>
      <c r="O568" s="32">
        <f t="shared" si="63"/>
        <v>114.5274919141431</v>
      </c>
      <c r="P568" s="12" t="str">
        <f t="shared" si="64"/>
        <v/>
      </c>
      <c r="Q568" s="13">
        <f t="shared" si="65"/>
        <v>3.1202766461974757E-4</v>
      </c>
      <c r="R568" s="49">
        <f t="shared" si="66"/>
        <v>1</v>
      </c>
    </row>
    <row r="569" spans="1:18" x14ac:dyDescent="0.35">
      <c r="A569" s="64" t="s">
        <v>77</v>
      </c>
      <c r="B569" s="14">
        <v>-7.6763506782906443E-4</v>
      </c>
      <c r="C569" s="12">
        <v>4.0888751735843609E-3</v>
      </c>
      <c r="D569" s="12">
        <v>-1.0438413361167909E-3</v>
      </c>
      <c r="E569" s="12">
        <v>9.7363624238651081E-3</v>
      </c>
      <c r="F569" s="12">
        <v>1.2244897959190482E-4</v>
      </c>
      <c r="G569" s="12">
        <v>-2.5908460471567252E-2</v>
      </c>
      <c r="H569" s="12">
        <v>3.9035591274396708E-3</v>
      </c>
      <c r="I569" s="12">
        <v>1.5315975228076262E-3</v>
      </c>
      <c r="J569" s="12">
        <v>-2.0798122065727731E-2</v>
      </c>
      <c r="K569" s="12">
        <v>-1.2466789290823566E-2</v>
      </c>
      <c r="L569" s="12">
        <v>-9.001044764124444E-3</v>
      </c>
      <c r="M569" s="13">
        <f t="shared" si="61"/>
        <v>-2.9602414515366741E-3</v>
      </c>
      <c r="N569" s="32">
        <f t="shared" si="62"/>
        <v>134.55795890642941</v>
      </c>
      <c r="O569" s="32">
        <f t="shared" si="63"/>
        <v>114.43957659511929</v>
      </c>
      <c r="P569" s="12">
        <f t="shared" si="64"/>
        <v>-2.9602414515366741E-3</v>
      </c>
      <c r="Q569" s="13">
        <f t="shared" si="65"/>
        <v>-2.1926063837076097E-3</v>
      </c>
      <c r="R569" s="49" t="str">
        <f t="shared" si="66"/>
        <v/>
      </c>
    </row>
    <row r="570" spans="1:18" x14ac:dyDescent="0.35">
      <c r="A570" s="64" t="s">
        <v>77</v>
      </c>
      <c r="B570" s="14">
        <v>6.9782558985018728E-3</v>
      </c>
      <c r="C570" s="12">
        <v>4.4563964656165744E-3</v>
      </c>
      <c r="D570" s="12">
        <v>8.7077673284570167E-3</v>
      </c>
      <c r="E570" s="12">
        <v>7.6171187037687993E-3</v>
      </c>
      <c r="F570" s="12">
        <v>-8.2846998326735477E-3</v>
      </c>
      <c r="G570" s="12">
        <v>-2.3920719899761522E-3</v>
      </c>
      <c r="H570" s="12">
        <v>1.1390667886550743E-2</v>
      </c>
      <c r="I570" s="12">
        <v>1.0638297872340496E-2</v>
      </c>
      <c r="J570" s="12">
        <v>-9.0137603682216572E-3</v>
      </c>
      <c r="K570" s="12">
        <v>-6.2086092715230023E-4</v>
      </c>
      <c r="L570" s="12">
        <v>1.5773254399480852E-2</v>
      </c>
      <c r="M570" s="13">
        <f t="shared" si="61"/>
        <v>8.0425737835418017E-3</v>
      </c>
      <c r="N570" s="32">
        <f t="shared" si="62"/>
        <v>135.64015121909716</v>
      </c>
      <c r="O570" s="32">
        <f t="shared" si="63"/>
        <v>115.23816524551624</v>
      </c>
      <c r="P570" s="12" t="str">
        <f t="shared" si="64"/>
        <v/>
      </c>
      <c r="Q570" s="13">
        <f t="shared" si="65"/>
        <v>1.0643178850399289E-3</v>
      </c>
      <c r="R570" s="49">
        <f t="shared" si="66"/>
        <v>1</v>
      </c>
    </row>
    <row r="571" spans="1:18" x14ac:dyDescent="0.35">
      <c r="A571" s="64">
        <v>6.97</v>
      </c>
      <c r="B571" s="14">
        <v>1.2849397206098123E-2</v>
      </c>
      <c r="C571" s="12">
        <v>2.1112216017746599E-2</v>
      </c>
      <c r="D571" s="12">
        <v>3.1767955801103032E-3</v>
      </c>
      <c r="E571" s="12">
        <v>3.0238147258029313E-2</v>
      </c>
      <c r="F571" s="12">
        <v>1.5226337448559724E-2</v>
      </c>
      <c r="G571" s="12">
        <v>-1.5985384791048496E-3</v>
      </c>
      <c r="H571" s="12">
        <v>4.5682753629743278E-3</v>
      </c>
      <c r="I571" s="12">
        <v>1.2631578947368327E-2</v>
      </c>
      <c r="J571" s="12">
        <v>6.4831390004354006E-3</v>
      </c>
      <c r="K571" s="12">
        <v>8.6974528887968638E-3</v>
      </c>
      <c r="L571" s="12">
        <v>8.7820845475228282E-4</v>
      </c>
      <c r="M571" s="13">
        <f t="shared" si="61"/>
        <v>9.6011354564504246E-3</v>
      </c>
      <c r="N571" s="32">
        <f t="shared" si="62"/>
        <v>136.94245068428515</v>
      </c>
      <c r="O571" s="32">
        <f t="shared" si="63"/>
        <v>116.71890620405786</v>
      </c>
      <c r="P571" s="12" t="str">
        <f t="shared" si="64"/>
        <v/>
      </c>
      <c r="Q571" s="13">
        <f t="shared" si="65"/>
        <v>-3.2482617496476986E-3</v>
      </c>
      <c r="R571" s="49">
        <f t="shared" si="66"/>
        <v>1</v>
      </c>
    </row>
    <row r="572" spans="1:18" x14ac:dyDescent="0.35">
      <c r="A572" s="64" t="s">
        <v>77</v>
      </c>
      <c r="B572" s="14">
        <v>3.41595270064321E-3</v>
      </c>
      <c r="C572" s="12">
        <v>-5.9929582740292364E-4</v>
      </c>
      <c r="D572" s="12">
        <v>1.9964202120337227E-3</v>
      </c>
      <c r="E572" s="12">
        <v>1.1621495525300007E-2</v>
      </c>
      <c r="F572" s="12">
        <v>4.6007296311310064E-3</v>
      </c>
      <c r="G572" s="12">
        <v>-5.032021957913968E-3</v>
      </c>
      <c r="H572" s="12">
        <v>6.8437640702385671E-3</v>
      </c>
      <c r="I572" s="12">
        <v>6.4968814968815458E-3</v>
      </c>
      <c r="J572" s="12">
        <v>3.0236023650435095E-2</v>
      </c>
      <c r="K572" s="12">
        <v>-9.0330527612398903E-3</v>
      </c>
      <c r="L572" s="12">
        <v>1.7309456387349043E-2</v>
      </c>
      <c r="M572" s="13">
        <f t="shared" si="61"/>
        <v>4.3373613505751155E-3</v>
      </c>
      <c r="N572" s="32">
        <f t="shared" si="62"/>
        <v>137.5364195771362</v>
      </c>
      <c r="O572" s="32">
        <f t="shared" si="63"/>
        <v>117.11761246692173</v>
      </c>
      <c r="P572" s="12" t="str">
        <f t="shared" si="64"/>
        <v/>
      </c>
      <c r="Q572" s="13">
        <f t="shared" si="65"/>
        <v>9.2140864993190547E-4</v>
      </c>
      <c r="R572" s="49">
        <f t="shared" si="66"/>
        <v>1</v>
      </c>
    </row>
    <row r="573" spans="1:18" x14ac:dyDescent="0.35">
      <c r="A573" s="64" t="s">
        <v>77</v>
      </c>
      <c r="B573" s="14">
        <v>3.9968166058692578E-3</v>
      </c>
      <c r="C573" s="12">
        <v>1.011918147065427E-2</v>
      </c>
      <c r="D573" s="12">
        <v>2.3359670216418493E-3</v>
      </c>
      <c r="E573" s="12">
        <v>3.0187413525637474E-3</v>
      </c>
      <c r="F573" s="12">
        <v>-1.2306574938971582E-2</v>
      </c>
      <c r="G573" s="12">
        <v>-3.2758620689654627E-3</v>
      </c>
      <c r="H573" s="12">
        <v>-2.5042482783292908E-3</v>
      </c>
      <c r="I573" s="12">
        <v>5.422153369481153E-3</v>
      </c>
      <c r="J573" s="12">
        <v>-8.8652482269502286E-4</v>
      </c>
      <c r="K573" s="12">
        <v>3.3146882121399823E-3</v>
      </c>
      <c r="L573" s="12">
        <v>1.3290469282941864E-2</v>
      </c>
      <c r="M573" s="13">
        <f t="shared" si="61"/>
        <v>5.1078336712117945E-3</v>
      </c>
      <c r="N573" s="32">
        <f t="shared" si="62"/>
        <v>138.23893273207023</v>
      </c>
      <c r="O573" s="32">
        <f t="shared" si="63"/>
        <v>117.58571008526928</v>
      </c>
      <c r="P573" s="12" t="str">
        <f t="shared" si="64"/>
        <v/>
      </c>
      <c r="Q573" s="13">
        <f t="shared" si="65"/>
        <v>1.1110170653425367E-3</v>
      </c>
      <c r="R573" s="49">
        <f t="shared" si="66"/>
        <v>1</v>
      </c>
    </row>
    <row r="574" spans="1:18" x14ac:dyDescent="0.35">
      <c r="A574" s="64" t="s">
        <v>77</v>
      </c>
      <c r="B574" s="14">
        <v>-2.0304619300891558E-3</v>
      </c>
      <c r="C574" s="12">
        <v>8.7563075096468435E-3</v>
      </c>
      <c r="D574" s="12">
        <v>-4.7981355816024696E-3</v>
      </c>
      <c r="E574" s="12">
        <v>4.6816870793797705E-3</v>
      </c>
      <c r="F574" s="12">
        <v>-9.1713136017321784E-3</v>
      </c>
      <c r="G574" s="12">
        <v>-6.1696361644466569E-3</v>
      </c>
      <c r="H574" s="12">
        <v>-2.6898592307000868E-4</v>
      </c>
      <c r="I574" s="12">
        <v>-1.2904468412942904E-2</v>
      </c>
      <c r="J574" s="12">
        <v>-1.2702563863073779E-2</v>
      </c>
      <c r="K574" s="12">
        <v>-5.9880239520957446E-3</v>
      </c>
      <c r="L574" s="12">
        <v>-8.5119554283060728E-3</v>
      </c>
      <c r="M574" s="13">
        <f t="shared" si="61"/>
        <v>-5.9401349357934589E-3</v>
      </c>
      <c r="N574" s="32">
        <f t="shared" si="62"/>
        <v>137.41777481826165</v>
      </c>
      <c r="O574" s="32">
        <f t="shared" si="63"/>
        <v>117.34695677741864</v>
      </c>
      <c r="P574" s="12">
        <f t="shared" si="64"/>
        <v>-5.9401349357934589E-3</v>
      </c>
      <c r="Q574" s="13">
        <f t="shared" si="65"/>
        <v>-3.9096730057043031E-3</v>
      </c>
      <c r="R574" s="49" t="str">
        <f t="shared" si="66"/>
        <v/>
      </c>
    </row>
    <row r="575" spans="1:18" x14ac:dyDescent="0.35">
      <c r="A575" s="64" t="s">
        <v>77</v>
      </c>
      <c r="B575" s="14">
        <v>-1.5562632643191909E-2</v>
      </c>
      <c r="C575" s="12">
        <v>-5.3700161836103266E-3</v>
      </c>
      <c r="D575" s="12">
        <v>-3.2922377574213124E-2</v>
      </c>
      <c r="E575" s="12">
        <v>-1.8889120033284801E-2</v>
      </c>
      <c r="F575" s="12">
        <v>-1.8223798136389857E-2</v>
      </c>
      <c r="G575" s="12">
        <v>-1.5084706428405759E-2</v>
      </c>
      <c r="H575" s="12">
        <v>-1.5874439461883383E-2</v>
      </c>
      <c r="I575" s="12">
        <v>-2.1658536585365984E-2</v>
      </c>
      <c r="J575" s="12">
        <v>-9.4602904309162295E-3</v>
      </c>
      <c r="K575" s="12">
        <v>-2.4719567926879904E-2</v>
      </c>
      <c r="L575" s="12">
        <v>-1.3423866385702032E-2</v>
      </c>
      <c r="M575" s="13">
        <f t="shared" si="61"/>
        <v>-2.3650978891779355E-2</v>
      </c>
      <c r="N575" s="32">
        <f t="shared" si="62"/>
        <v>134.16770992667966</v>
      </c>
      <c r="O575" s="32">
        <f t="shared" si="63"/>
        <v>115.52072919729515</v>
      </c>
      <c r="P575" s="12">
        <f t="shared" si="64"/>
        <v>-2.3650978891779355E-2</v>
      </c>
      <c r="Q575" s="13">
        <f t="shared" si="65"/>
        <v>-8.0883462485874455E-3</v>
      </c>
      <c r="R575" s="49" t="str">
        <f t="shared" si="66"/>
        <v/>
      </c>
    </row>
    <row r="576" spans="1:18" x14ac:dyDescent="0.35">
      <c r="A576" s="64">
        <v>6.93</v>
      </c>
      <c r="B576" s="14">
        <v>-7.6383480195273412E-3</v>
      </c>
      <c r="C576" s="12">
        <v>4.4375416019537539E-4</v>
      </c>
      <c r="D576" s="12">
        <v>1.495619970087736E-3</v>
      </c>
      <c r="E576" s="12">
        <v>-1.6453924769941897E-2</v>
      </c>
      <c r="F576" s="12">
        <v>1.7050226776415212E-2</v>
      </c>
      <c r="G576" s="12">
        <v>-1.3548539114043301E-3</v>
      </c>
      <c r="H576" s="12">
        <v>4.3288070719036398E-3</v>
      </c>
      <c r="I576" s="12">
        <v>-2.3733546071001199E-2</v>
      </c>
      <c r="J576" s="12">
        <v>-1.1078745045604244E-2</v>
      </c>
      <c r="K576" s="12">
        <v>-1.4270500532481356E-2</v>
      </c>
      <c r="L576" s="12">
        <v>-2.7964559765841335E-2</v>
      </c>
      <c r="M576" s="13">
        <f t="shared" si="61"/>
        <v>-1.4396174733340695E-2</v>
      </c>
      <c r="N576" s="32">
        <f t="shared" si="62"/>
        <v>132.23620813100302</v>
      </c>
      <c r="O576" s="32">
        <f t="shared" si="63"/>
        <v>114.63834166421664</v>
      </c>
      <c r="P576" s="12">
        <f t="shared" si="64"/>
        <v>-1.4396174733340695E-2</v>
      </c>
      <c r="Q576" s="13">
        <f t="shared" si="65"/>
        <v>-6.7578267138133537E-3</v>
      </c>
      <c r="R576" s="49" t="str">
        <f t="shared" si="66"/>
        <v/>
      </c>
    </row>
    <row r="577" spans="1:18" x14ac:dyDescent="0.35">
      <c r="A577" s="64" t="s">
        <v>77</v>
      </c>
      <c r="B577" s="14">
        <v>1.8918399015094289E-2</v>
      </c>
      <c r="C577" s="12">
        <v>1.9220817624011177E-2</v>
      </c>
      <c r="D577" s="12">
        <v>4.12459109657215E-3</v>
      </c>
      <c r="E577" s="12">
        <v>3.5743543310481574E-2</v>
      </c>
      <c r="F577" s="12">
        <v>4.8724089520191249E-3</v>
      </c>
      <c r="G577" s="12">
        <v>-4.6599421931221574E-3</v>
      </c>
      <c r="H577" s="12">
        <v>1.769429699196956E-2</v>
      </c>
      <c r="I577" s="12">
        <v>3.2345931222335755E-2</v>
      </c>
      <c r="J577" s="12">
        <v>-1.5935100680863901E-3</v>
      </c>
      <c r="K577" s="12">
        <v>1.2316335350043284E-2</v>
      </c>
      <c r="L577" s="12">
        <v>1.6113936927772077E-2</v>
      </c>
      <c r="M577" s="13">
        <f t="shared" si="61"/>
        <v>1.7824206638494617E-2</v>
      </c>
      <c r="N577" s="32">
        <f t="shared" si="62"/>
        <v>134.59321362982101</v>
      </c>
      <c r="O577" s="32">
        <f t="shared" si="63"/>
        <v>116.80711555424899</v>
      </c>
      <c r="P577" s="12" t="str">
        <f t="shared" si="64"/>
        <v/>
      </c>
      <c r="Q577" s="13">
        <f t="shared" si="65"/>
        <v>-1.0941923765996724E-3</v>
      </c>
      <c r="R577" s="49">
        <f t="shared" si="66"/>
        <v>1</v>
      </c>
    </row>
    <row r="578" spans="1:18" x14ac:dyDescent="0.35">
      <c r="A578" s="64" t="s">
        <v>77</v>
      </c>
      <c r="B578" s="14">
        <v>1.1881357596139619E-2</v>
      </c>
      <c r="C578" s="12">
        <v>2.3500398926525001E-2</v>
      </c>
      <c r="D578" s="12">
        <v>4.674220963172937E-3</v>
      </c>
      <c r="E578" s="12">
        <v>9.8243276996088369E-3</v>
      </c>
      <c r="F578" s="12">
        <v>-1.869658119658224E-3</v>
      </c>
      <c r="G578" s="12">
        <v>-2.5482991584686587E-3</v>
      </c>
      <c r="H578" s="12">
        <v>-5.7955508002316414E-4</v>
      </c>
      <c r="I578" s="12">
        <v>1.5831134564643801E-2</v>
      </c>
      <c r="J578" s="12">
        <v>1.5525246662797532E-2</v>
      </c>
      <c r="K578" s="12">
        <v>1.4941302027748016E-2</v>
      </c>
      <c r="L578" s="12">
        <v>1.1973889712065811E-2</v>
      </c>
      <c r="M578" s="13">
        <f t="shared" si="61"/>
        <v>1.1077395065144444E-2</v>
      </c>
      <c r="N578" s="32">
        <f t="shared" si="62"/>
        <v>136.08415583028591</v>
      </c>
      <c r="O578" s="32">
        <f t="shared" si="63"/>
        <v>118.19494266392263</v>
      </c>
      <c r="P578" s="12" t="str">
        <f t="shared" si="64"/>
        <v/>
      </c>
      <c r="Q578" s="13">
        <f t="shared" si="65"/>
        <v>-8.0396253099517499E-4</v>
      </c>
      <c r="R578" s="49">
        <f t="shared" si="66"/>
        <v>1</v>
      </c>
    </row>
    <row r="579" spans="1:18" x14ac:dyDescent="0.35">
      <c r="A579" s="64" t="s">
        <v>77</v>
      </c>
      <c r="B579" s="14">
        <v>-7.1147641306434917E-4</v>
      </c>
      <c r="C579" s="12">
        <v>1.0063071362766518E-2</v>
      </c>
      <c r="D579" s="12">
        <v>-2.6082052728042537E-3</v>
      </c>
      <c r="E579" s="12">
        <v>-2.2260697501855775E-3</v>
      </c>
      <c r="F579" s="12">
        <v>1.1918239641012018E-2</v>
      </c>
      <c r="G579" s="12">
        <v>0</v>
      </c>
      <c r="H579" s="12">
        <v>-1.2936033544473924E-3</v>
      </c>
      <c r="I579" s="12">
        <v>8.6363636363637752E-3</v>
      </c>
      <c r="J579" s="12">
        <v>9.5727961137304085E-3</v>
      </c>
      <c r="K579" s="12">
        <v>2.5236593059938528E-3</v>
      </c>
      <c r="L579" s="12">
        <v>1.943015433320161E-2</v>
      </c>
      <c r="M579" s="13">
        <f t="shared" si="61"/>
        <v>4.5079140033878274E-3</v>
      </c>
      <c r="N579" s="32">
        <f t="shared" si="62"/>
        <v>136.69761150199247</v>
      </c>
      <c r="O579" s="32">
        <f t="shared" si="63"/>
        <v>118.11084975007375</v>
      </c>
      <c r="P579" s="12" t="str">
        <f t="shared" si="64"/>
        <v/>
      </c>
      <c r="Q579" s="13">
        <f t="shared" si="65"/>
        <v>5.2193904164521765E-3</v>
      </c>
      <c r="R579" s="49">
        <f t="shared" si="66"/>
        <v>1</v>
      </c>
    </row>
    <row r="580" spans="1:18" x14ac:dyDescent="0.35">
      <c r="A580" s="64" t="s">
        <v>77</v>
      </c>
      <c r="B580" s="14">
        <v>-1.8172991946630024E-4</v>
      </c>
      <c r="C580" s="12">
        <v>-4.7007647512803397E-3</v>
      </c>
      <c r="D580" s="12">
        <v>-5.1593752208638488E-3</v>
      </c>
      <c r="E580" s="12">
        <v>-5.9081143612624842E-3</v>
      </c>
      <c r="F580" s="12">
        <v>1.8307567127746616E-3</v>
      </c>
      <c r="G580" s="12">
        <v>7.1297011466935345E-3</v>
      </c>
      <c r="H580" s="12">
        <v>4.5111438652911673E-3</v>
      </c>
      <c r="I580" s="12">
        <v>9.2705852056911286E-3</v>
      </c>
      <c r="J580" s="12">
        <v>3.3021983205963057E-3</v>
      </c>
      <c r="K580" s="12">
        <v>-4.6150618837843549E-3</v>
      </c>
      <c r="L580" s="12">
        <v>3.2219246147275893E-3</v>
      </c>
      <c r="M580" s="13">
        <f t="shared" si="61"/>
        <v>-9.3714367074081151E-4</v>
      </c>
      <c r="N580" s="32">
        <f t="shared" si="62"/>
        <v>136.56950620056799</v>
      </c>
      <c r="O580" s="32">
        <f t="shared" si="63"/>
        <v>118.08938547486058</v>
      </c>
      <c r="P580" s="12">
        <f t="shared" si="64"/>
        <v>-9.3714367074081151E-4</v>
      </c>
      <c r="Q580" s="13">
        <f t="shared" si="65"/>
        <v>-7.5541375127451127E-4</v>
      </c>
      <c r="R580" s="49" t="str">
        <f t="shared" si="66"/>
        <v/>
      </c>
    </row>
    <row r="581" spans="1:18" x14ac:dyDescent="0.35">
      <c r="A581" s="64">
        <v>6.9</v>
      </c>
      <c r="B581" s="14">
        <v>1.1007863115068517E-2</v>
      </c>
      <c r="C581" s="12">
        <v>1.4803327224023555E-2</v>
      </c>
      <c r="D581" s="12">
        <v>-4.4828076157999441E-2</v>
      </c>
      <c r="E581" s="12">
        <v>3.0713602925896533E-2</v>
      </c>
      <c r="F581" s="12">
        <v>-4.0609137055835909E-5</v>
      </c>
      <c r="G581" s="12">
        <v>-3.6576013214559833E-3</v>
      </c>
      <c r="H581" s="12">
        <v>-8.4481991996443462E-4</v>
      </c>
      <c r="I581" s="12">
        <v>-5.6771065892710082E-3</v>
      </c>
      <c r="J581" s="12">
        <v>2.3509497837115312E-4</v>
      </c>
      <c r="K581" s="12">
        <v>-1.0537407797682752E-3</v>
      </c>
      <c r="L581" s="12">
        <v>1.4239281844915741E-2</v>
      </c>
      <c r="M581" s="13">
        <f t="shared" si="61"/>
        <v>-6.9498790944892731E-3</v>
      </c>
      <c r="N581" s="32">
        <f t="shared" si="62"/>
        <v>135.62036464447993</v>
      </c>
      <c r="O581" s="32">
        <f t="shared" si="63"/>
        <v>119.38929726551041</v>
      </c>
      <c r="P581" s="12">
        <f t="shared" si="64"/>
        <v>-6.9498790944892731E-3</v>
      </c>
      <c r="Q581" s="13">
        <f t="shared" si="65"/>
        <v>-1.795774220955779E-2</v>
      </c>
      <c r="R581" s="49" t="str">
        <f t="shared" si="66"/>
        <v/>
      </c>
    </row>
    <row r="582" spans="1:18" x14ac:dyDescent="0.35">
      <c r="A582" s="64" t="s">
        <v>77</v>
      </c>
      <c r="B582" s="14">
        <v>2.4948096630159622E-3</v>
      </c>
      <c r="C582" s="12">
        <v>1.3684356765768291E-2</v>
      </c>
      <c r="D582" s="12">
        <v>-4.4626255113422442E-4</v>
      </c>
      <c r="E582" s="12">
        <v>6.4516129032266001E-4</v>
      </c>
      <c r="F582" s="12">
        <v>-1.3056367771280053E-2</v>
      </c>
      <c r="G582" s="12">
        <v>-3.9078690271774352E-3</v>
      </c>
      <c r="H582" s="12">
        <v>2.9949712963375008E-2</v>
      </c>
      <c r="I582" s="12">
        <v>0.10540159096741086</v>
      </c>
      <c r="J582" s="12">
        <v>-7.3332393174446731E-3</v>
      </c>
      <c r="K582" s="12">
        <v>7.8059071729958962E-3</v>
      </c>
      <c r="L582" s="12">
        <v>9.2324126354341729E-3</v>
      </c>
      <c r="M582" s="13">
        <f t="shared" si="61"/>
        <v>2.3579656589279806E-2</v>
      </c>
      <c r="N582" s="32">
        <f t="shared" si="62"/>
        <v>138.81824626930967</v>
      </c>
      <c r="O582" s="32">
        <f t="shared" si="63"/>
        <v>119.68715083798909</v>
      </c>
      <c r="P582" s="12" t="str">
        <f t="shared" si="64"/>
        <v/>
      </c>
      <c r="Q582" s="13">
        <f t="shared" si="65"/>
        <v>2.1084846926263844E-2</v>
      </c>
      <c r="R582" s="49">
        <f t="shared" si="66"/>
        <v>1</v>
      </c>
    </row>
    <row r="583" spans="1:18" x14ac:dyDescent="0.35">
      <c r="A583" s="64" t="s">
        <v>77</v>
      </c>
      <c r="B583" s="14">
        <v>-1.2968731575016657E-2</v>
      </c>
      <c r="C583" s="12">
        <v>-2.0078119646405823E-2</v>
      </c>
      <c r="D583" s="12">
        <v>6.771337153062218E-3</v>
      </c>
      <c r="E583" s="12">
        <v>-2.1961637653126975E-2</v>
      </c>
      <c r="F583" s="12">
        <v>-5.3492439049473983E-4</v>
      </c>
      <c r="G583" s="12">
        <v>-3.7032633894073519E-2</v>
      </c>
      <c r="H583" s="12">
        <v>-1.0110611821638416E-2</v>
      </c>
      <c r="I583" s="12">
        <v>2.0312227961232221E-3</v>
      </c>
      <c r="J583" s="12">
        <v>-7.1032817161528206E-3</v>
      </c>
      <c r="K583" s="12">
        <v>-8.1641197404228594E-3</v>
      </c>
      <c r="L583" s="12">
        <v>-1.1491645875860046E-2</v>
      </c>
      <c r="M583" s="13">
        <f t="shared" si="61"/>
        <v>-4.5824645492602307E-3</v>
      </c>
      <c r="N583" s="32">
        <f t="shared" si="62"/>
        <v>138.18211657699007</v>
      </c>
      <c r="O583" s="32">
        <f t="shared" si="63"/>
        <v>118.13496030579269</v>
      </c>
      <c r="P583" s="12">
        <f t="shared" si="64"/>
        <v>-4.5824645492602307E-3</v>
      </c>
      <c r="Q583" s="13">
        <f t="shared" si="65"/>
        <v>8.3862670257564258E-3</v>
      </c>
      <c r="R583" s="49" t="str">
        <f t="shared" si="66"/>
        <v/>
      </c>
    </row>
    <row r="584" spans="1:18" x14ac:dyDescent="0.35">
      <c r="A584" s="64" t="s">
        <v>77</v>
      </c>
      <c r="B584" s="14">
        <v>1.4642450911824145E-2</v>
      </c>
      <c r="C584" s="12">
        <v>9.0209790209789809E-3</v>
      </c>
      <c r="D584" s="12">
        <v>-4.2128603104214513E-3</v>
      </c>
      <c r="E584" s="12">
        <v>2.1012731243047256E-2</v>
      </c>
      <c r="F584" s="12">
        <v>2.7583935445357088E-2</v>
      </c>
      <c r="G584" s="12">
        <v>8.7654320987653467E-3</v>
      </c>
      <c r="H584" s="12">
        <v>4.8450458315145717E-3</v>
      </c>
      <c r="I584" s="12">
        <v>1.3147225761612535E-2</v>
      </c>
      <c r="J584" s="12">
        <v>1.5882100443554314E-2</v>
      </c>
      <c r="K584" s="12">
        <v>1.2241452089489124E-2</v>
      </c>
      <c r="L584" s="12">
        <v>-3.5219885277246732E-2</v>
      </c>
      <c r="M584" s="13">
        <f t="shared" si="61"/>
        <v>1.0409222857940756E-3</v>
      </c>
      <c r="N584" s="32">
        <f t="shared" si="62"/>
        <v>138.32595342163324</v>
      </c>
      <c r="O584" s="32">
        <f t="shared" si="63"/>
        <v>119.86474566304055</v>
      </c>
      <c r="P584" s="12" t="str">
        <f t="shared" si="64"/>
        <v/>
      </c>
      <c r="Q584" s="13">
        <f t="shared" si="65"/>
        <v>-1.360152862603007E-2</v>
      </c>
      <c r="R584" s="49">
        <f t="shared" si="66"/>
        <v>1</v>
      </c>
    </row>
    <row r="585" spans="1:18" x14ac:dyDescent="0.35">
      <c r="A585" s="64" t="s">
        <v>77</v>
      </c>
      <c r="B585" s="14">
        <v>1.0452337732424155E-2</v>
      </c>
      <c r="C585" s="12">
        <v>7.9007554231063093E-3</v>
      </c>
      <c r="D585" s="12">
        <v>2.6720106880429029E-3</v>
      </c>
      <c r="E585" s="12">
        <v>1.9934627335458588E-2</v>
      </c>
      <c r="F585" s="12">
        <v>-4.3871071135238582E-3</v>
      </c>
      <c r="G585" s="12">
        <v>9.1788030840778134E-3</v>
      </c>
      <c r="H585" s="12">
        <v>2.9972633682289196E-3</v>
      </c>
      <c r="I585" s="12">
        <v>-7.5458754930542993E-3</v>
      </c>
      <c r="J585" s="12">
        <v>8.215962441314506E-3</v>
      </c>
      <c r="K585" s="12">
        <v>5.4211843202669474E-3</v>
      </c>
      <c r="L585" s="12">
        <v>-1.0900154584010502E-2</v>
      </c>
      <c r="M585" s="13">
        <f t="shared" si="61"/>
        <v>1.408857969301321E-3</v>
      </c>
      <c r="N585" s="32">
        <f t="shared" si="62"/>
        <v>138.52083504347252</v>
      </c>
      <c r="O585" s="32">
        <f t="shared" si="63"/>
        <v>121.11761246692177</v>
      </c>
      <c r="P585" s="12" t="str">
        <f t="shared" si="64"/>
        <v/>
      </c>
      <c r="Q585" s="13">
        <f t="shared" si="65"/>
        <v>-9.0434797631228341E-3</v>
      </c>
      <c r="R585" s="49">
        <f t="shared" si="66"/>
        <v>1</v>
      </c>
    </row>
    <row r="586" spans="1:18" x14ac:dyDescent="0.35">
      <c r="A586" s="64">
        <v>7.01</v>
      </c>
      <c r="B586" s="14">
        <v>1.4699420519954209E-2</v>
      </c>
      <c r="C586" s="12">
        <v>3.7062504297600052E-2</v>
      </c>
      <c r="D586" s="12">
        <v>9.623214153527071E-3</v>
      </c>
      <c r="E586" s="12">
        <v>4.6884272997032683E-2</v>
      </c>
      <c r="F586" s="12">
        <v>-5.2655935613682092E-2</v>
      </c>
      <c r="G586" s="12">
        <v>3.7593984962407401E-3</v>
      </c>
      <c r="H586" s="12">
        <v>-5.8033780857513761E-3</v>
      </c>
      <c r="I586" s="12">
        <v>-2.764817694833388E-3</v>
      </c>
      <c r="J586" s="12">
        <v>-2.519208381839344E-2</v>
      </c>
      <c r="K586" s="12">
        <v>-7.258399004562488E-3</v>
      </c>
      <c r="L586" s="12">
        <v>-1.8594213352568723E-2</v>
      </c>
      <c r="M586" s="13">
        <f t="shared" si="61"/>
        <v>3.8359822025298479E-3</v>
      </c>
      <c r="N586" s="32">
        <f t="shared" si="62"/>
        <v>139.05219850137885</v>
      </c>
      <c r="O586" s="32">
        <f t="shared" si="63"/>
        <v>122.8979711849459</v>
      </c>
      <c r="P586" s="12" t="str">
        <f t="shared" si="64"/>
        <v/>
      </c>
      <c r="Q586" s="13">
        <f t="shared" si="65"/>
        <v>-1.0863438317424361E-2</v>
      </c>
      <c r="R586" s="49">
        <f t="shared" si="66"/>
        <v>1</v>
      </c>
    </row>
    <row r="587" spans="1:18" x14ac:dyDescent="0.35">
      <c r="A587" s="64" t="s">
        <v>77</v>
      </c>
      <c r="B587" s="14">
        <v>-1.0354661511665864E-2</v>
      </c>
      <c r="C587" s="12">
        <v>2.4399946956637164E-2</v>
      </c>
      <c r="D587" s="12">
        <v>4.0325537062835259E-3</v>
      </c>
      <c r="E587" s="12">
        <v>-2.3620559334845082E-2</v>
      </c>
      <c r="F587" s="12">
        <v>2.5274515217805771E-3</v>
      </c>
      <c r="G587" s="12">
        <v>-5.6179775280897903E-3</v>
      </c>
      <c r="H587" s="12">
        <v>2.4830109775222375E-3</v>
      </c>
      <c r="I587" s="12">
        <v>3.309651706809924E-2</v>
      </c>
      <c r="J587" s="12">
        <v>-1.5907136715391235E-2</v>
      </c>
      <c r="K587" s="12">
        <v>-1.3160643409233286E-2</v>
      </c>
      <c r="L587" s="12">
        <v>1.1678236014699861E-2</v>
      </c>
      <c r="M587" s="13">
        <f t="shared" si="61"/>
        <v>3.2405213941508761E-3</v>
      </c>
      <c r="N587" s="32">
        <f t="shared" si="62"/>
        <v>139.50280012552628</v>
      </c>
      <c r="O587" s="32">
        <f t="shared" si="63"/>
        <v>121.62540429285532</v>
      </c>
      <c r="P587" s="12" t="str">
        <f t="shared" si="64"/>
        <v/>
      </c>
      <c r="Q587" s="13">
        <f t="shared" si="65"/>
        <v>1.359518290581674E-2</v>
      </c>
      <c r="R587" s="49">
        <f t="shared" si="66"/>
        <v>1</v>
      </c>
    </row>
    <row r="588" spans="1:18" x14ac:dyDescent="0.35">
      <c r="A588" s="64" t="s">
        <v>77</v>
      </c>
      <c r="B588" s="14">
        <v>-6.1404865973000433E-3</v>
      </c>
      <c r="C588" s="12">
        <v>-1.7928802588996873E-2</v>
      </c>
      <c r="D588" s="12">
        <v>-5.5498758580398988E-3</v>
      </c>
      <c r="E588" s="12">
        <v>-6.1157344687441384E-3</v>
      </c>
      <c r="F588" s="12">
        <v>6.8217448413203652E-3</v>
      </c>
      <c r="G588" s="12">
        <v>-7.5937063361886104E-3</v>
      </c>
      <c r="H588" s="12">
        <v>-2.9983053056967801E-3</v>
      </c>
      <c r="I588" s="12">
        <v>-1.3306496701330772E-2</v>
      </c>
      <c r="J588" s="12">
        <v>3.8833066356003254E-3</v>
      </c>
      <c r="K588" s="12">
        <v>-7.4089754445385569E-3</v>
      </c>
      <c r="L588" s="12">
        <v>1.4772360348724645E-2</v>
      </c>
      <c r="M588" s="13">
        <f t="shared" si="61"/>
        <v>-4.0804950570107312E-3</v>
      </c>
      <c r="N588" s="32">
        <f t="shared" si="62"/>
        <v>138.93355963917492</v>
      </c>
      <c r="O588" s="32">
        <f t="shared" si="63"/>
        <v>120.87856512790384</v>
      </c>
      <c r="P588" s="12">
        <f t="shared" si="64"/>
        <v>-4.0804950570107312E-3</v>
      </c>
      <c r="Q588" s="13">
        <f t="shared" si="65"/>
        <v>2.0599915402893122E-3</v>
      </c>
      <c r="R588" s="49" t="str">
        <f t="shared" si="66"/>
        <v/>
      </c>
    </row>
    <row r="589" spans="1:18" x14ac:dyDescent="0.35">
      <c r="A589" s="64" t="s">
        <v>77</v>
      </c>
      <c r="B589" s="14">
        <v>1.2872529846171821E-2</v>
      </c>
      <c r="C589" s="12">
        <v>1.9244710999802406E-2</v>
      </c>
      <c r="D589" s="12">
        <v>-2.4966955500074217E-3</v>
      </c>
      <c r="E589" s="12">
        <v>4.2022043073567827E-2</v>
      </c>
      <c r="F589" s="12">
        <v>3.450887972392902E-3</v>
      </c>
      <c r="G589" s="12">
        <v>2.4485798237017242E-4</v>
      </c>
      <c r="H589" s="12">
        <v>8.1938633193863186E-3</v>
      </c>
      <c r="I589" s="12">
        <v>1.2579329102447856E-2</v>
      </c>
      <c r="J589" s="12">
        <v>3.8441081185629278E-2</v>
      </c>
      <c r="K589" s="12">
        <v>2.1326508850501025E-3</v>
      </c>
      <c r="L589" s="12">
        <v>-7.0002386444991682E-3</v>
      </c>
      <c r="M589" s="13">
        <f t="shared" si="61"/>
        <v>6.8607037010738007E-3</v>
      </c>
      <c r="N589" s="32">
        <f t="shared" si="62"/>
        <v>139.88674162599474</v>
      </c>
      <c r="O589" s="32">
        <f t="shared" si="63"/>
        <v>122.4345780652752</v>
      </c>
      <c r="P589" s="12" t="str">
        <f t="shared" si="64"/>
        <v/>
      </c>
      <c r="Q589" s="13">
        <f t="shared" si="65"/>
        <v>-6.01182614509802E-3</v>
      </c>
      <c r="R589" s="49">
        <f t="shared" si="66"/>
        <v>1</v>
      </c>
    </row>
    <row r="590" spans="1:18" x14ac:dyDescent="0.35">
      <c r="A590" s="64" t="s">
        <v>77</v>
      </c>
      <c r="B590" s="14">
        <v>-1.1080691642651352E-2</v>
      </c>
      <c r="C590" s="12">
        <v>-1.7652764306498647E-2</v>
      </c>
      <c r="D590" s="12">
        <v>1.0306242638398189E-3</v>
      </c>
      <c r="E590" s="12">
        <v>-3.1021079384062622E-3</v>
      </c>
      <c r="F590" s="12">
        <v>1.3294749203153877E-2</v>
      </c>
      <c r="G590" s="12">
        <v>1.2851897184822381E-3</v>
      </c>
      <c r="H590" s="12">
        <v>-4.8417776240705646E-3</v>
      </c>
      <c r="I590" s="12">
        <v>1.6787912702853625E-3</v>
      </c>
      <c r="J590" s="12">
        <v>-5.8670143415905374E-3</v>
      </c>
      <c r="K590" s="12">
        <v>-5.3202809108321425E-3</v>
      </c>
      <c r="L590" s="12">
        <v>-3.1643034526955827E-3</v>
      </c>
      <c r="M590" s="13">
        <f t="shared" si="61"/>
        <v>-1.5535820677761254E-3</v>
      </c>
      <c r="N590" s="32">
        <f t="shared" si="62"/>
        <v>139.66941609268497</v>
      </c>
      <c r="O590" s="32">
        <f t="shared" si="63"/>
        <v>121.07791825933576</v>
      </c>
      <c r="P590" s="12">
        <f t="shared" si="64"/>
        <v>-1.5535820677761254E-3</v>
      </c>
      <c r="Q590" s="13">
        <f t="shared" si="65"/>
        <v>9.5271095748752262E-3</v>
      </c>
      <c r="R590" s="49" t="str">
        <f t="shared" si="66"/>
        <v/>
      </c>
    </row>
    <row r="591" spans="1:18" x14ac:dyDescent="0.35">
      <c r="A591" s="64">
        <v>7.32</v>
      </c>
      <c r="B591" s="14">
        <v>-8.8298290859815109E-3</v>
      </c>
      <c r="C591" s="12">
        <v>-6.911532385465935E-3</v>
      </c>
      <c r="D591" s="12">
        <v>-1.6399470510369052E-2</v>
      </c>
      <c r="E591" s="12">
        <v>-1.165973081393179E-2</v>
      </c>
      <c r="F591" s="12">
        <v>5.1943214270933069E-3</v>
      </c>
      <c r="G591" s="12">
        <v>-1.3507731801234657E-2</v>
      </c>
      <c r="H591" s="12">
        <v>-3.6924413553431901E-3</v>
      </c>
      <c r="I591" s="12">
        <v>2.067039106145252E-3</v>
      </c>
      <c r="J591" s="12">
        <v>-7.0725995316158752E-3</v>
      </c>
      <c r="K591" s="12">
        <v>9.199828840393609E-3</v>
      </c>
      <c r="L591" s="12">
        <v>-1.0407039819986363E-2</v>
      </c>
      <c r="M591" s="13">
        <f t="shared" si="61"/>
        <v>-5.4373226609021087E-3</v>
      </c>
      <c r="N591" s="32">
        <f t="shared" si="62"/>
        <v>138.90998841152924</v>
      </c>
      <c r="O591" s="32">
        <f t="shared" si="63"/>
        <v>120.00882093501939</v>
      </c>
      <c r="P591" s="12">
        <f t="shared" si="64"/>
        <v>-5.4373226609021087E-3</v>
      </c>
      <c r="Q591" s="13">
        <f t="shared" si="65"/>
        <v>3.3925064250794022E-3</v>
      </c>
      <c r="R591" s="49" t="str">
        <f t="shared" si="66"/>
        <v/>
      </c>
    </row>
    <row r="592" spans="1:18" x14ac:dyDescent="0.35">
      <c r="A592" s="64" t="s">
        <v>77</v>
      </c>
      <c r="B592" s="14">
        <v>2.1952713463186946E-3</v>
      </c>
      <c r="C592" s="12">
        <v>9.279512162787551E-4</v>
      </c>
      <c r="D592" s="12">
        <v>1.3831775700934523E-2</v>
      </c>
      <c r="E592" s="12">
        <v>-1.9725362263863788E-3</v>
      </c>
      <c r="F592" s="12">
        <v>1.7540608980297634E-2</v>
      </c>
      <c r="G592" s="12">
        <v>4.646840148698983E-3</v>
      </c>
      <c r="H592" s="12">
        <v>-9.3743187268366945E-3</v>
      </c>
      <c r="I592" s="12">
        <v>-6.6900819535042899E-4</v>
      </c>
      <c r="J592" s="12">
        <v>4.2454832775129514E-3</v>
      </c>
      <c r="K592" s="12">
        <v>1.5687937248250794E-2</v>
      </c>
      <c r="L592" s="12">
        <v>5.6439824589897825E-3</v>
      </c>
      <c r="M592" s="13">
        <f t="shared" si="61"/>
        <v>7.866342215586573E-3</v>
      </c>
      <c r="N592" s="32">
        <f t="shared" si="62"/>
        <v>140.00270191753748</v>
      </c>
      <c r="O592" s="32">
        <f t="shared" si="63"/>
        <v>120.27227286092352</v>
      </c>
      <c r="P592" s="12" t="str">
        <f t="shared" si="64"/>
        <v/>
      </c>
      <c r="Q592" s="13">
        <f t="shared" si="65"/>
        <v>5.6710708692678784E-3</v>
      </c>
      <c r="R592" s="49">
        <f t="shared" si="66"/>
        <v>1</v>
      </c>
    </row>
    <row r="593" spans="1:18" x14ac:dyDescent="0.35">
      <c r="A593" s="64" t="s">
        <v>77</v>
      </c>
      <c r="B593" s="14">
        <v>1.1448590134117032E-2</v>
      </c>
      <c r="C593" s="12">
        <v>1.8806701542944282E-2</v>
      </c>
      <c r="D593" s="12">
        <v>1.2905604719763986E-2</v>
      </c>
      <c r="E593" s="12">
        <v>3.1242873432155038E-2</v>
      </c>
      <c r="F593" s="12">
        <v>2.2255943348508112E-3</v>
      </c>
      <c r="G593" s="12">
        <v>3.7002775208139216E-3</v>
      </c>
      <c r="H593" s="12">
        <v>7.3943661971831443E-3</v>
      </c>
      <c r="I593" s="12">
        <v>1.1603905160390671E-2</v>
      </c>
      <c r="J593" s="12">
        <v>1.2964441730471288E-2</v>
      </c>
      <c r="K593" s="12">
        <v>1.5236902525568752E-2</v>
      </c>
      <c r="L593" s="12">
        <v>1.9380627447813659E-3</v>
      </c>
      <c r="M593" s="13">
        <f t="shared" ref="M593:M656" si="67">SUMPRODUCT($C$2:$L$2,C593:L593)</f>
        <v>1.3858190708123105E-2</v>
      </c>
      <c r="N593" s="32">
        <f t="shared" ref="N593:N656" si="68">+(N592*(1+M593))</f>
        <v>141.94288606036321</v>
      </c>
      <c r="O593" s="32">
        <f t="shared" ref="O593:O656" si="69">+(O592*(1+B593))</f>
        <v>121.64922081740693</v>
      </c>
      <c r="P593" s="12" t="str">
        <f t="shared" ref="P593:P656" si="70">+IF(M593&lt;0,M593,"")</f>
        <v/>
      </c>
      <c r="Q593" s="13">
        <f t="shared" ref="Q593:Q656" si="71">M593-B593</f>
        <v>2.4096005740060732E-3</v>
      </c>
      <c r="R593" s="49">
        <f t="shared" ref="R593:R656" si="72">+IF(M593&gt;0,1,"")</f>
        <v>1</v>
      </c>
    </row>
    <row r="594" spans="1:18" x14ac:dyDescent="0.35">
      <c r="A594" s="64" t="s">
        <v>77</v>
      </c>
      <c r="B594" s="14">
        <v>-2.8037676836767389E-4</v>
      </c>
      <c r="C594" s="12">
        <v>-4.22489437764062E-3</v>
      </c>
      <c r="D594" s="12">
        <v>-9.7560975609756184E-3</v>
      </c>
      <c r="E594" s="12">
        <v>3.1328320802006537E-3</v>
      </c>
      <c r="F594" s="12">
        <v>-5.0873120016150519E-3</v>
      </c>
      <c r="G594" s="12">
        <v>-4.362519201228876E-3</v>
      </c>
      <c r="H594" s="12">
        <v>2.2282418734707043E-3</v>
      </c>
      <c r="I594" s="12">
        <v>-1.7095902498207582E-3</v>
      </c>
      <c r="J594" s="12">
        <v>1.2984001854857263E-2</v>
      </c>
      <c r="K594" s="12">
        <v>-2.8782894736841813E-3</v>
      </c>
      <c r="L594" s="12">
        <v>-1.5273020350594413E-2</v>
      </c>
      <c r="M594" s="13">
        <f t="shared" si="67"/>
        <v>-5.8156994470291452E-3</v>
      </c>
      <c r="N594" s="32">
        <f t="shared" si="68"/>
        <v>141.11738889639221</v>
      </c>
      <c r="O594" s="32">
        <f t="shared" si="69"/>
        <v>121.61511320199969</v>
      </c>
      <c r="P594" s="12">
        <f t="shared" si="70"/>
        <v>-5.8156994470291452E-3</v>
      </c>
      <c r="Q594" s="13">
        <f t="shared" si="71"/>
        <v>-5.5353226786614713E-3</v>
      </c>
      <c r="R594" s="49" t="str">
        <f t="shared" si="72"/>
        <v/>
      </c>
    </row>
    <row r="595" spans="1:18" x14ac:dyDescent="0.35">
      <c r="A595" s="64" t="s">
        <v>77</v>
      </c>
      <c r="B595" s="14">
        <v>2.7731236687436045E-3</v>
      </c>
      <c r="C595" s="12">
        <v>1.3903394255874835E-2</v>
      </c>
      <c r="D595" s="12">
        <v>2.8674362179252899E-3</v>
      </c>
      <c r="E595" s="12">
        <v>-1.0471396553624612E-2</v>
      </c>
      <c r="F595" s="12">
        <v>-3.2059736623175628E-3</v>
      </c>
      <c r="G595" s="12">
        <v>-1.6477412984448159E-2</v>
      </c>
      <c r="H595" s="12">
        <v>-2.0489123327084302E-3</v>
      </c>
      <c r="I595" s="12">
        <v>-1.9334880123744735E-3</v>
      </c>
      <c r="J595" s="12">
        <v>-4.6234836346989994E-3</v>
      </c>
      <c r="K595" s="12">
        <v>7.4226804123711521E-3</v>
      </c>
      <c r="L595" s="12">
        <v>1.7760680962514153E-2</v>
      </c>
      <c r="M595" s="13">
        <f t="shared" si="67"/>
        <v>3.6431261297781531E-3</v>
      </c>
      <c r="N595" s="32">
        <f t="shared" si="68"/>
        <v>141.63149734324674</v>
      </c>
      <c r="O595" s="32">
        <f t="shared" si="69"/>
        <v>121.95236695089709</v>
      </c>
      <c r="P595" s="12" t="str">
        <f t="shared" si="70"/>
        <v/>
      </c>
      <c r="Q595" s="13">
        <f t="shared" si="71"/>
        <v>8.7000246103454857E-4</v>
      </c>
      <c r="R595" s="49">
        <f t="shared" si="72"/>
        <v>1</v>
      </c>
    </row>
    <row r="596" spans="1:18" x14ac:dyDescent="0.35">
      <c r="A596" s="64">
        <v>7.15</v>
      </c>
      <c r="B596" s="14">
        <v>-1.378869707782826E-2</v>
      </c>
      <c r="C596" s="12">
        <v>-1.0429408356402492E-2</v>
      </c>
      <c r="D596" s="12">
        <v>-1.0263929618768319E-2</v>
      </c>
      <c r="E596" s="12">
        <v>-2.662260507945946E-2</v>
      </c>
      <c r="F596" s="12">
        <v>-7.9389312977098392E-3</v>
      </c>
      <c r="G596" s="12">
        <v>-7.0904185229340166E-3</v>
      </c>
      <c r="H596" s="12">
        <v>-1.3498165297920584E-2</v>
      </c>
      <c r="I596" s="12">
        <v>-1.5110422316931382E-2</v>
      </c>
      <c r="J596" s="12">
        <v>-2.4052612214863878E-2</v>
      </c>
      <c r="K596" s="12">
        <v>-1.5759312320916874E-2</v>
      </c>
      <c r="L596" s="12">
        <v>-8.7655810213107532E-3</v>
      </c>
      <c r="M596" s="13">
        <f t="shared" si="67"/>
        <v>-1.4444558188474795E-2</v>
      </c>
      <c r="N596" s="32">
        <f t="shared" si="68"/>
        <v>139.5856929385514</v>
      </c>
      <c r="O596" s="32">
        <f t="shared" si="69"/>
        <v>120.27080270508701</v>
      </c>
      <c r="P596" s="12">
        <f t="shared" si="70"/>
        <v>-1.4444558188474795E-2</v>
      </c>
      <c r="Q596" s="13">
        <f t="shared" si="71"/>
        <v>-6.5586111064653424E-4</v>
      </c>
      <c r="R596" s="49" t="str">
        <f t="shared" si="72"/>
        <v/>
      </c>
    </row>
    <row r="597" spans="1:18" x14ac:dyDescent="0.35">
      <c r="A597" s="64" t="s">
        <v>77</v>
      </c>
      <c r="B597" s="14">
        <v>-2.7674487398573477E-3</v>
      </c>
      <c r="C597" s="12">
        <v>-7.5466788107474425E-3</v>
      </c>
      <c r="D597" s="12">
        <v>1.4814814814823052E-4</v>
      </c>
      <c r="E597" s="12">
        <v>-1.5601754720579675E-2</v>
      </c>
      <c r="F597" s="12">
        <v>2.4068944290550842E-2</v>
      </c>
      <c r="G597" s="12">
        <v>1.3586956521739024E-2</v>
      </c>
      <c r="H597" s="12">
        <v>-1.0051808882788005E-2</v>
      </c>
      <c r="I597" s="12">
        <v>-3.5967179948296346E-3</v>
      </c>
      <c r="J597" s="12">
        <v>-2.5917723010225879E-3</v>
      </c>
      <c r="K597" s="12">
        <v>1.4971927635683002E-2</v>
      </c>
      <c r="L597" s="12">
        <v>5.1517118286548147E-3</v>
      </c>
      <c r="M597" s="13">
        <f t="shared" si="67"/>
        <v>1.4074475605698863E-3</v>
      </c>
      <c r="N597" s="32">
        <f t="shared" si="68"/>
        <v>139.78215248156823</v>
      </c>
      <c r="O597" s="32">
        <f t="shared" si="69"/>
        <v>119.93795942369918</v>
      </c>
      <c r="P597" s="12" t="str">
        <f t="shared" si="70"/>
        <v/>
      </c>
      <c r="Q597" s="13">
        <f t="shared" si="71"/>
        <v>4.1748963004272343E-3</v>
      </c>
      <c r="R597" s="49">
        <f t="shared" si="72"/>
        <v>1</v>
      </c>
    </row>
    <row r="598" spans="1:18" x14ac:dyDescent="0.35">
      <c r="A598" s="64" t="s">
        <v>77</v>
      </c>
      <c r="B598" s="14">
        <v>-2.0041234687148357E-2</v>
      </c>
      <c r="C598" s="12">
        <v>-2.6679777122255111E-2</v>
      </c>
      <c r="D598" s="12">
        <v>-2.4514886683454362E-2</v>
      </c>
      <c r="E598" s="12">
        <v>-2.0886615515771534E-2</v>
      </c>
      <c r="F598" s="12">
        <v>-1.5568646309208956E-2</v>
      </c>
      <c r="G598" s="12">
        <v>-1.4901178377704216E-2</v>
      </c>
      <c r="H598" s="12">
        <v>-1.3150831991411649E-2</v>
      </c>
      <c r="I598" s="12">
        <v>-2.154540327129173E-2</v>
      </c>
      <c r="J598" s="12">
        <v>-2.9008787678352022E-2</v>
      </c>
      <c r="K598" s="12">
        <v>6.1462814996926518E-3</v>
      </c>
      <c r="L598" s="12">
        <v>-2.857258162153431E-2</v>
      </c>
      <c r="M598" s="13">
        <f t="shared" si="67"/>
        <v>-1.7268282050986222E-2</v>
      </c>
      <c r="N598" s="32">
        <f t="shared" si="68"/>
        <v>137.36835484682254</v>
      </c>
      <c r="O598" s="32">
        <f t="shared" si="69"/>
        <v>117.53425463099116</v>
      </c>
      <c r="P598" s="12">
        <f t="shared" si="70"/>
        <v>-1.7268282050986222E-2</v>
      </c>
      <c r="Q598" s="13">
        <f t="shared" si="71"/>
        <v>2.7729526361621355E-3</v>
      </c>
      <c r="R598" s="49" t="str">
        <f t="shared" si="72"/>
        <v/>
      </c>
    </row>
    <row r="599" spans="1:18" x14ac:dyDescent="0.35">
      <c r="A599" s="64" t="s">
        <v>77</v>
      </c>
      <c r="B599" s="14">
        <v>-1.5735464083616035E-3</v>
      </c>
      <c r="C599" s="12">
        <v>2.8960129310344751E-3</v>
      </c>
      <c r="D599" s="12">
        <v>-5.618404069546834E-3</v>
      </c>
      <c r="E599" s="12">
        <v>-4.590968456880451E-3</v>
      </c>
      <c r="F599" s="12">
        <v>-4.9256070505383498E-3</v>
      </c>
      <c r="G599" s="12">
        <v>-1.39240506329108E-3</v>
      </c>
      <c r="H599" s="12">
        <v>-2.719608376393734E-3</v>
      </c>
      <c r="I599" s="12">
        <v>7.0325109522710871E-3</v>
      </c>
      <c r="J599" s="12">
        <v>1.1677695601399751E-3</v>
      </c>
      <c r="K599" s="12">
        <v>-2.0973325188352709E-2</v>
      </c>
      <c r="L599" s="12">
        <v>-1.1715342112916027E-2</v>
      </c>
      <c r="M599" s="13">
        <f t="shared" si="67"/>
        <v>-7.5130545000161569E-3</v>
      </c>
      <c r="N599" s="32">
        <f t="shared" si="68"/>
        <v>136.33629891028082</v>
      </c>
      <c r="O599" s="32">
        <f t="shared" si="69"/>
        <v>117.3493090267571</v>
      </c>
      <c r="P599" s="12">
        <f t="shared" si="70"/>
        <v>-7.5130545000161569E-3</v>
      </c>
      <c r="Q599" s="13">
        <f t="shared" si="71"/>
        <v>-5.9395080916545533E-3</v>
      </c>
      <c r="R599" s="49" t="str">
        <f t="shared" si="72"/>
        <v/>
      </c>
    </row>
    <row r="600" spans="1:18" x14ac:dyDescent="0.35">
      <c r="A600" s="64" t="s">
        <v>77</v>
      </c>
      <c r="B600" s="14">
        <v>5.3294245875146196E-3</v>
      </c>
      <c r="C600" s="12">
        <v>3.2905782015983931E-3</v>
      </c>
      <c r="D600" s="12">
        <v>-1.3743605405818204E-3</v>
      </c>
      <c r="E600" s="12">
        <v>1.2961711263965725E-2</v>
      </c>
      <c r="F600" s="12">
        <v>5.7272597107733692E-3</v>
      </c>
      <c r="G600" s="12">
        <v>-3.1689694511349842E-4</v>
      </c>
      <c r="H600" s="12">
        <v>5.0449959094627239E-3</v>
      </c>
      <c r="I600" s="12">
        <v>2.5186033199771085E-3</v>
      </c>
      <c r="J600" s="12">
        <v>1.151827371695191E-2</v>
      </c>
      <c r="K600" s="12">
        <v>-1.4975041597337757E-2</v>
      </c>
      <c r="L600" s="12">
        <v>2.522174114085729E-4</v>
      </c>
      <c r="M600" s="13">
        <f t="shared" si="67"/>
        <v>-1.3998394254586802E-3</v>
      </c>
      <c r="N600" s="32">
        <f t="shared" si="68"/>
        <v>136.1454499839451</v>
      </c>
      <c r="O600" s="32">
        <f t="shared" si="69"/>
        <v>117.97471331961215</v>
      </c>
      <c r="P600" s="12">
        <f t="shared" si="70"/>
        <v>-1.3998394254586802E-3</v>
      </c>
      <c r="Q600" s="13">
        <f t="shared" si="71"/>
        <v>-6.7292640129732999E-3</v>
      </c>
      <c r="R600" s="49" t="str">
        <f t="shared" si="72"/>
        <v/>
      </c>
    </row>
    <row r="601" spans="1:18" x14ac:dyDescent="0.35">
      <c r="A601" s="64">
        <v>7.5</v>
      </c>
      <c r="B601" s="14">
        <v>-1.0537544363360851E-2</v>
      </c>
      <c r="C601" s="12">
        <v>-1.8005354752342662E-2</v>
      </c>
      <c r="D601" s="12">
        <v>-1.682085786375076E-3</v>
      </c>
      <c r="E601" s="12">
        <v>-2.1784354515837823E-2</v>
      </c>
      <c r="F601" s="12">
        <v>-1.4968781142589926E-2</v>
      </c>
      <c r="G601" s="12">
        <v>-1.1158308501870273E-2</v>
      </c>
      <c r="H601" s="12">
        <v>-7.1451182562293214E-3</v>
      </c>
      <c r="I601" s="12">
        <v>-5.0816489665409526E-3</v>
      </c>
      <c r="J601" s="12">
        <v>-4.7950799980781222E-2</v>
      </c>
      <c r="K601" s="12">
        <v>2.7449324324324564E-3</v>
      </c>
      <c r="L601" s="12">
        <v>-7.4805631435175268E-3</v>
      </c>
      <c r="M601" s="13">
        <f t="shared" si="67"/>
        <v>-5.1252819665049765E-3</v>
      </c>
      <c r="N601" s="32">
        <f t="shared" si="68"/>
        <v>135.44766616432068</v>
      </c>
      <c r="O601" s="32">
        <f t="shared" si="69"/>
        <v>116.73154954425196</v>
      </c>
      <c r="P601" s="12">
        <f t="shared" si="70"/>
        <v>-5.1252819665049765E-3</v>
      </c>
      <c r="Q601" s="13">
        <f t="shared" si="71"/>
        <v>5.4122623968558747E-3</v>
      </c>
      <c r="R601" s="49" t="str">
        <f t="shared" si="72"/>
        <v/>
      </c>
    </row>
    <row r="602" spans="1:18" x14ac:dyDescent="0.35">
      <c r="A602" s="64" t="s">
        <v>77</v>
      </c>
      <c r="B602" s="14">
        <v>3.0730168965551474E-3</v>
      </c>
      <c r="C602" s="12">
        <v>8.2475632199576765E-3</v>
      </c>
      <c r="D602" s="12">
        <v>-6.1269816956410761E-4</v>
      </c>
      <c r="E602" s="12">
        <v>3.7717679158975059E-3</v>
      </c>
      <c r="F602" s="12">
        <v>-2.0853550265315102E-3</v>
      </c>
      <c r="G602" s="12">
        <v>-2.17990639225496E-3</v>
      </c>
      <c r="H602" s="12">
        <v>3.6438168982007024E-3</v>
      </c>
      <c r="I602" s="12">
        <v>-5.451936872309826E-3</v>
      </c>
      <c r="J602" s="12">
        <v>1.1657834973505032E-2</v>
      </c>
      <c r="K602" s="12">
        <v>-7.159401979364155E-3</v>
      </c>
      <c r="L602" s="12">
        <v>1.6132446966168557E-2</v>
      </c>
      <c r="M602" s="13">
        <f t="shared" si="67"/>
        <v>4.4860288566283364E-4</v>
      </c>
      <c r="N602" s="32">
        <f t="shared" si="68"/>
        <v>135.50842837821827</v>
      </c>
      <c r="O602" s="32">
        <f t="shared" si="69"/>
        <v>117.09026756836251</v>
      </c>
      <c r="P602" s="12" t="str">
        <f t="shared" si="70"/>
        <v/>
      </c>
      <c r="Q602" s="13">
        <f t="shared" si="71"/>
        <v>-2.6244140108923138E-3</v>
      </c>
      <c r="R602" s="49">
        <f t="shared" si="72"/>
        <v>1</v>
      </c>
    </row>
    <row r="603" spans="1:18" x14ac:dyDescent="0.35">
      <c r="A603" s="64" t="s">
        <v>77</v>
      </c>
      <c r="B603" s="14">
        <v>-3.0359797500902896E-3</v>
      </c>
      <c r="C603" s="12">
        <v>-3.4478096268252267E-3</v>
      </c>
      <c r="D603" s="12">
        <v>-9.1194727565330203E-3</v>
      </c>
      <c r="E603" s="12">
        <v>-2.9581068116405485E-3</v>
      </c>
      <c r="F603" s="12">
        <v>-1.5269386741703195E-2</v>
      </c>
      <c r="G603" s="12">
        <v>-1.5228426395939132E-2</v>
      </c>
      <c r="H603" s="12">
        <v>-1.8606761969593988E-3</v>
      </c>
      <c r="I603" s="12">
        <v>3.9815349105596365E-3</v>
      </c>
      <c r="J603" s="12">
        <v>5.4374937643419941E-3</v>
      </c>
      <c r="K603" s="12">
        <v>4.8780487804878092E-3</v>
      </c>
      <c r="L603" s="12">
        <v>-1.7918159846652681E-3</v>
      </c>
      <c r="M603" s="13">
        <f t="shared" si="67"/>
        <v>-1.3619411284411611E-3</v>
      </c>
      <c r="N603" s="32">
        <f t="shared" si="68"/>
        <v>135.32387387635956</v>
      </c>
      <c r="O603" s="32">
        <f t="shared" si="69"/>
        <v>116.73478388709231</v>
      </c>
      <c r="P603" s="12">
        <f t="shared" si="70"/>
        <v>-1.3619411284411611E-3</v>
      </c>
      <c r="Q603" s="13">
        <f t="shared" si="71"/>
        <v>1.6740386216491285E-3</v>
      </c>
      <c r="R603" s="49" t="str">
        <f t="shared" si="72"/>
        <v/>
      </c>
    </row>
    <row r="604" spans="1:18" x14ac:dyDescent="0.35">
      <c r="A604" s="64" t="s">
        <v>77</v>
      </c>
      <c r="B604" s="14">
        <v>-4.7252622696876134E-3</v>
      </c>
      <c r="C604" s="12">
        <v>-1.4245980598331154E-2</v>
      </c>
      <c r="D604" s="12">
        <v>-8.584686774942063E-3</v>
      </c>
      <c r="E604" s="12">
        <v>-1.2629299975944086E-2</v>
      </c>
      <c r="F604" s="12">
        <v>-1.5127957305541839E-3</v>
      </c>
      <c r="G604" s="12">
        <v>-4.5021532037060608E-3</v>
      </c>
      <c r="H604" s="12">
        <v>-7.1837773938345784E-3</v>
      </c>
      <c r="I604" s="12">
        <v>1.1035116960744773E-2</v>
      </c>
      <c r="J604" s="12">
        <v>1.4884644008930747E-2</v>
      </c>
      <c r="K604" s="12">
        <v>-1.3929928239763689E-2</v>
      </c>
      <c r="L604" s="12">
        <v>3.8071383844708651E-2</v>
      </c>
      <c r="M604" s="13">
        <f t="shared" si="67"/>
        <v>1.3729635848174077E-3</v>
      </c>
      <c r="N604" s="32">
        <f t="shared" si="68"/>
        <v>135.50966862734822</v>
      </c>
      <c r="O604" s="32">
        <f t="shared" si="69"/>
        <v>116.18318141723049</v>
      </c>
      <c r="P604" s="12" t="str">
        <f t="shared" si="70"/>
        <v/>
      </c>
      <c r="Q604" s="13">
        <f t="shared" si="71"/>
        <v>6.0982258545050211E-3</v>
      </c>
      <c r="R604" s="49">
        <f t="shared" si="72"/>
        <v>1</v>
      </c>
    </row>
    <row r="605" spans="1:18" x14ac:dyDescent="0.35">
      <c r="A605" s="64" t="s">
        <v>77</v>
      </c>
      <c r="B605" s="14">
        <v>7.5821419804169565E-3</v>
      </c>
      <c r="C605" s="12">
        <v>4.1291032964008156E-3</v>
      </c>
      <c r="D605" s="12">
        <v>5.7726811763789687E-3</v>
      </c>
      <c r="E605" s="12">
        <v>1.9653226133918178E-2</v>
      </c>
      <c r="F605" s="12">
        <v>5.21863557931046E-3</v>
      </c>
      <c r="G605" s="12">
        <v>-7.8652421839153774E-4</v>
      </c>
      <c r="H605" s="12">
        <v>3.2057153324784871E-3</v>
      </c>
      <c r="I605" s="12">
        <v>-3.2402933318174121E-3</v>
      </c>
      <c r="J605" s="12">
        <v>2.6937179173796011E-2</v>
      </c>
      <c r="K605" s="12">
        <v>2.3544520547944536E-3</v>
      </c>
      <c r="L605" s="12">
        <v>1.4115092290988063E-2</v>
      </c>
      <c r="M605" s="13">
        <f t="shared" si="67"/>
        <v>6.6200403163475911E-3</v>
      </c>
      <c r="N605" s="32">
        <f t="shared" si="68"/>
        <v>136.40674809691617</v>
      </c>
      <c r="O605" s="32">
        <f t="shared" si="69"/>
        <v>117.06409879447247</v>
      </c>
      <c r="P605" s="12" t="str">
        <f t="shared" si="70"/>
        <v/>
      </c>
      <c r="Q605" s="13">
        <f t="shared" si="71"/>
        <v>-9.621016640693654E-4</v>
      </c>
      <c r="R605" s="49">
        <f t="shared" si="72"/>
        <v>1</v>
      </c>
    </row>
    <row r="606" spans="1:18" x14ac:dyDescent="0.35">
      <c r="A606" s="64">
        <v>7.56</v>
      </c>
      <c r="B606" s="14">
        <v>1.61477890665227E-2</v>
      </c>
      <c r="C606" s="12">
        <v>3.5090124049071303E-2</v>
      </c>
      <c r="D606" s="12">
        <v>5.5068641898703419E-3</v>
      </c>
      <c r="E606" s="12">
        <v>1.6646091354386439E-2</v>
      </c>
      <c r="F606" s="12">
        <v>1.8002930709650755E-3</v>
      </c>
      <c r="G606" s="12">
        <v>1.0298458510987318E-2</v>
      </c>
      <c r="H606" s="12">
        <v>2.150095864146806E-2</v>
      </c>
      <c r="I606" s="12">
        <v>2.1387019504961691E-2</v>
      </c>
      <c r="J606" s="12">
        <v>2.4040750261830057E-2</v>
      </c>
      <c r="K606" s="12">
        <v>1.2812299807816174E-3</v>
      </c>
      <c r="L606" s="12">
        <v>1.2411769371084125E-2</v>
      </c>
      <c r="M606" s="13">
        <f t="shared" si="67"/>
        <v>1.0341305482392397E-2</v>
      </c>
      <c r="N606" s="32">
        <f t="shared" si="68"/>
        <v>137.81737194884613</v>
      </c>
      <c r="O606" s="32">
        <f t="shared" si="69"/>
        <v>118.95442516906819</v>
      </c>
      <c r="P606" s="12" t="str">
        <f t="shared" si="70"/>
        <v/>
      </c>
      <c r="Q606" s="13">
        <f t="shared" si="71"/>
        <v>-5.8064835841303026E-3</v>
      </c>
      <c r="R606" s="49">
        <f t="shared" si="72"/>
        <v>1</v>
      </c>
    </row>
    <row r="607" spans="1:18" x14ac:dyDescent="0.35">
      <c r="A607" s="64" t="s">
        <v>77</v>
      </c>
      <c r="B607" s="14">
        <v>6.8715950999109765E-4</v>
      </c>
      <c r="C607" s="12">
        <v>1.8539363040455559E-2</v>
      </c>
      <c r="D607" s="12">
        <v>4.2425177414380233E-3</v>
      </c>
      <c r="E607" s="12">
        <v>6.1890399153903264E-3</v>
      </c>
      <c r="F607" s="12">
        <v>4.6389167502507433E-3</v>
      </c>
      <c r="G607" s="12">
        <v>9.9987014673419417E-3</v>
      </c>
      <c r="H607" s="12">
        <v>1.3317245385887189E-2</v>
      </c>
      <c r="I607" s="12">
        <v>-1.6751354067789936E-4</v>
      </c>
      <c r="J607" s="12">
        <v>-1.4829622053833091E-2</v>
      </c>
      <c r="K607" s="12">
        <v>-2.1326508850494363E-4</v>
      </c>
      <c r="L607" s="12">
        <v>-5.2093533351612598E-3</v>
      </c>
      <c r="M607" s="13">
        <f t="shared" si="67"/>
        <v>1.0586028288303859E-3</v>
      </c>
      <c r="N607" s="32">
        <f t="shared" si="68"/>
        <v>137.96326580865315</v>
      </c>
      <c r="O607" s="32">
        <f t="shared" si="69"/>
        <v>119.03616583357864</v>
      </c>
      <c r="P607" s="12" t="str">
        <f t="shared" si="70"/>
        <v/>
      </c>
      <c r="Q607" s="13">
        <f t="shared" si="71"/>
        <v>3.7144331883928825E-4</v>
      </c>
      <c r="R607" s="49">
        <f t="shared" si="72"/>
        <v>1</v>
      </c>
    </row>
    <row r="608" spans="1:18" x14ac:dyDescent="0.35">
      <c r="A608" s="64" t="s">
        <v>77</v>
      </c>
      <c r="B608" s="14">
        <v>-1.5326967063694075E-2</v>
      </c>
      <c r="C608" s="12">
        <v>-1.4496522134824219E-2</v>
      </c>
      <c r="D608" s="12">
        <v>-1.4901298102772853E-2</v>
      </c>
      <c r="E608" s="12">
        <v>-1.0589013898080757E-2</v>
      </c>
      <c r="F608" s="12">
        <v>-1.4351678522401046E-2</v>
      </c>
      <c r="G608" s="12">
        <v>-9.4497300077140967E-3</v>
      </c>
      <c r="H608" s="12">
        <v>-1.5788313120176478E-2</v>
      </c>
      <c r="I608" s="12">
        <v>-2.0886853568636288E-2</v>
      </c>
      <c r="J608" s="12">
        <v>-1.887504718761801E-2</v>
      </c>
      <c r="K608" s="12">
        <v>-9.8122866894198024E-3</v>
      </c>
      <c r="L608" s="12">
        <v>-3.0868572328529797E-2</v>
      </c>
      <c r="M608" s="13">
        <f t="shared" si="67"/>
        <v>-1.7032555510207437E-2</v>
      </c>
      <c r="N608" s="32">
        <f t="shared" si="68"/>
        <v>135.61339882539775</v>
      </c>
      <c r="O608" s="32">
        <f t="shared" si="69"/>
        <v>117.21170244045895</v>
      </c>
      <c r="P608" s="12">
        <f t="shared" si="70"/>
        <v>-1.7032555510207437E-2</v>
      </c>
      <c r="Q608" s="13">
        <f t="shared" si="71"/>
        <v>-1.7055884465133619E-3</v>
      </c>
      <c r="R608" s="49" t="str">
        <f t="shared" si="72"/>
        <v/>
      </c>
    </row>
    <row r="609" spans="1:18" x14ac:dyDescent="0.35">
      <c r="A609" s="64" t="s">
        <v>77</v>
      </c>
      <c r="B609" s="14">
        <v>1.4148210025664021E-3</v>
      </c>
      <c r="C609" s="12">
        <v>8.3773087071241648E-3</v>
      </c>
      <c r="D609" s="12">
        <v>-1.5594541910330939E-3</v>
      </c>
      <c r="E609" s="12">
        <v>-1.7706079087154158E-3</v>
      </c>
      <c r="F609" s="12">
        <v>-6.9215835232547818E-3</v>
      </c>
      <c r="G609" s="12">
        <v>-7.3333765980919674E-3</v>
      </c>
      <c r="H609" s="12">
        <v>-4.3912712282115907E-3</v>
      </c>
      <c r="I609" s="12">
        <v>-2.7948893451972268E-3</v>
      </c>
      <c r="J609" s="12">
        <v>-3.4628703347441281E-3</v>
      </c>
      <c r="K609" s="12">
        <v>-8.4015510555794926E-3</v>
      </c>
      <c r="L609" s="12">
        <v>1.0481839603477816E-2</v>
      </c>
      <c r="M609" s="13">
        <f t="shared" si="67"/>
        <v>-1.3090875123658967E-3</v>
      </c>
      <c r="N609" s="32">
        <f t="shared" si="68"/>
        <v>135.43586901848593</v>
      </c>
      <c r="O609" s="32">
        <f t="shared" si="69"/>
        <v>117.37753601881828</v>
      </c>
      <c r="P609" s="12">
        <f t="shared" si="70"/>
        <v>-1.3090875123658967E-3</v>
      </c>
      <c r="Q609" s="13">
        <f t="shared" si="71"/>
        <v>-2.7239085149322988E-3</v>
      </c>
      <c r="R609" s="49" t="str">
        <f t="shared" si="72"/>
        <v/>
      </c>
    </row>
    <row r="610" spans="1:18" x14ac:dyDescent="0.35">
      <c r="A610" s="64" t="s">
        <v>77</v>
      </c>
      <c r="B610" s="14">
        <v>-1.8459372596762003E-2</v>
      </c>
      <c r="C610" s="12">
        <v>-1.4914633348596884E-2</v>
      </c>
      <c r="D610" s="12">
        <v>-1.4759859429910316E-2</v>
      </c>
      <c r="E610" s="12">
        <v>-5.4394954670871076E-3</v>
      </c>
      <c r="F610" s="12">
        <v>-1.2090947726306811E-2</v>
      </c>
      <c r="G610" s="12">
        <v>-1.1244769874476979E-2</v>
      </c>
      <c r="H610" s="12">
        <v>-9.8114226562852069E-3</v>
      </c>
      <c r="I610" s="12">
        <v>-1.5500772178687949E-2</v>
      </c>
      <c r="J610" s="12">
        <v>-2.8764478764478629E-2</v>
      </c>
      <c r="K610" s="12">
        <v>-6.7347382142082246E-3</v>
      </c>
      <c r="L610" s="12">
        <v>-3.1199742682534559E-2</v>
      </c>
      <c r="M610" s="13">
        <f t="shared" si="67"/>
        <v>-1.4608896307536826E-2</v>
      </c>
      <c r="N610" s="32">
        <f t="shared" si="68"/>
        <v>133.45730045167375</v>
      </c>
      <c r="O610" s="32">
        <f t="shared" si="69"/>
        <v>115.21082034695706</v>
      </c>
      <c r="P610" s="12">
        <f t="shared" si="70"/>
        <v>-1.4608896307536826E-2</v>
      </c>
      <c r="Q610" s="13">
        <f t="shared" si="71"/>
        <v>3.850476289225177E-3</v>
      </c>
      <c r="R610" s="49" t="str">
        <f t="shared" si="72"/>
        <v/>
      </c>
    </row>
    <row r="611" spans="1:18" x14ac:dyDescent="0.35">
      <c r="A611" s="64">
        <v>7.7</v>
      </c>
      <c r="B611" s="14">
        <v>-1.4478143694236278E-2</v>
      </c>
      <c r="C611" s="12">
        <v>-1.3878743608473409E-2</v>
      </c>
      <c r="D611" s="12">
        <v>-5.6277742549143417E-3</v>
      </c>
      <c r="E611" s="12">
        <v>-1.4782815472415889E-2</v>
      </c>
      <c r="F611" s="12">
        <v>-9.8513690821880884E-3</v>
      </c>
      <c r="G611" s="12">
        <v>2.4464427400159305E-3</v>
      </c>
      <c r="H611" s="12">
        <v>-1.7590109540475463E-2</v>
      </c>
      <c r="I611" s="12">
        <v>-3.7299558447594805E-2</v>
      </c>
      <c r="J611" s="12">
        <v>9.0936195587356661E-3</v>
      </c>
      <c r="K611" s="12">
        <v>-1.312335958005284E-3</v>
      </c>
      <c r="L611" s="12">
        <v>-5.7893426294820749E-2</v>
      </c>
      <c r="M611" s="13">
        <f t="shared" si="67"/>
        <v>-2.0924639736644265E-2</v>
      </c>
      <c r="N611" s="32">
        <f t="shared" si="68"/>
        <v>130.66475451949739</v>
      </c>
      <c r="O611" s="32">
        <f t="shared" si="69"/>
        <v>113.54278153484297</v>
      </c>
      <c r="P611" s="12">
        <f t="shared" si="70"/>
        <v>-2.0924639736644265E-2</v>
      </c>
      <c r="Q611" s="13">
        <f t="shared" si="71"/>
        <v>-6.4464960424079863E-3</v>
      </c>
      <c r="R611" s="49" t="str">
        <f t="shared" si="72"/>
        <v/>
      </c>
    </row>
    <row r="612" spans="1:18" x14ac:dyDescent="0.35">
      <c r="A612" s="64" t="s">
        <v>77</v>
      </c>
      <c r="B612" s="14">
        <v>-1.5097408062482165E-3</v>
      </c>
      <c r="C612" s="12">
        <v>1.3265993265993314E-2</v>
      </c>
      <c r="D612" s="12">
        <v>1.0362694300518616E-3</v>
      </c>
      <c r="E612" s="12">
        <v>2.1440926827305917E-2</v>
      </c>
      <c r="F612" s="12">
        <v>7.2773879608107883E-3</v>
      </c>
      <c r="G612" s="12">
        <v>9.5640129279070951E-3</v>
      </c>
      <c r="H612" s="12">
        <v>-7.7264735819375652E-3</v>
      </c>
      <c r="I612" s="12">
        <v>-4.8702474351237091E-2</v>
      </c>
      <c r="J612" s="12">
        <v>1.4773230905600343E-3</v>
      </c>
      <c r="K612" s="12">
        <v>2.8471309680246915E-3</v>
      </c>
      <c r="L612" s="12">
        <v>-1.0175763182238673E-2</v>
      </c>
      <c r="M612" s="13">
        <f t="shared" si="67"/>
        <v>-7.2085333903373341E-3</v>
      </c>
      <c r="N612" s="32">
        <f t="shared" si="68"/>
        <v>129.72285327360336</v>
      </c>
      <c r="O612" s="32">
        <f t="shared" si="69"/>
        <v>113.37136136430489</v>
      </c>
      <c r="P612" s="12">
        <f t="shared" si="70"/>
        <v>-7.2085333903373341E-3</v>
      </c>
      <c r="Q612" s="13">
        <f t="shared" si="71"/>
        <v>-5.6987925840891176E-3</v>
      </c>
      <c r="R612" s="49" t="str">
        <f t="shared" si="72"/>
        <v/>
      </c>
    </row>
    <row r="613" spans="1:18" x14ac:dyDescent="0.35">
      <c r="A613" s="64" t="s">
        <v>77</v>
      </c>
      <c r="B613" s="14">
        <v>1.6476647924144494E-2</v>
      </c>
      <c r="C613" s="12">
        <v>1.4089187213398136E-2</v>
      </c>
      <c r="D613" s="12">
        <v>-7.4056378404203649E-3</v>
      </c>
      <c r="E613" s="12">
        <v>2.7055765595463299E-2</v>
      </c>
      <c r="F613" s="12">
        <v>1.9409937888197337E-3</v>
      </c>
      <c r="G613" s="12">
        <v>5.6187116163595174E-3</v>
      </c>
      <c r="H613" s="12">
        <v>1.9536531915885558E-2</v>
      </c>
      <c r="I613" s="12">
        <v>3.984013195457714E-2</v>
      </c>
      <c r="J613" s="12">
        <v>1.9226041205684163E-2</v>
      </c>
      <c r="K613" s="12">
        <v>5.2413190652982333E-3</v>
      </c>
      <c r="L613" s="12">
        <v>4.3168669336892673E-3</v>
      </c>
      <c r="M613" s="13">
        <f t="shared" si="67"/>
        <v>1.1303574810236271E-2</v>
      </c>
      <c r="N613" s="32">
        <f t="shared" si="68"/>
        <v>131.18918525017887</v>
      </c>
      <c r="O613" s="32">
        <f t="shared" si="69"/>
        <v>115.2393413701855</v>
      </c>
      <c r="P613" s="12" t="str">
        <f t="shared" si="70"/>
        <v/>
      </c>
      <c r="Q613" s="13">
        <f t="shared" si="71"/>
        <v>-5.1730731139082234E-3</v>
      </c>
      <c r="R613" s="49">
        <f t="shared" si="72"/>
        <v>1</v>
      </c>
    </row>
    <row r="614" spans="1:18" x14ac:dyDescent="0.35">
      <c r="A614" s="64" t="s">
        <v>77</v>
      </c>
      <c r="B614" s="14">
        <v>-6.9808562265104568E-3</v>
      </c>
      <c r="C614" s="12">
        <v>2.6214037617144914E-3</v>
      </c>
      <c r="D614" s="12">
        <v>-1.099077416766947E-2</v>
      </c>
      <c r="E614" s="12">
        <v>1.7830438283676475E-2</v>
      </c>
      <c r="F614" s="12">
        <v>1.8296095397993817E-3</v>
      </c>
      <c r="G614" s="12">
        <v>2.7936590436590247E-3</v>
      </c>
      <c r="H614" s="12">
        <v>-1.0472880270739893E-2</v>
      </c>
      <c r="I614" s="12">
        <v>-2.501372704532967E-2</v>
      </c>
      <c r="J614" s="12">
        <v>-4.3757236588189863E-2</v>
      </c>
      <c r="K614" s="12">
        <v>1.129698023028447E-2</v>
      </c>
      <c r="L614" s="12">
        <v>-3.7266805512473966E-2</v>
      </c>
      <c r="M614" s="13">
        <f t="shared" si="67"/>
        <v>-9.1699895192944095E-3</v>
      </c>
      <c r="N614" s="32">
        <f t="shared" si="68"/>
        <v>129.98618179638996</v>
      </c>
      <c r="O614" s="32">
        <f t="shared" si="69"/>
        <v>114.43487209644248</v>
      </c>
      <c r="P614" s="12">
        <f t="shared" si="70"/>
        <v>-9.1699895192944095E-3</v>
      </c>
      <c r="Q614" s="13">
        <f t="shared" si="71"/>
        <v>-2.1891332927839527E-3</v>
      </c>
      <c r="R614" s="49" t="str">
        <f t="shared" si="72"/>
        <v/>
      </c>
    </row>
    <row r="615" spans="1:18" x14ac:dyDescent="0.35">
      <c r="A615" s="64" t="s">
        <v>77</v>
      </c>
      <c r="B615" s="14">
        <v>1.7561980816715783E-2</v>
      </c>
      <c r="C615" s="12">
        <v>1.869403228969202E-2</v>
      </c>
      <c r="D615" s="12">
        <v>1.1518494484101138E-2</v>
      </c>
      <c r="E615" s="12">
        <v>4.0536467751657534E-2</v>
      </c>
      <c r="F615" s="12">
        <v>1.4158949788367625E-2</v>
      </c>
      <c r="G615" s="12">
        <v>-2.0732102364755534E-3</v>
      </c>
      <c r="H615" s="12">
        <v>4.991449831307504E-3</v>
      </c>
      <c r="I615" s="12">
        <v>5.7568362430384656E-3</v>
      </c>
      <c r="J615" s="12">
        <v>2.5124867564704001E-2</v>
      </c>
      <c r="K615" s="12">
        <v>-9.8818474758323172E-3</v>
      </c>
      <c r="L615" s="12">
        <v>6.6740311147934772E-3</v>
      </c>
      <c r="M615" s="13">
        <f t="shared" si="67"/>
        <v>8.8274078291046172E-3</v>
      </c>
      <c r="N615" s="32">
        <f t="shared" si="68"/>
        <v>131.13362283525484</v>
      </c>
      <c r="O615" s="32">
        <f t="shared" si="69"/>
        <v>116.44457512496352</v>
      </c>
      <c r="P615" s="12" t="str">
        <f t="shared" si="70"/>
        <v/>
      </c>
      <c r="Q615" s="13">
        <f t="shared" si="71"/>
        <v>-8.7345729876111659E-3</v>
      </c>
      <c r="R615" s="49">
        <f t="shared" si="72"/>
        <v>1</v>
      </c>
    </row>
    <row r="616" spans="1:18" x14ac:dyDescent="0.35">
      <c r="A616" s="64">
        <v>7.55</v>
      </c>
      <c r="B616" s="14">
        <v>-1.101942286909019E-2</v>
      </c>
      <c r="C616" s="12">
        <v>-5.4539621430862439E-3</v>
      </c>
      <c r="D616" s="12">
        <v>-8.0994386527666329E-3</v>
      </c>
      <c r="E616" s="12">
        <v>1.1694424330195519E-2</v>
      </c>
      <c r="F616" s="12">
        <v>-5.3387568323375323E-3</v>
      </c>
      <c r="G616" s="12">
        <v>-1.0712198922287919E-2</v>
      </c>
      <c r="H616" s="12">
        <v>-2.7592550011501515E-4</v>
      </c>
      <c r="I616" s="12">
        <v>-2.6192994462763464E-2</v>
      </c>
      <c r="J616" s="12">
        <v>-1.053201437078588E-2</v>
      </c>
      <c r="K616" s="12">
        <v>8.2447385550010743E-3</v>
      </c>
      <c r="L616" s="12">
        <v>-1.6917379177906922E-2</v>
      </c>
      <c r="M616" s="13">
        <f t="shared" si="67"/>
        <v>-6.6763400606494484E-3</v>
      </c>
      <c r="N616" s="32">
        <f t="shared" si="68"/>
        <v>130.25813017582175</v>
      </c>
      <c r="O616" s="32">
        <f t="shared" si="69"/>
        <v>115.16142311085001</v>
      </c>
      <c r="P616" s="12">
        <f t="shared" si="70"/>
        <v>-6.6763400606494484E-3</v>
      </c>
      <c r="Q616" s="13">
        <f t="shared" si="71"/>
        <v>4.3430828084407413E-3</v>
      </c>
      <c r="R616" s="49" t="str">
        <f t="shared" si="72"/>
        <v/>
      </c>
    </row>
    <row r="617" spans="1:18" x14ac:dyDescent="0.35">
      <c r="A617" s="64" t="s">
        <v>77</v>
      </c>
      <c r="B617" s="14">
        <v>8.9183585930798781E-3</v>
      </c>
      <c r="C617" s="12">
        <v>1.5483870967742064E-2</v>
      </c>
      <c r="D617" s="12">
        <v>1.8190637885035166E-2</v>
      </c>
      <c r="E617" s="12">
        <v>-2.5766739433847441E-2</v>
      </c>
      <c r="F617" s="12">
        <v>1.5889243876464176E-2</v>
      </c>
      <c r="G617" s="12">
        <v>9.9094369339807198E-3</v>
      </c>
      <c r="H617" s="12">
        <v>3.4960209761258909E-3</v>
      </c>
      <c r="I617" s="12">
        <v>1.4183490927677012E-2</v>
      </c>
      <c r="J617" s="12">
        <v>1.8502859985078279E-2</v>
      </c>
      <c r="K617" s="12">
        <v>1.0759629868732468E-2</v>
      </c>
      <c r="L617" s="12">
        <v>2.4650016278312759E-2</v>
      </c>
      <c r="M617" s="13">
        <f t="shared" si="67"/>
        <v>1.0748360070166916E-2</v>
      </c>
      <c r="N617" s="32">
        <f t="shared" si="68"/>
        <v>131.65819146101816</v>
      </c>
      <c r="O617" s="32">
        <f t="shared" si="69"/>
        <v>116.18847397824197</v>
      </c>
      <c r="P617" s="12" t="str">
        <f t="shared" si="70"/>
        <v/>
      </c>
      <c r="Q617" s="13">
        <f t="shared" si="71"/>
        <v>1.8300014770870378E-3</v>
      </c>
      <c r="R617" s="49">
        <f t="shared" si="72"/>
        <v>1</v>
      </c>
    </row>
    <row r="618" spans="1:18" x14ac:dyDescent="0.35">
      <c r="A618" s="64" t="s">
        <v>77</v>
      </c>
      <c r="B618" s="14">
        <v>1.2982181765728518E-2</v>
      </c>
      <c r="C618" s="12">
        <v>1.1944091486658204E-2</v>
      </c>
      <c r="D618" s="12">
        <v>5.0023820867080016E-3</v>
      </c>
      <c r="E618" s="12">
        <v>5.6937148734523824E-3</v>
      </c>
      <c r="F618" s="12">
        <v>6.5833612881585069E-3</v>
      </c>
      <c r="G618" s="12">
        <v>0</v>
      </c>
      <c r="H618" s="12">
        <v>1.7419206967682621E-2</v>
      </c>
      <c r="I618" s="12">
        <v>3.6663726848935374E-2</v>
      </c>
      <c r="J618" s="12">
        <v>-3.418469502369792E-4</v>
      </c>
      <c r="K618" s="12">
        <v>-3.4064296359377355E-3</v>
      </c>
      <c r="L618" s="12">
        <v>2.0925060142526375E-2</v>
      </c>
      <c r="M618" s="13">
        <f t="shared" si="67"/>
        <v>1.2022173792589413E-2</v>
      </c>
      <c r="N618" s="32">
        <f t="shared" si="68"/>
        <v>133.24100911998053</v>
      </c>
      <c r="O618" s="32">
        <f t="shared" si="69"/>
        <v>117.69685386651012</v>
      </c>
      <c r="P618" s="12" t="str">
        <f t="shared" si="70"/>
        <v/>
      </c>
      <c r="Q618" s="13">
        <f t="shared" si="71"/>
        <v>-9.6000797313910459E-4</v>
      </c>
      <c r="R618" s="49">
        <f t="shared" si="72"/>
        <v>1</v>
      </c>
    </row>
    <row r="619" spans="1:18" x14ac:dyDescent="0.35">
      <c r="A619" s="64" t="s">
        <v>77</v>
      </c>
      <c r="B619" s="14">
        <v>-1.646318766285193E-2</v>
      </c>
      <c r="C619" s="12">
        <v>-9.1034655951782728E-3</v>
      </c>
      <c r="D619" s="12">
        <v>-1.9909931263332514E-2</v>
      </c>
      <c r="E619" s="12">
        <v>-5.4423259551462655E-3</v>
      </c>
      <c r="F619" s="12">
        <v>-9.5396792334930813E-3</v>
      </c>
      <c r="G619" s="12">
        <v>-1.8454740398986091E-2</v>
      </c>
      <c r="H619" s="12">
        <v>-8.6055417886911068E-3</v>
      </c>
      <c r="I619" s="12">
        <v>-1.0999027710257625E-2</v>
      </c>
      <c r="J619" s="12">
        <v>-4.1719589643380517E-2</v>
      </c>
      <c r="K619" s="12">
        <v>-6.4088869899594503E-3</v>
      </c>
      <c r="L619" s="12">
        <v>-2.2096745509514459E-2</v>
      </c>
      <c r="M619" s="13">
        <f t="shared" si="67"/>
        <v>-1.353510422685544E-2</v>
      </c>
      <c r="N619" s="32">
        <f t="shared" si="68"/>
        <v>131.43757817425021</v>
      </c>
      <c r="O619" s="32">
        <f t="shared" si="69"/>
        <v>115.75918847397851</v>
      </c>
      <c r="P619" s="12">
        <f t="shared" si="70"/>
        <v>-1.353510422685544E-2</v>
      </c>
      <c r="Q619" s="13">
        <f t="shared" si="71"/>
        <v>2.9280834359964904E-3</v>
      </c>
      <c r="R619" s="49" t="str">
        <f t="shared" si="72"/>
        <v/>
      </c>
    </row>
    <row r="620" spans="1:18" x14ac:dyDescent="0.35">
      <c r="A620" s="64" t="s">
        <v>77</v>
      </c>
      <c r="B620" s="14">
        <v>2.9845287111662788E-3</v>
      </c>
      <c r="C620" s="12">
        <v>6.9695241715770351E-3</v>
      </c>
      <c r="D620" s="12">
        <v>-5.4816606207174212E-3</v>
      </c>
      <c r="E620" s="12">
        <v>1.9721620331264456E-2</v>
      </c>
      <c r="F620" s="12">
        <v>-1.1797611036339029E-2</v>
      </c>
      <c r="G620" s="12">
        <v>5.2962595167160842E-4</v>
      </c>
      <c r="H620" s="12">
        <v>1.1588802035993551E-2</v>
      </c>
      <c r="I620" s="12">
        <v>6.1443932411586744E-5</v>
      </c>
      <c r="J620" s="12">
        <v>8.8703099510603067E-3</v>
      </c>
      <c r="K620" s="12">
        <v>7.9552784347454164E-3</v>
      </c>
      <c r="L620" s="12">
        <v>-2.3187087974538834E-3</v>
      </c>
      <c r="M620" s="13">
        <f t="shared" si="67"/>
        <v>2.6320037330665944E-3</v>
      </c>
      <c r="N620" s="32">
        <f t="shared" si="68"/>
        <v>131.78352237067006</v>
      </c>
      <c r="O620" s="32">
        <f t="shared" si="69"/>
        <v>116.10467509556041</v>
      </c>
      <c r="P620" s="12" t="str">
        <f t="shared" si="70"/>
        <v/>
      </c>
      <c r="Q620" s="13">
        <f t="shared" si="71"/>
        <v>-3.5252497809968447E-4</v>
      </c>
      <c r="R620" s="49">
        <f t="shared" si="72"/>
        <v>1</v>
      </c>
    </row>
    <row r="621" spans="1:18" x14ac:dyDescent="0.35">
      <c r="A621" s="64">
        <v>7.74</v>
      </c>
      <c r="B621" s="14">
        <v>5.6398022650376856E-3</v>
      </c>
      <c r="C621" s="12">
        <v>8.3055433209588969E-3</v>
      </c>
      <c r="D621" s="12">
        <v>1.5562940747345433E-2</v>
      </c>
      <c r="E621" s="12">
        <v>1.0480443708132059E-2</v>
      </c>
      <c r="F621" s="12">
        <v>1.2938647826179484E-2</v>
      </c>
      <c r="G621" s="12">
        <v>1.0057566333620205E-2</v>
      </c>
      <c r="H621" s="12">
        <v>-6.9634754481333605E-3</v>
      </c>
      <c r="I621" s="12">
        <v>-1.8309166871467109E-2</v>
      </c>
      <c r="J621" s="12">
        <v>-1.8696311268318055E-3</v>
      </c>
      <c r="K621" s="12">
        <v>8.319112627986458E-3</v>
      </c>
      <c r="L621" s="12">
        <v>-1.1073641997812689E-2</v>
      </c>
      <c r="M621" s="13">
        <f t="shared" si="67"/>
        <v>2.1819664326653732E-3</v>
      </c>
      <c r="N621" s="32">
        <f t="shared" si="68"/>
        <v>132.07106959286128</v>
      </c>
      <c r="O621" s="32">
        <f t="shared" si="69"/>
        <v>116.75948250514581</v>
      </c>
      <c r="P621" s="12" t="str">
        <f t="shared" si="70"/>
        <v/>
      </c>
      <c r="Q621" s="13">
        <f t="shared" si="71"/>
        <v>-3.4578358323723124E-3</v>
      </c>
      <c r="R621" s="49">
        <f t="shared" si="72"/>
        <v>1</v>
      </c>
    </row>
    <row r="622" spans="1:18" x14ac:dyDescent="0.35">
      <c r="A622" s="64" t="s">
        <v>77</v>
      </c>
      <c r="B622" s="14">
        <v>1.6469444647304599E-3</v>
      </c>
      <c r="C622" s="12">
        <v>-1.2293291731669265E-2</v>
      </c>
      <c r="D622" s="12">
        <v>3.2085561497326109E-2</v>
      </c>
      <c r="E622" s="12">
        <v>-1.4933884592080449E-2</v>
      </c>
      <c r="F622" s="12">
        <v>1.2416227231664356E-2</v>
      </c>
      <c r="G622" s="12">
        <v>4.2581067802163197E-3</v>
      </c>
      <c r="H622" s="12">
        <v>3.4835323923272377E-3</v>
      </c>
      <c r="I622" s="12">
        <v>2.0903742646138479E-2</v>
      </c>
      <c r="J622" s="12">
        <v>1.5390067331544577E-2</v>
      </c>
      <c r="K622" s="12">
        <v>1.6712502644383287E-2</v>
      </c>
      <c r="L622" s="12">
        <v>4.562001751071465E-3</v>
      </c>
      <c r="M622" s="13">
        <f t="shared" si="67"/>
        <v>1.5277464028397813E-2</v>
      </c>
      <c r="N622" s="32">
        <f t="shared" si="68"/>
        <v>134.08878060775825</v>
      </c>
      <c r="O622" s="32">
        <f t="shared" si="69"/>
        <v>116.95177888856246</v>
      </c>
      <c r="P622" s="12" t="str">
        <f t="shared" si="70"/>
        <v/>
      </c>
      <c r="Q622" s="13">
        <f t="shared" si="71"/>
        <v>1.3630519563667353E-2</v>
      </c>
      <c r="R622" s="49">
        <f t="shared" si="72"/>
        <v>1</v>
      </c>
    </row>
    <row r="623" spans="1:18" x14ac:dyDescent="0.35">
      <c r="A623" s="64" t="s">
        <v>77</v>
      </c>
      <c r="B623" s="14">
        <v>-1.5738410521103363E-3</v>
      </c>
      <c r="C623" s="12">
        <v>-3.9802880970432053E-3</v>
      </c>
      <c r="D623" s="12">
        <v>2.3200061866823773E-4</v>
      </c>
      <c r="E623" s="12">
        <v>-4.1609378392067908E-3</v>
      </c>
      <c r="F623" s="12">
        <v>-1.9340112056443259E-2</v>
      </c>
      <c r="G623" s="12">
        <v>-9.6542726679713642E-3</v>
      </c>
      <c r="H623" s="12">
        <v>-6.6723772598169528E-3</v>
      </c>
      <c r="I623" s="12">
        <v>-2.3970083374203033E-2</v>
      </c>
      <c r="J623" s="12">
        <v>2.1887620282195819E-2</v>
      </c>
      <c r="K623" s="12">
        <v>-3.9533915938411157E-3</v>
      </c>
      <c r="L623" s="12">
        <v>9.9082568807338234E-3</v>
      </c>
      <c r="M623" s="13">
        <f t="shared" si="67"/>
        <v>-4.3286967117611812E-3</v>
      </c>
      <c r="N623" s="32">
        <f t="shared" si="68"/>
        <v>133.50835094405738</v>
      </c>
      <c r="O623" s="32">
        <f t="shared" si="69"/>
        <v>116.76771537783031</v>
      </c>
      <c r="P623" s="12">
        <f t="shared" si="70"/>
        <v>-4.3286967117611812E-3</v>
      </c>
      <c r="Q623" s="13">
        <f t="shared" si="71"/>
        <v>-2.7548556596508449E-3</v>
      </c>
      <c r="R623" s="49" t="str">
        <f t="shared" si="72"/>
        <v/>
      </c>
    </row>
    <row r="624" spans="1:18" x14ac:dyDescent="0.35">
      <c r="A624" s="64" t="s">
        <v>77</v>
      </c>
      <c r="B624" s="14">
        <v>1.4237259113583312E-2</v>
      </c>
      <c r="C624" s="12">
        <v>1.9790675547098013E-2</v>
      </c>
      <c r="D624" s="12">
        <v>2.8606772846759831E-3</v>
      </c>
      <c r="E624" s="12">
        <v>1.9183955237437766E-2</v>
      </c>
      <c r="F624" s="12">
        <v>-1.2675102628126433E-2</v>
      </c>
      <c r="G624" s="12">
        <v>9.8142537215124559E-3</v>
      </c>
      <c r="H624" s="12">
        <v>1.3479780329505697E-2</v>
      </c>
      <c r="I624" s="12">
        <v>2.751083474656113E-2</v>
      </c>
      <c r="J624" s="12">
        <v>1.4685792349726778E-2</v>
      </c>
      <c r="K624" s="12">
        <v>4.3868811364111693E-3</v>
      </c>
      <c r="L624" s="12">
        <v>1.2899709302325535E-2</v>
      </c>
      <c r="M624" s="13">
        <f t="shared" si="67"/>
        <v>1.1924312299399772E-2</v>
      </c>
      <c r="N624" s="32">
        <f t="shared" si="68"/>
        <v>135.10034621529218</v>
      </c>
      <c r="O624" s="32">
        <f t="shared" si="69"/>
        <v>118.43016759776563</v>
      </c>
      <c r="P624" s="12" t="str">
        <f t="shared" si="70"/>
        <v/>
      </c>
      <c r="Q624" s="13">
        <f t="shared" si="71"/>
        <v>-2.3129468141835398E-3</v>
      </c>
      <c r="R624" s="49">
        <f t="shared" si="72"/>
        <v>1</v>
      </c>
    </row>
    <row r="625" spans="1:18" x14ac:dyDescent="0.35">
      <c r="A625" s="64" t="s">
        <v>77</v>
      </c>
      <c r="B625" s="14">
        <v>5.7152646227105475E-3</v>
      </c>
      <c r="C625" s="12">
        <v>9.8899048329912365E-3</v>
      </c>
      <c r="D625" s="12">
        <v>-3.7776578521317994E-3</v>
      </c>
      <c r="E625" s="12">
        <v>1.261987094934236E-2</v>
      </c>
      <c r="F625" s="12">
        <v>7.4369360680683894E-3</v>
      </c>
      <c r="G625" s="12">
        <v>7.827278064054255E-4</v>
      </c>
      <c r="H625" s="12">
        <v>-4.2095835199282838E-3</v>
      </c>
      <c r="I625" s="12">
        <v>-7.2131548383153055E-3</v>
      </c>
      <c r="J625" s="12">
        <v>1.4761744482377326E-2</v>
      </c>
      <c r="K625" s="12">
        <v>9.9833610648918381E-3</v>
      </c>
      <c r="L625" s="12">
        <v>6.905829596412616E-3</v>
      </c>
      <c r="M625" s="13">
        <f t="shared" si="67"/>
        <v>2.7358651711040629E-3</v>
      </c>
      <c r="N625" s="32">
        <f t="shared" si="68"/>
        <v>135.46996254710669</v>
      </c>
      <c r="O625" s="32">
        <f t="shared" si="69"/>
        <v>119.10702734489882</v>
      </c>
      <c r="P625" s="12" t="str">
        <f t="shared" si="70"/>
        <v/>
      </c>
      <c r="Q625" s="13">
        <f t="shared" si="71"/>
        <v>-2.9793994516064846E-3</v>
      </c>
      <c r="R625" s="49">
        <f t="shared" si="72"/>
        <v>1</v>
      </c>
    </row>
    <row r="626" spans="1:18" x14ac:dyDescent="0.35">
      <c r="A626" s="64">
        <v>8.0500000000000007</v>
      </c>
      <c r="B626" s="14">
        <v>1.4436547571732294E-2</v>
      </c>
      <c r="C626" s="12">
        <v>1.5644247351564333E-2</v>
      </c>
      <c r="D626" s="12">
        <v>1.4471444048908877E-2</v>
      </c>
      <c r="E626" s="12">
        <v>1.496215455025518E-2</v>
      </c>
      <c r="F626" s="12">
        <v>5.3822916223460471E-3</v>
      </c>
      <c r="G626" s="12">
        <v>1.023267939777095E-2</v>
      </c>
      <c r="H626" s="12">
        <v>1.3941356359057355E-2</v>
      </c>
      <c r="I626" s="12">
        <v>1.5639431069515375E-2</v>
      </c>
      <c r="J626" s="12">
        <v>6.5864291129644759E-3</v>
      </c>
      <c r="K626" s="12">
        <v>1.2149917627676921E-2</v>
      </c>
      <c r="L626" s="12">
        <v>1.9150262759419334E-2</v>
      </c>
      <c r="M626" s="13">
        <f t="shared" si="67"/>
        <v>1.5041053789928484E-2</v>
      </c>
      <c r="N626" s="32">
        <f t="shared" si="68"/>
        <v>137.50757354069734</v>
      </c>
      <c r="O626" s="32">
        <f t="shared" si="69"/>
        <v>120.82652161129107</v>
      </c>
      <c r="P626" s="12" t="str">
        <f t="shared" si="70"/>
        <v/>
      </c>
      <c r="Q626" s="13">
        <f t="shared" si="71"/>
        <v>6.0450621819618973E-4</v>
      </c>
      <c r="R626" s="49">
        <f t="shared" si="72"/>
        <v>1</v>
      </c>
    </row>
    <row r="627" spans="1:18" x14ac:dyDescent="0.35">
      <c r="A627" s="64" t="s">
        <v>77</v>
      </c>
      <c r="B627" s="14">
        <v>3.6989178231867648E-3</v>
      </c>
      <c r="C627" s="12">
        <v>7.7016373559732898E-3</v>
      </c>
      <c r="D627" s="12">
        <v>7.3994965291022119E-3</v>
      </c>
      <c r="E627" s="12">
        <v>-3.711411723898661E-3</v>
      </c>
      <c r="F627" s="12">
        <v>4.5705579889544934E-2</v>
      </c>
      <c r="G627" s="12">
        <v>1.1935483870967767E-2</v>
      </c>
      <c r="H627" s="12">
        <v>1.5701233034684625E-2</v>
      </c>
      <c r="I627" s="12">
        <v>-7.0930585025764659E-3</v>
      </c>
      <c r="J627" s="12">
        <v>1.3934001788824535E-2</v>
      </c>
      <c r="K627" s="12">
        <v>8.3418107833164168E-3</v>
      </c>
      <c r="L627" s="12">
        <v>4.5009613703896889E-3</v>
      </c>
      <c r="M627" s="13">
        <f t="shared" si="67"/>
        <v>2.7830824889824757E-3</v>
      </c>
      <c r="N627" s="32">
        <f t="shared" si="68"/>
        <v>137.89026846072093</v>
      </c>
      <c r="O627" s="32">
        <f t="shared" si="69"/>
        <v>121.27344898559274</v>
      </c>
      <c r="P627" s="12" t="str">
        <f t="shared" si="70"/>
        <v/>
      </c>
      <c r="Q627" s="13">
        <f t="shared" si="71"/>
        <v>-9.1583533420428907E-4</v>
      </c>
      <c r="R627" s="49">
        <f t="shared" si="72"/>
        <v>1</v>
      </c>
    </row>
    <row r="628" spans="1:18" x14ac:dyDescent="0.35">
      <c r="A628" s="64" t="s">
        <v>77</v>
      </c>
      <c r="B628" s="14">
        <v>-5.7970522559043225E-3</v>
      </c>
      <c r="C628" s="12">
        <v>-3.2496840584942399E-3</v>
      </c>
      <c r="D628" s="12">
        <v>-3.4832651824928673E-3</v>
      </c>
      <c r="E628" s="12">
        <v>-1.7407652404000107E-4</v>
      </c>
      <c r="F628" s="12">
        <v>-1.9021024302393608E-3</v>
      </c>
      <c r="G628" s="12">
        <v>1.0455849537775119E-2</v>
      </c>
      <c r="H628" s="12">
        <v>-5.8515283842794918E-3</v>
      </c>
      <c r="I628" s="12">
        <v>-7.4490169739894752E-3</v>
      </c>
      <c r="J628" s="12">
        <v>-6.9176842007520056E-3</v>
      </c>
      <c r="K628" s="12">
        <v>-9.6852300242131761E-3</v>
      </c>
      <c r="L628" s="12">
        <v>-5.4030539000304634E-2</v>
      </c>
      <c r="M628" s="13">
        <f t="shared" si="67"/>
        <v>-1.377488188385197E-2</v>
      </c>
      <c r="N628" s="32">
        <f t="shared" si="68"/>
        <v>135.99084629974186</v>
      </c>
      <c r="O628" s="32">
        <f t="shared" si="69"/>
        <v>120.57042046456951</v>
      </c>
      <c r="P628" s="12">
        <f t="shared" si="70"/>
        <v>-1.377488188385197E-2</v>
      </c>
      <c r="Q628" s="13">
        <f t="shared" si="71"/>
        <v>-7.9778296279476475E-3</v>
      </c>
      <c r="R628" s="49" t="str">
        <f t="shared" si="72"/>
        <v/>
      </c>
    </row>
    <row r="629" spans="1:18" x14ac:dyDescent="0.35">
      <c r="A629" s="64" t="s">
        <v>77</v>
      </c>
      <c r="B629" s="14">
        <v>-2.4923181973370845E-3</v>
      </c>
      <c r="C629" s="12">
        <v>-1.1290225200748738E-2</v>
      </c>
      <c r="D629" s="12">
        <v>4.1033434650454836E-3</v>
      </c>
      <c r="E629" s="12">
        <v>-9.8892680548785528E-3</v>
      </c>
      <c r="F629" s="12">
        <v>3.2397364419665564E-2</v>
      </c>
      <c r="G629" s="12">
        <v>4.4923969966559341E-2</v>
      </c>
      <c r="H629" s="12">
        <v>2.2401827286304687E-3</v>
      </c>
      <c r="I629" s="12">
        <v>-9.1043307086613456E-3</v>
      </c>
      <c r="J629" s="12">
        <v>-1.8232819074333828E-2</v>
      </c>
      <c r="K629" s="12">
        <v>1.6503667481662543E-2</v>
      </c>
      <c r="L629" s="12">
        <v>-1.8027132674177881E-2</v>
      </c>
      <c r="M629" s="13">
        <f t="shared" si="67"/>
        <v>-1.3740678595158869E-3</v>
      </c>
      <c r="N629" s="32">
        <f t="shared" si="68"/>
        <v>135.80398564865303</v>
      </c>
      <c r="O629" s="32">
        <f t="shared" si="69"/>
        <v>120.26992061158508</v>
      </c>
      <c r="P629" s="12">
        <f t="shared" si="70"/>
        <v>-1.3740678595158869E-3</v>
      </c>
      <c r="Q629" s="13">
        <f t="shared" si="71"/>
        <v>1.1182503378211976E-3</v>
      </c>
      <c r="R629" s="49" t="str">
        <f t="shared" si="72"/>
        <v/>
      </c>
    </row>
    <row r="630" spans="1:18" x14ac:dyDescent="0.35">
      <c r="A630" s="64" t="s">
        <v>77</v>
      </c>
      <c r="B630" s="14">
        <v>3.5791295674241219E-3</v>
      </c>
      <c r="C630" s="12">
        <v>5.4958475818271957E-3</v>
      </c>
      <c r="D630" s="12">
        <v>-1.2411079158468175E-2</v>
      </c>
      <c r="E630" s="12">
        <v>2.5532812829710982E-2</v>
      </c>
      <c r="F630" s="12">
        <v>7.0302221000333454E-3</v>
      </c>
      <c r="G630" s="12">
        <v>-2.7776100477024945E-3</v>
      </c>
      <c r="H630" s="12">
        <v>-9.5542797037295735E-3</v>
      </c>
      <c r="I630" s="12">
        <v>-1.3968214551775548E-2</v>
      </c>
      <c r="J630" s="12">
        <v>6.5238095238095983E-3</v>
      </c>
      <c r="K630" s="12">
        <v>7.6167568651033246E-3</v>
      </c>
      <c r="L630" s="12">
        <v>-2.0418676532571567E-2</v>
      </c>
      <c r="M630" s="13">
        <f t="shared" si="67"/>
        <v>-4.3202148343052136E-3</v>
      </c>
      <c r="N630" s="32">
        <f t="shared" si="68"/>
        <v>135.21728325529594</v>
      </c>
      <c r="O630" s="32">
        <f t="shared" si="69"/>
        <v>120.70038224051775</v>
      </c>
      <c r="P630" s="12">
        <f t="shared" si="70"/>
        <v>-4.3202148343052136E-3</v>
      </c>
      <c r="Q630" s="13">
        <f t="shared" si="71"/>
        <v>-7.8993444017293364E-3</v>
      </c>
      <c r="R630" s="49" t="str">
        <f t="shared" si="72"/>
        <v/>
      </c>
    </row>
    <row r="631" spans="1:18" x14ac:dyDescent="0.35">
      <c r="A631" s="64">
        <v>8.01</v>
      </c>
      <c r="B631" s="14">
        <v>9.9634106532953126E-4</v>
      </c>
      <c r="C631" s="12">
        <v>-1.5972306571116257E-2</v>
      </c>
      <c r="D631" s="12">
        <v>4.0613026819924514E-3</v>
      </c>
      <c r="E631" s="12">
        <v>-7.5788751714679359E-3</v>
      </c>
      <c r="F631" s="12">
        <v>4.6215947426921922E-3</v>
      </c>
      <c r="G631" s="12">
        <v>-5.0257341810475697E-3</v>
      </c>
      <c r="H631" s="12">
        <v>1.9469888048142536E-3</v>
      </c>
      <c r="I631" s="12">
        <v>1.4543851917143913E-2</v>
      </c>
      <c r="J631" s="12">
        <v>-2.7913138099068258E-3</v>
      </c>
      <c r="K631" s="12">
        <v>-1.9892580067635279E-3</v>
      </c>
      <c r="L631" s="12">
        <v>3.0405889945976927E-2</v>
      </c>
      <c r="M631" s="13">
        <f t="shared" si="67"/>
        <v>7.590808121560268E-3</v>
      </c>
      <c r="N631" s="32">
        <f t="shared" si="68"/>
        <v>136.24369170720556</v>
      </c>
      <c r="O631" s="32">
        <f t="shared" si="69"/>
        <v>120.82064098794496</v>
      </c>
      <c r="P631" s="12" t="str">
        <f t="shared" si="70"/>
        <v/>
      </c>
      <c r="Q631" s="13">
        <f t="shared" si="71"/>
        <v>6.5944670562307368E-3</v>
      </c>
      <c r="R631" s="49">
        <f t="shared" si="72"/>
        <v>1</v>
      </c>
    </row>
    <row r="632" spans="1:18" x14ac:dyDescent="0.35">
      <c r="A632" s="64" t="s">
        <v>77</v>
      </c>
      <c r="B632" s="14">
        <v>-4.1371489203245737E-5</v>
      </c>
      <c r="C632" s="12">
        <v>-7.5911868172560126E-3</v>
      </c>
      <c r="D632" s="12">
        <v>-4.6554224223461782E-3</v>
      </c>
      <c r="E632" s="12">
        <v>-2.2668371401914356E-2</v>
      </c>
      <c r="F632" s="12">
        <v>1.1238790325711623E-2</v>
      </c>
      <c r="G632" s="12">
        <v>-3.0428432327156418E-4</v>
      </c>
      <c r="H632" s="12">
        <v>8.9210793622751527E-3</v>
      </c>
      <c r="I632" s="12">
        <v>4.2819908154401176E-3</v>
      </c>
      <c r="J632" s="12">
        <v>7.3061960337792442E-3</v>
      </c>
      <c r="K632" s="12">
        <v>-2.98983456248747E-3</v>
      </c>
      <c r="L632" s="12">
        <v>2.3523407414280939E-2</v>
      </c>
      <c r="M632" s="13">
        <f t="shared" si="67"/>
        <v>-2.7004211921890023E-4</v>
      </c>
      <c r="N632" s="32">
        <f t="shared" si="68"/>
        <v>136.20690017196674</v>
      </c>
      <c r="O632" s="32">
        <f t="shared" si="69"/>
        <v>120.8156424581008</v>
      </c>
      <c r="P632" s="12">
        <f t="shared" si="70"/>
        <v>-2.7004211921890023E-4</v>
      </c>
      <c r="Q632" s="13">
        <f t="shared" si="71"/>
        <v>-2.2867063001565449E-4</v>
      </c>
      <c r="R632" s="49" t="str">
        <f t="shared" si="72"/>
        <v/>
      </c>
    </row>
    <row r="633" spans="1:18" x14ac:dyDescent="0.35">
      <c r="A633" s="64" t="s">
        <v>77</v>
      </c>
      <c r="B633" s="14">
        <v>-4.1348863697205918E-3</v>
      </c>
      <c r="C633" s="12">
        <v>-4.3532338308458485E-3</v>
      </c>
      <c r="D633" s="12">
        <v>-1.4414967029596659E-2</v>
      </c>
      <c r="E633" s="12">
        <v>2.3335572605451826E-3</v>
      </c>
      <c r="F633" s="12">
        <v>4.2228919131614973E-4</v>
      </c>
      <c r="G633" s="12">
        <v>-2.1306385828211427E-3</v>
      </c>
      <c r="H633" s="12">
        <v>-2.8014882906542971E-3</v>
      </c>
      <c r="I633" s="12">
        <v>-1.5695482914169334E-2</v>
      </c>
      <c r="J633" s="12">
        <v>9.4197437829679487E-5</v>
      </c>
      <c r="K633" s="12">
        <v>-4.7980807676929471E-3</v>
      </c>
      <c r="L633" s="12">
        <v>-4.5330915684493878E-4</v>
      </c>
      <c r="M633" s="13">
        <f t="shared" si="67"/>
        <v>-7.8073486582081681E-3</v>
      </c>
      <c r="N633" s="32">
        <f t="shared" si="68"/>
        <v>135.14348541267043</v>
      </c>
      <c r="O633" s="32">
        <f t="shared" si="69"/>
        <v>120.31608350485176</v>
      </c>
      <c r="P633" s="12">
        <f t="shared" si="70"/>
        <v>-7.8073486582081681E-3</v>
      </c>
      <c r="Q633" s="13">
        <f t="shared" si="71"/>
        <v>-3.6724622884875763E-3</v>
      </c>
      <c r="R633" s="49" t="str">
        <f t="shared" si="72"/>
        <v/>
      </c>
    </row>
    <row r="634" spans="1:18" x14ac:dyDescent="0.35">
      <c r="A634" s="64" t="s">
        <v>77</v>
      </c>
      <c r="B634" s="14">
        <v>1.3262625398648753E-2</v>
      </c>
      <c r="C634" s="12">
        <v>3.4103685196751998E-2</v>
      </c>
      <c r="D634" s="12">
        <v>-4.9789948654114236E-3</v>
      </c>
      <c r="E634" s="12">
        <v>2.239937916681356E-2</v>
      </c>
      <c r="F634" s="12">
        <v>9.6701778621999246E-3</v>
      </c>
      <c r="G634" s="12">
        <v>1.3360175695461329E-2</v>
      </c>
      <c r="H634" s="12">
        <v>2.1421359905184234E-2</v>
      </c>
      <c r="I634" s="12">
        <v>1.889635256450517E-2</v>
      </c>
      <c r="J634" s="12">
        <v>5.8867853442592377E-3</v>
      </c>
      <c r="K634" s="12">
        <v>1.0044194455605115E-3</v>
      </c>
      <c r="L634" s="12">
        <v>5.3061224489794334E-3</v>
      </c>
      <c r="M634" s="13">
        <f t="shared" si="67"/>
        <v>6.5105596861563322E-3</v>
      </c>
      <c r="N634" s="32">
        <f t="shared" si="68"/>
        <v>136.02334514064481</v>
      </c>
      <c r="O634" s="32">
        <f t="shared" si="69"/>
        <v>121.91179064980915</v>
      </c>
      <c r="P634" s="12" t="str">
        <f t="shared" si="70"/>
        <v/>
      </c>
      <c r="Q634" s="13">
        <f t="shared" si="71"/>
        <v>-6.7520657124924208E-3</v>
      </c>
      <c r="R634" s="49">
        <f t="shared" si="72"/>
        <v>1</v>
      </c>
    </row>
    <row r="635" spans="1:18" x14ac:dyDescent="0.35">
      <c r="A635" s="64" t="s">
        <v>77</v>
      </c>
      <c r="B635" s="14">
        <v>-2.0693547375681964E-3</v>
      </c>
      <c r="C635" s="12">
        <v>-2.1140372070548308E-3</v>
      </c>
      <c r="D635" s="12">
        <v>1.8764659890537772E-3</v>
      </c>
      <c r="E635" s="12">
        <v>-1.2765663814518269E-2</v>
      </c>
      <c r="F635" s="12">
        <v>-2.7440472797065962E-2</v>
      </c>
      <c r="G635" s="12">
        <v>-1.6254289326350646E-3</v>
      </c>
      <c r="H635" s="12">
        <v>5.715759164553802E-3</v>
      </c>
      <c r="I635" s="12">
        <v>5.6685150955020358E-3</v>
      </c>
      <c r="J635" s="12">
        <v>-5.5620581487897391E-2</v>
      </c>
      <c r="K635" s="12">
        <v>-6.823198876178882E-3</v>
      </c>
      <c r="L635" s="12">
        <v>9.0675328190554794E-3</v>
      </c>
      <c r="M635" s="13">
        <f t="shared" si="67"/>
        <v>-1.5083387123443807E-4</v>
      </c>
      <c r="N635" s="32">
        <f t="shared" si="68"/>
        <v>136.00282821291898</v>
      </c>
      <c r="O635" s="32">
        <f t="shared" si="69"/>
        <v>121.65951190826254</v>
      </c>
      <c r="P635" s="12">
        <f t="shared" si="70"/>
        <v>-1.5083387123443807E-4</v>
      </c>
      <c r="Q635" s="13">
        <f t="shared" si="71"/>
        <v>1.9185208663337584E-3</v>
      </c>
      <c r="R635" s="49" t="str">
        <f t="shared" si="72"/>
        <v/>
      </c>
    </row>
    <row r="636" spans="1:18" x14ac:dyDescent="0.35">
      <c r="A636" s="64">
        <v>8.3000000000000007</v>
      </c>
      <c r="B636" s="14">
        <v>3.3062325383550473E-3</v>
      </c>
      <c r="C636" s="12">
        <v>1.2105804733364423E-4</v>
      </c>
      <c r="D636" s="12">
        <v>-2.4972686124550281E-3</v>
      </c>
      <c r="E636" s="12">
        <v>9.2961487383798058E-3</v>
      </c>
      <c r="F636" s="12">
        <v>-1.2583286113444947E-2</v>
      </c>
      <c r="G636" s="12">
        <v>-1.0250844187169594E-3</v>
      </c>
      <c r="H636" s="12">
        <v>-2.3074950858902321E-3</v>
      </c>
      <c r="I636" s="12">
        <v>3.002083078054163E-3</v>
      </c>
      <c r="J636" s="12">
        <v>1.6459273214020076E-2</v>
      </c>
      <c r="K636" s="12">
        <v>7.0721357850072053E-3</v>
      </c>
      <c r="L636" s="12">
        <v>6.9742489270385732E-3</v>
      </c>
      <c r="M636" s="13">
        <f t="shared" si="67"/>
        <v>3.9528596026119512E-3</v>
      </c>
      <c r="N636" s="32">
        <f t="shared" si="68"/>
        <v>136.54042829840282</v>
      </c>
      <c r="O636" s="32">
        <f t="shared" si="69"/>
        <v>122.06174654513404</v>
      </c>
      <c r="P636" s="12" t="str">
        <f t="shared" si="70"/>
        <v/>
      </c>
      <c r="Q636" s="13">
        <f t="shared" si="71"/>
        <v>6.4662706425690393E-4</v>
      </c>
      <c r="R636" s="49">
        <f t="shared" si="72"/>
        <v>1</v>
      </c>
    </row>
    <row r="637" spans="1:18" x14ac:dyDescent="0.35">
      <c r="A637" s="64" t="s">
        <v>77</v>
      </c>
      <c r="B637" s="14">
        <v>8.5514968732836039E-4</v>
      </c>
      <c r="C637" s="12">
        <v>7.5046904315196894E-3</v>
      </c>
      <c r="D637" s="12">
        <v>-3.1294007197613105E-4</v>
      </c>
      <c r="E637" s="12">
        <v>-1.4889196675900163E-3</v>
      </c>
      <c r="F637" s="12">
        <v>-1.7215791035916084E-3</v>
      </c>
      <c r="G637" s="12">
        <v>-2.8128206675921974E-2</v>
      </c>
      <c r="H637" s="12">
        <v>5.13962652047395E-4</v>
      </c>
      <c r="I637" s="12">
        <v>4.2147700201575766E-3</v>
      </c>
      <c r="J637" s="12">
        <v>1.6290298980637052E-2</v>
      </c>
      <c r="K637" s="12">
        <v>2.207062600320997E-3</v>
      </c>
      <c r="L637" s="12">
        <v>-1.7758835020431629E-4</v>
      </c>
      <c r="M637" s="13">
        <f t="shared" si="67"/>
        <v>9.8243170936986859E-4</v>
      </c>
      <c r="N637" s="32">
        <f t="shared" si="68"/>
        <v>136.67456994477411</v>
      </c>
      <c r="O637" s="32">
        <f t="shared" si="69"/>
        <v>122.16612760952687</v>
      </c>
      <c r="P637" s="12" t="str">
        <f t="shared" si="70"/>
        <v/>
      </c>
      <c r="Q637" s="13">
        <f t="shared" si="71"/>
        <v>1.272820220415082E-4</v>
      </c>
      <c r="R637" s="49">
        <f t="shared" si="72"/>
        <v>1</v>
      </c>
    </row>
    <row r="638" spans="1:18" x14ac:dyDescent="0.35">
      <c r="A638" s="64" t="s">
        <v>77</v>
      </c>
      <c r="B638" s="14">
        <v>-8.4238496029787058E-5</v>
      </c>
      <c r="C638" s="12">
        <v>6.9682225025529121E-3</v>
      </c>
      <c r="D638" s="12">
        <v>-1.14258882454219E-2</v>
      </c>
      <c r="E638" s="12">
        <v>2.7742136838093678E-4</v>
      </c>
      <c r="F638" s="12">
        <v>-3.6235331430383821E-2</v>
      </c>
      <c r="G638" s="12">
        <v>9.4404074281100314E-3</v>
      </c>
      <c r="H638" s="12">
        <v>-4.4092465753424737E-3</v>
      </c>
      <c r="I638" s="12">
        <v>3.3454987834549144E-3</v>
      </c>
      <c r="J638" s="12">
        <v>1.6317128185439067E-3</v>
      </c>
      <c r="K638" s="12">
        <v>1.0010010010008674E-3</v>
      </c>
      <c r="L638" s="12">
        <v>-2.4422735346357749E-3</v>
      </c>
      <c r="M638" s="13">
        <f t="shared" si="67"/>
        <v>-2.6465320044895264E-3</v>
      </c>
      <c r="N638" s="32">
        <f t="shared" si="68"/>
        <v>136.31285632121543</v>
      </c>
      <c r="O638" s="32">
        <f t="shared" si="69"/>
        <v>122.15583651867126</v>
      </c>
      <c r="P638" s="12">
        <f t="shared" si="70"/>
        <v>-2.6465320044895264E-3</v>
      </c>
      <c r="Q638" s="13">
        <f t="shared" si="71"/>
        <v>-2.5622935084597394E-3</v>
      </c>
      <c r="R638" s="49" t="str">
        <f t="shared" si="72"/>
        <v/>
      </c>
    </row>
    <row r="639" spans="1:18" x14ac:dyDescent="0.35">
      <c r="A639" s="64" t="s">
        <v>77</v>
      </c>
      <c r="B639" s="14">
        <v>-5.952552882162232E-3</v>
      </c>
      <c r="C639" s="12">
        <v>-5.846208912485773E-3</v>
      </c>
      <c r="D639" s="12">
        <v>3.1665611146292072E-4</v>
      </c>
      <c r="E639" s="12">
        <v>-8.1123244929796057E-3</v>
      </c>
      <c r="F639" s="12">
        <v>2.591526120937937E-3</v>
      </c>
      <c r="G639" s="12">
        <v>6.460345782317134E-3</v>
      </c>
      <c r="H639" s="12">
        <v>8.7285548437030513E-3</v>
      </c>
      <c r="I639" s="12">
        <v>-1.0124280084874093E-2</v>
      </c>
      <c r="J639" s="12">
        <v>-7.0911791481003128E-3</v>
      </c>
      <c r="K639" s="12">
        <v>6.3999999999999613E-3</v>
      </c>
      <c r="L639" s="12">
        <v>-1.0594257734253265E-2</v>
      </c>
      <c r="M639" s="13">
        <f t="shared" si="67"/>
        <v>-3.3598027338017375E-3</v>
      </c>
      <c r="N639" s="32">
        <f t="shared" si="68"/>
        <v>135.85487201389509</v>
      </c>
      <c r="O639" s="32">
        <f t="shared" si="69"/>
        <v>121.4286974419291</v>
      </c>
      <c r="P639" s="12">
        <f t="shared" si="70"/>
        <v>-3.3598027338017375E-3</v>
      </c>
      <c r="Q639" s="13">
        <f t="shared" si="71"/>
        <v>2.5927501483604945E-3</v>
      </c>
      <c r="R639" s="49" t="str">
        <f t="shared" si="72"/>
        <v/>
      </c>
    </row>
    <row r="640" spans="1:18" x14ac:dyDescent="0.35">
      <c r="A640" s="64" t="s">
        <v>77</v>
      </c>
      <c r="B640" s="14">
        <v>9.0319362485757893E-4</v>
      </c>
      <c r="C640" s="12">
        <v>-9.780978097809756E-3</v>
      </c>
      <c r="D640" s="12">
        <v>-4.985754985754931E-3</v>
      </c>
      <c r="E640" s="12">
        <v>-1.2233057215756959E-3</v>
      </c>
      <c r="F640" s="12">
        <v>-7.4672793665121473E-3</v>
      </c>
      <c r="G640" s="12">
        <v>-5.4407629294536131E-3</v>
      </c>
      <c r="H640" s="12">
        <v>-2.344416027280416E-3</v>
      </c>
      <c r="I640" s="12">
        <v>3.06222439980397E-3</v>
      </c>
      <c r="J640" s="12">
        <v>-1.003715678231909E-2</v>
      </c>
      <c r="K640" s="12">
        <v>5.1669316375198004E-3</v>
      </c>
      <c r="L640" s="12">
        <v>-8.9980654159356188E-3</v>
      </c>
      <c r="M640" s="13">
        <f t="shared" si="67"/>
        <v>-1.3241611554321443E-3</v>
      </c>
      <c r="N640" s="32">
        <f t="shared" si="68"/>
        <v>135.67497826959809</v>
      </c>
      <c r="O640" s="32">
        <f t="shared" si="69"/>
        <v>121.53837106733341</v>
      </c>
      <c r="P640" s="12">
        <f t="shared" si="70"/>
        <v>-1.3241611554321443E-3</v>
      </c>
      <c r="Q640" s="13">
        <f t="shared" si="71"/>
        <v>-2.2273547802897234E-3</v>
      </c>
      <c r="R640" s="49" t="str">
        <f t="shared" si="72"/>
        <v/>
      </c>
    </row>
    <row r="641" spans="1:18" x14ac:dyDescent="0.35">
      <c r="A641" s="64">
        <v>8.35</v>
      </c>
      <c r="B641" s="14">
        <v>8.5157444502503843E-4</v>
      </c>
      <c r="C641" s="12">
        <v>1.8785601745243685E-3</v>
      </c>
      <c r="D641" s="12">
        <v>-2.624671916010457E-3</v>
      </c>
      <c r="E641" s="12">
        <v>-1.3962765957446832E-2</v>
      </c>
      <c r="F641" s="12">
        <v>1.0582448017857793E-2</v>
      </c>
      <c r="G641" s="12">
        <v>6.0851926977687487E-3</v>
      </c>
      <c r="H641" s="12">
        <v>-5.5116428113651805E-3</v>
      </c>
      <c r="I641" s="12">
        <v>-1.9477347661497113E-2</v>
      </c>
      <c r="J641" s="12">
        <v>3.0221788934925442E-3</v>
      </c>
      <c r="K641" s="12">
        <v>6.7220245156189851E-3</v>
      </c>
      <c r="L641" s="12">
        <v>1.4346029872429167E-2</v>
      </c>
      <c r="M641" s="13">
        <f t="shared" si="67"/>
        <v>-2.4659445237628272E-3</v>
      </c>
      <c r="N641" s="32">
        <f t="shared" si="68"/>
        <v>135.34041129992252</v>
      </c>
      <c r="O641" s="32">
        <f t="shared" si="69"/>
        <v>121.64187003822433</v>
      </c>
      <c r="P641" s="12">
        <f t="shared" si="70"/>
        <v>-2.4659445237628272E-3</v>
      </c>
      <c r="Q641" s="13">
        <f t="shared" si="71"/>
        <v>-3.3175189687878657E-3</v>
      </c>
      <c r="R641" s="49" t="str">
        <f t="shared" si="72"/>
        <v/>
      </c>
    </row>
    <row r="642" spans="1:18" x14ac:dyDescent="0.35">
      <c r="A642" s="64" t="s">
        <v>77</v>
      </c>
      <c r="B642" s="14">
        <v>-1.5810821263512076E-2</v>
      </c>
      <c r="C642" s="12">
        <v>-9.4356741063328364E-3</v>
      </c>
      <c r="D642" s="12">
        <v>3.9074960127591929E-3</v>
      </c>
      <c r="E642" s="12">
        <v>-2.2536111012527837E-2</v>
      </c>
      <c r="F642" s="12">
        <v>6.0948173600032796E-3</v>
      </c>
      <c r="G642" s="12">
        <v>9.1642228739003961E-3</v>
      </c>
      <c r="H642" s="12">
        <v>-1.3619178553015976E-2</v>
      </c>
      <c r="I642" s="12">
        <v>-2.7834858957593855E-2</v>
      </c>
      <c r="J642" s="12">
        <v>-1.7398065801623286E-2</v>
      </c>
      <c r="K642" s="12">
        <v>-7.8554595443832698E-3</v>
      </c>
      <c r="L642" s="12">
        <v>-2.1483238598218768E-2</v>
      </c>
      <c r="M642" s="13">
        <f t="shared" si="67"/>
        <v>-1.283029974505679E-2</v>
      </c>
      <c r="N642" s="32">
        <f t="shared" si="68"/>
        <v>133.60395325532525</v>
      </c>
      <c r="O642" s="32">
        <f t="shared" si="69"/>
        <v>119.7186121728906</v>
      </c>
      <c r="P642" s="12">
        <f t="shared" si="70"/>
        <v>-1.283029974505679E-2</v>
      </c>
      <c r="Q642" s="13">
        <f t="shared" si="71"/>
        <v>2.9805215184552855E-3</v>
      </c>
      <c r="R642" s="49" t="str">
        <f t="shared" si="72"/>
        <v/>
      </c>
    </row>
    <row r="643" spans="1:18" x14ac:dyDescent="0.35">
      <c r="A643" s="64" t="s">
        <v>77</v>
      </c>
      <c r="B643" s="14">
        <v>-3.8412134697898281E-3</v>
      </c>
      <c r="C643" s="12">
        <v>-6.1061244428284311E-5</v>
      </c>
      <c r="D643" s="12">
        <v>-3.1773770752252517E-4</v>
      </c>
      <c r="E643" s="12">
        <v>7.2434826809962827E-2</v>
      </c>
      <c r="F643" s="12">
        <v>-1.8234672304439759E-2</v>
      </c>
      <c r="G643" s="12">
        <v>-1.5498244339508416E-2</v>
      </c>
      <c r="H643" s="12">
        <v>-6.2720501764014225E-3</v>
      </c>
      <c r="I643" s="12">
        <v>-2.5621316935691141E-3</v>
      </c>
      <c r="J643" s="12">
        <v>4.154508135911783E-3</v>
      </c>
      <c r="K643" s="12">
        <v>-4.354711005542522E-3</v>
      </c>
      <c r="L643" s="12">
        <v>-1.1160407995243093E-2</v>
      </c>
      <c r="M643" s="13">
        <f t="shared" si="67"/>
        <v>6.6092280932774283E-3</v>
      </c>
      <c r="N643" s="32">
        <f t="shared" si="68"/>
        <v>134.48697225655329</v>
      </c>
      <c r="O643" s="32">
        <f t="shared" si="69"/>
        <v>119.25874742722755</v>
      </c>
      <c r="P643" s="12" t="str">
        <f t="shared" si="70"/>
        <v/>
      </c>
      <c r="Q643" s="13">
        <f t="shared" si="71"/>
        <v>1.0450441563067257E-2</v>
      </c>
      <c r="R643" s="49">
        <f t="shared" si="72"/>
        <v>1</v>
      </c>
    </row>
    <row r="644" spans="1:18" x14ac:dyDescent="0.35">
      <c r="A644" s="64" t="s">
        <v>77</v>
      </c>
      <c r="B644" s="14">
        <v>1.9566123190639217E-2</v>
      </c>
      <c r="C644" s="12">
        <v>2.8395212506106438E-2</v>
      </c>
      <c r="D644" s="12">
        <v>8.8994835121176674E-3</v>
      </c>
      <c r="E644" s="12">
        <v>3.2027626366929463E-2</v>
      </c>
      <c r="F644" s="12">
        <v>1.5570970079718416E-2</v>
      </c>
      <c r="G644" s="12">
        <v>2.3367359488377648E-3</v>
      </c>
      <c r="H644" s="12">
        <v>3.7694499232960865E-3</v>
      </c>
      <c r="I644" s="12">
        <v>1.7531466735165591E-2</v>
      </c>
      <c r="J644" s="12">
        <v>1.4825395261783836E-2</v>
      </c>
      <c r="K644" s="12">
        <v>3.1809145129224614E-3</v>
      </c>
      <c r="L644" s="12">
        <v>-8.6035431796104289E-3</v>
      </c>
      <c r="M644" s="13">
        <f t="shared" si="67"/>
        <v>9.5171140632345323E-3</v>
      </c>
      <c r="N644" s="32">
        <f t="shared" si="68"/>
        <v>135.76690011153798</v>
      </c>
      <c r="O644" s="32">
        <f t="shared" si="69"/>
        <v>121.59217877095001</v>
      </c>
      <c r="P644" s="12" t="str">
        <f t="shared" si="70"/>
        <v/>
      </c>
      <c r="Q644" s="13">
        <f t="shared" si="71"/>
        <v>-1.0049009127404685E-2</v>
      </c>
      <c r="R644" s="49">
        <f t="shared" si="72"/>
        <v>1</v>
      </c>
    </row>
    <row r="645" spans="1:18" x14ac:dyDescent="0.35">
      <c r="A645" s="64" t="s">
        <v>77</v>
      </c>
      <c r="B645" s="14">
        <v>8.2532312863479174E-3</v>
      </c>
      <c r="C645" s="12">
        <v>7.5411198859924866E-3</v>
      </c>
      <c r="D645" s="12">
        <v>-4.4104906670867638E-3</v>
      </c>
      <c r="E645" s="12">
        <v>7.9716563330380907E-3</v>
      </c>
      <c r="F645" s="12">
        <v>3.3029543091318558E-3</v>
      </c>
      <c r="G645" s="12">
        <v>4.2944785276073372E-3</v>
      </c>
      <c r="H645" s="12">
        <v>1.6243832147067705E-2</v>
      </c>
      <c r="I645" s="12">
        <v>1.8239192174187568E-2</v>
      </c>
      <c r="J645" s="12">
        <v>3.5915356241507101E-3</v>
      </c>
      <c r="K645" s="12">
        <v>-2.7744748315498002E-3</v>
      </c>
      <c r="L645" s="12">
        <v>2.0855689824103019E-2</v>
      </c>
      <c r="M645" s="13">
        <f t="shared" si="67"/>
        <v>6.3356879515841435E-3</v>
      </c>
      <c r="N645" s="32">
        <f t="shared" si="68"/>
        <v>136.62707682479856</v>
      </c>
      <c r="O645" s="32">
        <f t="shared" si="69"/>
        <v>122.59570714495763</v>
      </c>
      <c r="P645" s="12" t="str">
        <f t="shared" si="70"/>
        <v/>
      </c>
      <c r="Q645" s="13">
        <f t="shared" si="71"/>
        <v>-1.9175433347637738E-3</v>
      </c>
      <c r="R645" s="49">
        <f t="shared" si="72"/>
        <v>1</v>
      </c>
    </row>
    <row r="646" spans="1:18" x14ac:dyDescent="0.35">
      <c r="A646" s="64">
        <v>8.35</v>
      </c>
      <c r="B646" s="14">
        <v>-3.861392787588569E-4</v>
      </c>
      <c r="C646" s="12">
        <v>-5.304101838755626E-4</v>
      </c>
      <c r="D646" s="12">
        <v>-2.5314452970491841E-3</v>
      </c>
      <c r="E646" s="12">
        <v>-5.5327735468332362E-3</v>
      </c>
      <c r="F646" s="12">
        <v>7.3360564124449468E-3</v>
      </c>
      <c r="G646" s="12">
        <v>-6.108735491753281E-4</v>
      </c>
      <c r="H646" s="12">
        <v>-9.45301422248912E-4</v>
      </c>
      <c r="I646" s="12">
        <v>-1.2520143795710981E-2</v>
      </c>
      <c r="J646" s="12">
        <v>-1.4072927749298803E-2</v>
      </c>
      <c r="K646" s="12">
        <v>4.1732909379967875E-3</v>
      </c>
      <c r="L646" s="12">
        <v>-6.992687385740437E-3</v>
      </c>
      <c r="M646" s="13">
        <f t="shared" si="67"/>
        <v>-4.13041190063525E-3</v>
      </c>
      <c r="N646" s="32">
        <f t="shared" si="68"/>
        <v>136.06275072073242</v>
      </c>
      <c r="O646" s="32">
        <f t="shared" si="69"/>
        <v>122.54836812702175</v>
      </c>
      <c r="P646" s="12">
        <f t="shared" si="70"/>
        <v>-4.13041190063525E-3</v>
      </c>
      <c r="Q646" s="13">
        <f t="shared" si="71"/>
        <v>-3.7442726218763931E-3</v>
      </c>
      <c r="R646" s="49" t="str">
        <f t="shared" si="72"/>
        <v/>
      </c>
    </row>
    <row r="647" spans="1:18" x14ac:dyDescent="0.35">
      <c r="A647" s="64" t="s">
        <v>77</v>
      </c>
      <c r="B647" s="14">
        <v>-1.1586253889876552E-2</v>
      </c>
      <c r="C647" s="12">
        <v>-6.1914027949762085E-3</v>
      </c>
      <c r="D647" s="12">
        <v>-7.3756840352130482E-3</v>
      </c>
      <c r="E647" s="12">
        <v>-4.90901950517042E-4</v>
      </c>
      <c r="F647" s="12">
        <v>-4.6600766592697074E-3</v>
      </c>
      <c r="G647" s="12">
        <v>8.7408312958434653E-3</v>
      </c>
      <c r="H647" s="12">
        <v>-2.3783923272117313E-2</v>
      </c>
      <c r="I647" s="12">
        <v>-3.8099422545819661E-2</v>
      </c>
      <c r="J647" s="12">
        <v>-3.0411536763623737E-3</v>
      </c>
      <c r="K647" s="12">
        <v>-2.7706313081338196E-3</v>
      </c>
      <c r="L647" s="12">
        <v>-9.7574446541169868E-3</v>
      </c>
      <c r="M647" s="13">
        <f t="shared" si="67"/>
        <v>-1.1709799873746114E-2</v>
      </c>
      <c r="N647" s="32">
        <f t="shared" si="68"/>
        <v>134.46948313952126</v>
      </c>
      <c r="O647" s="32">
        <f t="shared" si="69"/>
        <v>121.12849162011202</v>
      </c>
      <c r="P647" s="12">
        <f t="shared" si="70"/>
        <v>-1.1709799873746114E-2</v>
      </c>
      <c r="Q647" s="13">
        <f t="shared" si="71"/>
        <v>-1.2354598386956142E-4</v>
      </c>
      <c r="R647" s="49" t="str">
        <f t="shared" si="72"/>
        <v/>
      </c>
    </row>
    <row r="648" spans="1:18" x14ac:dyDescent="0.35">
      <c r="A648" s="64" t="s">
        <v>77</v>
      </c>
      <c r="B648" s="14">
        <v>-6.9982862330625339E-3</v>
      </c>
      <c r="C648" s="12">
        <v>-6.4673074641035111E-3</v>
      </c>
      <c r="D648" s="12">
        <v>-1.366251198465962E-2</v>
      </c>
      <c r="E648" s="12">
        <v>-3.3070298942406984E-3</v>
      </c>
      <c r="F648" s="12">
        <v>-8.0058371673523698E-3</v>
      </c>
      <c r="G648" s="12">
        <v>-1.3088529358298517E-2</v>
      </c>
      <c r="H648" s="12">
        <v>-4.4056745087672766E-3</v>
      </c>
      <c r="I648" s="12">
        <v>-6.7862969004893747E-3</v>
      </c>
      <c r="J648" s="12">
        <v>-1.1414514145141386E-2</v>
      </c>
      <c r="K648" s="12">
        <v>-3.572137328835101E-3</v>
      </c>
      <c r="L648" s="12">
        <v>2.2774808273295921E-3</v>
      </c>
      <c r="M648" s="13">
        <f t="shared" si="67"/>
        <v>-5.9299355202524001E-3</v>
      </c>
      <c r="N648" s="32">
        <f t="shared" si="68"/>
        <v>133.67208777506224</v>
      </c>
      <c r="O648" s="32">
        <f t="shared" si="69"/>
        <v>120.28079976477535</v>
      </c>
      <c r="P648" s="12">
        <f t="shared" si="70"/>
        <v>-5.9299355202524001E-3</v>
      </c>
      <c r="Q648" s="13">
        <f t="shared" si="71"/>
        <v>1.0683507128101339E-3</v>
      </c>
      <c r="R648" s="49" t="str">
        <f t="shared" si="72"/>
        <v/>
      </c>
    </row>
    <row r="649" spans="1:18" x14ac:dyDescent="0.35">
      <c r="A649" s="64" t="s">
        <v>77</v>
      </c>
      <c r="B649" s="14">
        <v>-7.2187251726456569E-3</v>
      </c>
      <c r="C649" s="12">
        <v>-9.9134069871603669E-3</v>
      </c>
      <c r="D649" s="12">
        <v>-7.1283920615634599E-3</v>
      </c>
      <c r="E649" s="12">
        <v>3.3180026281209862E-3</v>
      </c>
      <c r="F649" s="12">
        <v>-4.4132069303695065E-3</v>
      </c>
      <c r="G649" s="12">
        <v>-4.5435009516793246E-3</v>
      </c>
      <c r="H649" s="12">
        <v>-1.6815647402425027E-3</v>
      </c>
      <c r="I649" s="12">
        <v>-2.233755995006903E-2</v>
      </c>
      <c r="J649" s="12">
        <v>-1.9310207534962376E-2</v>
      </c>
      <c r="K649" s="12">
        <v>-9.9581756622191264E-4</v>
      </c>
      <c r="L649" s="12">
        <v>-2.439250602856613E-2</v>
      </c>
      <c r="M649" s="13">
        <f t="shared" si="67"/>
        <v>-1.0170586353914587E-2</v>
      </c>
      <c r="N649" s="32">
        <f t="shared" si="68"/>
        <v>132.31256426323793</v>
      </c>
      <c r="O649" s="32">
        <f t="shared" si="69"/>
        <v>119.41252572772741</v>
      </c>
      <c r="P649" s="12">
        <f t="shared" si="70"/>
        <v>-1.0170586353914587E-2</v>
      </c>
      <c r="Q649" s="13">
        <f t="shared" si="71"/>
        <v>-2.9518611812689305E-3</v>
      </c>
      <c r="R649" s="49" t="str">
        <f t="shared" si="72"/>
        <v/>
      </c>
    </row>
    <row r="650" spans="1:18" x14ac:dyDescent="0.35">
      <c r="A650" s="64" t="s">
        <v>77</v>
      </c>
      <c r="B650" s="14">
        <v>1.8474744042430657E-2</v>
      </c>
      <c r="C650" s="12">
        <v>4.6926835152904189E-2</v>
      </c>
      <c r="D650" s="12">
        <v>8.8112915068940811E-3</v>
      </c>
      <c r="E650" s="12">
        <v>1.7157264005762674E-2</v>
      </c>
      <c r="F650" s="12">
        <v>1.4365457231981571E-2</v>
      </c>
      <c r="G650" s="12">
        <v>3.392339480663642E-3</v>
      </c>
      <c r="H650" s="12">
        <v>2.7393617021276517E-2</v>
      </c>
      <c r="I650" s="12">
        <v>2.5804717424904311E-2</v>
      </c>
      <c r="J650" s="12">
        <v>6.5465617863484926E-3</v>
      </c>
      <c r="K650" s="12">
        <v>8.5725677830943425E-3</v>
      </c>
      <c r="L650" s="12">
        <v>2.2388059701492491E-2</v>
      </c>
      <c r="M650" s="13">
        <f t="shared" si="67"/>
        <v>1.5499323302475913E-2</v>
      </c>
      <c r="N650" s="32">
        <f t="shared" si="68"/>
        <v>134.36331947373347</v>
      </c>
      <c r="O650" s="32">
        <f t="shared" si="69"/>
        <v>121.61864157600735</v>
      </c>
      <c r="P650" s="12" t="str">
        <f t="shared" si="70"/>
        <v/>
      </c>
      <c r="Q650" s="13">
        <f t="shared" si="71"/>
        <v>-2.9754207399547445E-3</v>
      </c>
      <c r="R650" s="49">
        <f t="shared" si="72"/>
        <v>1</v>
      </c>
    </row>
    <row r="651" spans="1:18" x14ac:dyDescent="0.35">
      <c r="A651" s="64">
        <v>8.35</v>
      </c>
      <c r="B651" s="14">
        <v>4.5210033242670811E-4</v>
      </c>
      <c r="C651" s="12">
        <v>-4.0329550037443429E-4</v>
      </c>
      <c r="D651" s="12">
        <v>-2.021835826930829E-3</v>
      </c>
      <c r="E651" s="12">
        <v>-6.4381136327056332E-3</v>
      </c>
      <c r="F651" s="12">
        <v>-3.3584203285585978E-3</v>
      </c>
      <c r="G651" s="12">
        <v>-2.2744037373986226E-3</v>
      </c>
      <c r="H651" s="12">
        <v>1.9414962464405772E-3</v>
      </c>
      <c r="I651" s="12">
        <v>2.5548640681296586E-3</v>
      </c>
      <c r="J651" s="12">
        <v>-5.4451951194918191E-3</v>
      </c>
      <c r="K651" s="12">
        <v>6.3253607432296466E-3</v>
      </c>
      <c r="L651" s="12">
        <v>-1.3947649821005603E-3</v>
      </c>
      <c r="M651" s="13">
        <f t="shared" si="67"/>
        <v>2.2043316970422408E-4</v>
      </c>
      <c r="N651" s="32">
        <f t="shared" si="68"/>
        <v>134.39293760613705</v>
      </c>
      <c r="O651" s="32">
        <f t="shared" si="69"/>
        <v>121.67362540429315</v>
      </c>
      <c r="P651" s="12" t="str">
        <f t="shared" si="70"/>
        <v/>
      </c>
      <c r="Q651" s="13">
        <f t="shared" si="71"/>
        <v>-2.3166716272248402E-4</v>
      </c>
      <c r="R651" s="49">
        <f t="shared" si="72"/>
        <v>1</v>
      </c>
    </row>
    <row r="652" spans="1:18" x14ac:dyDescent="0.35">
      <c r="A652" s="64" t="s">
        <v>77</v>
      </c>
      <c r="B652" s="14">
        <v>-4.5793742085777911E-3</v>
      </c>
      <c r="C652" s="12">
        <v>-9.9711815561959183E-3</v>
      </c>
      <c r="D652" s="12">
        <v>-1.807131280388985E-2</v>
      </c>
      <c r="E652" s="12">
        <v>-5.3458610076136948E-3</v>
      </c>
      <c r="F652" s="12">
        <v>-4.5471154236531586E-3</v>
      </c>
      <c r="G652" s="12">
        <v>-7.76292280204538E-3</v>
      </c>
      <c r="H652" s="12">
        <v>4.4352581492486109E-3</v>
      </c>
      <c r="I652" s="12">
        <v>2.2216414009410546E-3</v>
      </c>
      <c r="J652" s="12">
        <v>2.3420865862313622E-2</v>
      </c>
      <c r="K652" s="12">
        <v>1.5714005107052564E-3</v>
      </c>
      <c r="L652" s="12">
        <v>-6.0524232971739256E-3</v>
      </c>
      <c r="M652" s="13">
        <f t="shared" si="67"/>
        <v>-5.9556638290757247E-3</v>
      </c>
      <c r="N652" s="32">
        <f t="shared" si="68"/>
        <v>133.59253844875295</v>
      </c>
      <c r="O652" s="32">
        <f t="shared" si="69"/>
        <v>121.11643634225257</v>
      </c>
      <c r="P652" s="12">
        <f t="shared" si="70"/>
        <v>-5.9556638290757247E-3</v>
      </c>
      <c r="Q652" s="13">
        <f t="shared" si="71"/>
        <v>-1.3762896204979336E-3</v>
      </c>
      <c r="R652" s="49" t="str">
        <f t="shared" si="72"/>
        <v/>
      </c>
    </row>
    <row r="653" spans="1:18" x14ac:dyDescent="0.35">
      <c r="A653" s="64" t="s">
        <v>77</v>
      </c>
      <c r="B653" s="14">
        <v>4.4839130213125689E-3</v>
      </c>
      <c r="C653" s="12">
        <v>1.0362694300518172E-2</v>
      </c>
      <c r="D653" s="12">
        <v>7.0149376908474892E-3</v>
      </c>
      <c r="E653" s="12">
        <v>1.7296416938110681E-2</v>
      </c>
      <c r="F653" s="12">
        <v>-6.3216281251277096E-4</v>
      </c>
      <c r="G653" s="12">
        <v>3.725551071095845E-3</v>
      </c>
      <c r="H653" s="12">
        <v>-8.5312526794134591E-3</v>
      </c>
      <c r="I653" s="12">
        <v>-3.0642847828921571E-2</v>
      </c>
      <c r="J653" s="12">
        <v>-5.1515751931839882E-3</v>
      </c>
      <c r="K653" s="12">
        <v>-2.745636399294038E-3</v>
      </c>
      <c r="L653" s="12">
        <v>-1.4988992458664363E-3</v>
      </c>
      <c r="M653" s="13">
        <f t="shared" si="67"/>
        <v>-2.4403601723622281E-3</v>
      </c>
      <c r="N653" s="32">
        <f t="shared" si="68"/>
        <v>133.26652453859785</v>
      </c>
      <c r="O653" s="32">
        <f t="shared" si="69"/>
        <v>121.65951190826257</v>
      </c>
      <c r="P653" s="12">
        <f t="shared" si="70"/>
        <v>-2.4403601723622281E-3</v>
      </c>
      <c r="Q653" s="13">
        <f t="shared" si="71"/>
        <v>-6.9242731936747966E-3</v>
      </c>
      <c r="R653" s="49" t="str">
        <f t="shared" si="72"/>
        <v/>
      </c>
    </row>
    <row r="654" spans="1:18" x14ac:dyDescent="0.35">
      <c r="A654" s="64" t="s">
        <v>77</v>
      </c>
      <c r="B654" s="14">
        <v>-1.6966193288928677E-3</v>
      </c>
      <c r="C654" s="12">
        <v>1.1524056467875354E-3</v>
      </c>
      <c r="D654" s="12">
        <v>-9.1788231437468504E-3</v>
      </c>
      <c r="E654" s="12">
        <v>-7.0442829240178195E-3</v>
      </c>
      <c r="F654" s="12">
        <v>-2.6730875181096847E-3</v>
      </c>
      <c r="G654" s="12">
        <v>-4.0828951438292016E-3</v>
      </c>
      <c r="H654" s="12">
        <v>-1.1242270938730536E-3</v>
      </c>
      <c r="I654" s="12">
        <v>-4.6408393866020914E-3</v>
      </c>
      <c r="J654" s="12">
        <v>4.9790878311093412E-3</v>
      </c>
      <c r="K654" s="12">
        <v>3.736479842674445E-3</v>
      </c>
      <c r="L654" s="12">
        <v>-1.4730027677440471E-2</v>
      </c>
      <c r="M654" s="13">
        <f t="shared" si="67"/>
        <v>-6.0628607098740343E-3</v>
      </c>
      <c r="N654" s="32">
        <f t="shared" si="68"/>
        <v>132.45854816303131</v>
      </c>
      <c r="O654" s="32">
        <f t="shared" si="69"/>
        <v>121.45310202881534</v>
      </c>
      <c r="P654" s="12">
        <f t="shared" si="70"/>
        <v>-6.0628607098740343E-3</v>
      </c>
      <c r="Q654" s="13">
        <f t="shared" si="71"/>
        <v>-4.3662413809811666E-3</v>
      </c>
      <c r="R654" s="49" t="str">
        <f t="shared" si="72"/>
        <v/>
      </c>
    </row>
    <row r="655" spans="1:18" x14ac:dyDescent="0.35">
      <c r="A655" s="64" t="s">
        <v>77</v>
      </c>
      <c r="B655" s="14">
        <v>-1.5832974226629437E-3</v>
      </c>
      <c r="C655" s="12">
        <v>-6.7913669064748605E-3</v>
      </c>
      <c r="D655" s="12">
        <v>1.6046319272125631E-2</v>
      </c>
      <c r="E655" s="12">
        <v>-3.6761149269614046E-3</v>
      </c>
      <c r="F655" s="12">
        <v>5.0536050413292344E-3</v>
      </c>
      <c r="G655" s="12">
        <v>-1.3044288465122733E-3</v>
      </c>
      <c r="H655" s="12">
        <v>1.6016622657029078E-3</v>
      </c>
      <c r="I655" s="12">
        <v>-4.0543279951354982E-4</v>
      </c>
      <c r="J655" s="12">
        <v>-5.6480380499406291E-3</v>
      </c>
      <c r="K655" s="12">
        <v>-3.9184952978044141E-4</v>
      </c>
      <c r="L655" s="12">
        <v>-2.333000047612277E-3</v>
      </c>
      <c r="M655" s="13">
        <f t="shared" si="67"/>
        <v>3.3331819789731362E-3</v>
      </c>
      <c r="N655" s="32">
        <f t="shared" si="68"/>
        <v>132.90005660872924</v>
      </c>
      <c r="O655" s="32">
        <f t="shared" si="69"/>
        <v>121.26080564539869</v>
      </c>
      <c r="P655" s="12" t="str">
        <f t="shared" si="70"/>
        <v/>
      </c>
      <c r="Q655" s="13">
        <f t="shared" si="71"/>
        <v>4.9164794016360799E-3</v>
      </c>
      <c r="R655" s="49">
        <f t="shared" si="72"/>
        <v>1</v>
      </c>
    </row>
    <row r="656" spans="1:18" x14ac:dyDescent="0.35">
      <c r="A656" s="64">
        <v>8.5500000000000007</v>
      </c>
      <c r="B656" s="14">
        <v>2.958235533743192E-3</v>
      </c>
      <c r="C656" s="12">
        <v>-2.8973749782696956E-3</v>
      </c>
      <c r="D656" s="12">
        <v>4.2331488114619731E-3</v>
      </c>
      <c r="E656" s="12">
        <v>1.5859144900798317E-3</v>
      </c>
      <c r="F656" s="12">
        <v>-8.896036479856706E-3</v>
      </c>
      <c r="G656" s="12">
        <v>-7.65020524940907E-3</v>
      </c>
      <c r="H656" s="12">
        <v>6.1803094476617915E-3</v>
      </c>
      <c r="I656" s="12">
        <v>1.3993104846887094E-2</v>
      </c>
      <c r="J656" s="12">
        <v>1.0313901345291532E-2</v>
      </c>
      <c r="K656" s="12">
        <v>-7.6440611524892788E-3</v>
      </c>
      <c r="L656" s="12">
        <v>8.3516273742483271E-3</v>
      </c>
      <c r="M656" s="13">
        <f t="shared" si="67"/>
        <v>3.7875648673393846E-3</v>
      </c>
      <c r="N656" s="32">
        <f t="shared" si="68"/>
        <v>133.40342419400787</v>
      </c>
      <c r="O656" s="32">
        <f t="shared" si="69"/>
        <v>121.61952366950923</v>
      </c>
      <c r="P656" s="12" t="str">
        <f t="shared" si="70"/>
        <v/>
      </c>
      <c r="Q656" s="13">
        <f t="shared" si="71"/>
        <v>8.2932933359619251E-4</v>
      </c>
      <c r="R656" s="49">
        <f t="shared" si="72"/>
        <v>1</v>
      </c>
    </row>
    <row r="657" spans="1:18" x14ac:dyDescent="0.35">
      <c r="A657" s="64" t="s">
        <v>77</v>
      </c>
      <c r="B657" s="14">
        <v>-6.3777113735047353E-3</v>
      </c>
      <c r="C657" s="12">
        <v>0</v>
      </c>
      <c r="D657" s="12">
        <v>8.1063553826199453E-4</v>
      </c>
      <c r="E657" s="12">
        <v>7.367672720222318E-3</v>
      </c>
      <c r="F657" s="12">
        <v>-1.4665406893151989E-2</v>
      </c>
      <c r="G657" s="12">
        <v>-1.3162018176120505E-3</v>
      </c>
      <c r="H657" s="12">
        <v>-1.0051114642841807E-2</v>
      </c>
      <c r="I657" s="12">
        <v>-1.0600000000000054E-2</v>
      </c>
      <c r="J657" s="12">
        <v>-9.3702224194900374E-3</v>
      </c>
      <c r="K657" s="12">
        <v>-1.382579498321157E-2</v>
      </c>
      <c r="L657" s="12">
        <v>-1.9357281461498399E-2</v>
      </c>
      <c r="M657" s="13">
        <f t="shared" ref="M657:M720" si="73">SUMPRODUCT($C$2:$L$2,C657:L657)</f>
        <v>-7.1820608264267071E-3</v>
      </c>
      <c r="N657" s="32">
        <f t="shared" ref="N657:N720" si="74">+(N656*(1+M657))</f>
        <v>132.44531268699291</v>
      </c>
      <c r="O657" s="32">
        <f t="shared" ref="O657:O720" si="75">+(O656*(1+B657))</f>
        <v>120.84386945016198</v>
      </c>
      <c r="P657" s="12">
        <f t="shared" ref="P657:P720" si="76">+IF(M657&lt;0,M657,"")</f>
        <v>-7.1820608264267071E-3</v>
      </c>
      <c r="Q657" s="13">
        <f t="shared" ref="Q657:Q720" si="77">M657-B657</f>
        <v>-8.0434945292197184E-4</v>
      </c>
      <c r="R657" s="49" t="str">
        <f t="shared" ref="R657:R720" si="78">+IF(M657&gt;0,1,"")</f>
        <v/>
      </c>
    </row>
    <row r="658" spans="1:18" x14ac:dyDescent="0.35">
      <c r="A658" s="64" t="s">
        <v>77</v>
      </c>
      <c r="B658" s="14">
        <v>1.1890800262780221E-2</v>
      </c>
      <c r="C658" s="12">
        <v>3.6031847503923409E-3</v>
      </c>
      <c r="D658" s="12">
        <v>1.8224526162319732E-2</v>
      </c>
      <c r="E658" s="12">
        <v>7.2496311028420468E-3</v>
      </c>
      <c r="F658" s="12">
        <v>1.0610356041023783E-2</v>
      </c>
      <c r="G658" s="12">
        <v>-2.196560813355064E-3</v>
      </c>
      <c r="H658" s="12">
        <v>9.45893174816681E-3</v>
      </c>
      <c r="I658" s="12">
        <v>2.4796172764638635E-2</v>
      </c>
      <c r="J658" s="12">
        <v>2.9870065216309083E-2</v>
      </c>
      <c r="K658" s="12">
        <v>-1.8025235329460765E-3</v>
      </c>
      <c r="L658" s="12">
        <v>2.3648648648648685E-2</v>
      </c>
      <c r="M658" s="13">
        <f t="shared" si="73"/>
        <v>1.4406531685128583E-2</v>
      </c>
      <c r="N658" s="32">
        <f t="shared" si="74"/>
        <v>134.35339028076481</v>
      </c>
      <c r="O658" s="32">
        <f t="shared" si="75"/>
        <v>122.28079976477534</v>
      </c>
      <c r="P658" s="12" t="str">
        <f t="shared" si="76"/>
        <v/>
      </c>
      <c r="Q658" s="13">
        <f t="shared" si="77"/>
        <v>2.5157314223483614E-3</v>
      </c>
      <c r="R658" s="49">
        <f t="shared" si="78"/>
        <v>1</v>
      </c>
    </row>
    <row r="659" spans="1:18" x14ac:dyDescent="0.35">
      <c r="A659" s="64" t="s">
        <v>77</v>
      </c>
      <c r="B659" s="14">
        <v>9.4451003541911049E-3</v>
      </c>
      <c r="C659" s="12">
        <v>1.3666106896751407E-2</v>
      </c>
      <c r="D659" s="12">
        <v>3.5001193222496951E-3</v>
      </c>
      <c r="E659" s="12">
        <v>1.4394904458598701E-2</v>
      </c>
      <c r="F659" s="12">
        <v>-1.1509663579546636E-2</v>
      </c>
      <c r="G659" s="12">
        <v>-3.2077489150261762E-3</v>
      </c>
      <c r="H659" s="12">
        <v>4.0833870621104218E-3</v>
      </c>
      <c r="I659" s="12">
        <v>9.1393253994345169E-3</v>
      </c>
      <c r="J659" s="12">
        <v>1.7885628655678332E-3</v>
      </c>
      <c r="K659" s="12">
        <v>1.3041733547351386E-2</v>
      </c>
      <c r="L659" s="12">
        <v>1.2352663837812417E-2</v>
      </c>
      <c r="M659" s="13">
        <f t="shared" si="73"/>
        <v>9.7408048149931481E-3</v>
      </c>
      <c r="N659" s="32">
        <f t="shared" si="74"/>
        <v>135.66210043172234</v>
      </c>
      <c r="O659" s="32">
        <f t="shared" si="75"/>
        <v>123.43575418994439</v>
      </c>
      <c r="P659" s="12" t="str">
        <f t="shared" si="76"/>
        <v/>
      </c>
      <c r="Q659" s="13">
        <f t="shared" si="77"/>
        <v>2.9570446080204316E-4</v>
      </c>
      <c r="R659" s="49">
        <f t="shared" si="78"/>
        <v>1</v>
      </c>
    </row>
    <row r="660" spans="1:18" x14ac:dyDescent="0.35">
      <c r="A660" s="64" t="s">
        <v>77</v>
      </c>
      <c r="B660" s="14">
        <v>-1.445909410321633E-3</v>
      </c>
      <c r="C660" s="12">
        <v>6.2839188803187618E-4</v>
      </c>
      <c r="D660" s="12">
        <v>8.7990487514864046E-3</v>
      </c>
      <c r="E660" s="12">
        <v>-5.6511365063416363E-4</v>
      </c>
      <c r="F660" s="12">
        <v>-8.5553909396329786E-4</v>
      </c>
      <c r="G660" s="12">
        <v>2.7132761231700719E-3</v>
      </c>
      <c r="H660" s="12">
        <v>-1.2414383561643039E-3</v>
      </c>
      <c r="I660" s="12">
        <v>-3.4532186604118165E-3</v>
      </c>
      <c r="J660" s="12">
        <v>-8.4443157691564963E-3</v>
      </c>
      <c r="K660" s="12">
        <v>-1.0299069122598592E-2</v>
      </c>
      <c r="L660" s="12">
        <v>2.794336810729714E-4</v>
      </c>
      <c r="M660" s="13">
        <f t="shared" si="73"/>
        <v>-5.8417839967709305E-4</v>
      </c>
      <c r="N660" s="32">
        <f t="shared" si="74"/>
        <v>135.58284956299531</v>
      </c>
      <c r="O660" s="32">
        <f t="shared" si="75"/>
        <v>123.257277271391</v>
      </c>
      <c r="P660" s="12">
        <f t="shared" si="76"/>
        <v>-5.8417839967709305E-4</v>
      </c>
      <c r="Q660" s="13">
        <f t="shared" si="77"/>
        <v>8.6173101064453996E-4</v>
      </c>
      <c r="R660" s="49" t="str">
        <f t="shared" si="78"/>
        <v/>
      </c>
    </row>
    <row r="661" spans="1:18" x14ac:dyDescent="0.35">
      <c r="A661" s="64">
        <v>8.75</v>
      </c>
      <c r="B661" s="14">
        <v>1.5505799168891166E-4</v>
      </c>
      <c r="C661" s="12">
        <v>-5.4807033569308494E-3</v>
      </c>
      <c r="D661" s="12">
        <v>1.885902876001877E-3</v>
      </c>
      <c r="E661" s="12">
        <v>8.9212791355155474E-3</v>
      </c>
      <c r="F661" s="12">
        <v>3.759241468610286E-3</v>
      </c>
      <c r="G661" s="12">
        <v>-1.2837455163299927E-2</v>
      </c>
      <c r="H661" s="12">
        <v>-8.7008700870087052E-3</v>
      </c>
      <c r="I661" s="12">
        <v>1.673749591369722E-2</v>
      </c>
      <c r="J661" s="12">
        <v>2.0438950800525379E-3</v>
      </c>
      <c r="K661" s="12">
        <v>-8.8052831699019229E-3</v>
      </c>
      <c r="L661" s="12">
        <v>-2.4210820374337416E-3</v>
      </c>
      <c r="M661" s="13">
        <f t="shared" si="73"/>
        <v>2.5978031323470314E-3</v>
      </c>
      <c r="N661" s="32">
        <f t="shared" si="74"/>
        <v>135.93506711428259</v>
      </c>
      <c r="O661" s="32">
        <f t="shared" si="75"/>
        <v>123.27638929726575</v>
      </c>
      <c r="P661" s="12" t="str">
        <f t="shared" si="76"/>
        <v/>
      </c>
      <c r="Q661" s="13">
        <f t="shared" si="77"/>
        <v>2.4427451406581198E-3</v>
      </c>
      <c r="R661" s="49">
        <f t="shared" si="78"/>
        <v>1</v>
      </c>
    </row>
    <row r="662" spans="1:18" x14ac:dyDescent="0.35">
      <c r="A662" s="64" t="s">
        <v>77</v>
      </c>
      <c r="B662" s="14">
        <v>-1.1222073018606449E-2</v>
      </c>
      <c r="C662" s="12">
        <v>-1.5154994259471755E-2</v>
      </c>
      <c r="D662" s="12">
        <v>5.3333333333334121E-3</v>
      </c>
      <c r="E662" s="12">
        <v>-1.8432031882433586E-2</v>
      </c>
      <c r="F662" s="12">
        <v>-2.4551620823103359E-3</v>
      </c>
      <c r="G662" s="12">
        <v>-3.8248231019322176E-4</v>
      </c>
      <c r="H662" s="12">
        <v>-2.8969214804565824E-2</v>
      </c>
      <c r="I662" s="12">
        <v>-1.8969841167770451E-2</v>
      </c>
      <c r="J662" s="12">
        <v>-1.6074984216405186E-2</v>
      </c>
      <c r="K662" s="12">
        <v>-1.8170805572380599E-3</v>
      </c>
      <c r="L662" s="12">
        <v>-7.2342014375057495E-3</v>
      </c>
      <c r="M662" s="13">
        <f t="shared" si="73"/>
        <v>-6.3861227658814435E-3</v>
      </c>
      <c r="N662" s="32">
        <f t="shared" si="74"/>
        <v>135.06696908750246</v>
      </c>
      <c r="O662" s="32">
        <f t="shared" si="75"/>
        <v>121.89297265510169</v>
      </c>
      <c r="P662" s="12">
        <f t="shared" si="76"/>
        <v>-6.3861227658814435E-3</v>
      </c>
      <c r="Q662" s="13">
        <f t="shared" si="77"/>
        <v>4.8359502527250053E-3</v>
      </c>
      <c r="R662" s="49" t="str">
        <f t="shared" si="78"/>
        <v/>
      </c>
    </row>
    <row r="663" spans="1:18" x14ac:dyDescent="0.35">
      <c r="A663" s="64" t="s">
        <v>77</v>
      </c>
      <c r="B663" s="14">
        <v>-7.3186381640205633E-3</v>
      </c>
      <c r="C663" s="12">
        <v>1.6320820704127659E-3</v>
      </c>
      <c r="D663" s="12">
        <v>-1.9503822749258881E-2</v>
      </c>
      <c r="E663" s="12">
        <v>-4.4724988898051654E-3</v>
      </c>
      <c r="F663" s="12">
        <v>2.8992157517102601E-3</v>
      </c>
      <c r="G663" s="12">
        <v>-9.5657164721640875E-4</v>
      </c>
      <c r="H663" s="12">
        <v>-1.0374922076765603E-2</v>
      </c>
      <c r="I663" s="12">
        <v>-1.2060828526481382E-2</v>
      </c>
      <c r="J663" s="12">
        <v>-1.6436327739387857E-2</v>
      </c>
      <c r="K663" s="12">
        <v>-4.6521035598704463E-3</v>
      </c>
      <c r="L663" s="12">
        <v>-1.4150721639791364E-2</v>
      </c>
      <c r="M663" s="13">
        <f t="shared" si="73"/>
        <v>-1.1748270815666196E-2</v>
      </c>
      <c r="N663" s="32">
        <f t="shared" si="74"/>
        <v>133.48016575641125</v>
      </c>
      <c r="O663" s="32">
        <f t="shared" si="75"/>
        <v>121.00088209350214</v>
      </c>
      <c r="P663" s="12">
        <f t="shared" si="76"/>
        <v>-1.1748270815666196E-2</v>
      </c>
      <c r="Q663" s="13">
        <f t="shared" si="77"/>
        <v>-4.4296326516456326E-3</v>
      </c>
      <c r="R663" s="49" t="str">
        <f t="shared" si="78"/>
        <v/>
      </c>
    </row>
    <row r="664" spans="1:18" x14ac:dyDescent="0.35">
      <c r="A664" s="64" t="s">
        <v>77</v>
      </c>
      <c r="B664" s="14">
        <v>8.7576909244662104E-3</v>
      </c>
      <c r="C664" s="12">
        <v>6.6922718808193338E-3</v>
      </c>
      <c r="D664" s="12">
        <v>8.5932527052832164E-3</v>
      </c>
      <c r="E664" s="12">
        <v>3.8457862036004542E-2</v>
      </c>
      <c r="F664" s="12">
        <v>-6.5095771894432275E-3</v>
      </c>
      <c r="G664" s="12">
        <v>-1.4362313289927209E-2</v>
      </c>
      <c r="H664" s="12">
        <v>5.0843644544431577E-3</v>
      </c>
      <c r="I664" s="12">
        <v>2.3885350318473275E-3</v>
      </c>
      <c r="J664" s="12">
        <v>8.0293069704420184E-3</v>
      </c>
      <c r="K664" s="12">
        <v>-9.957325746799417E-3</v>
      </c>
      <c r="L664" s="12">
        <v>1.3352408202194077E-3</v>
      </c>
      <c r="M664" s="13">
        <f t="shared" si="73"/>
        <v>6.1615421630707981E-3</v>
      </c>
      <c r="N664" s="32">
        <f t="shared" si="74"/>
        <v>134.30260942565306</v>
      </c>
      <c r="O664" s="32">
        <f t="shared" si="75"/>
        <v>122.06057042046481</v>
      </c>
      <c r="P664" s="12" t="str">
        <f t="shared" si="76"/>
        <v/>
      </c>
      <c r="Q664" s="13">
        <f t="shared" si="77"/>
        <v>-2.5961487613954124E-3</v>
      </c>
      <c r="R664" s="49">
        <f t="shared" si="78"/>
        <v>1</v>
      </c>
    </row>
    <row r="665" spans="1:18" x14ac:dyDescent="0.35">
      <c r="A665" s="64">
        <v>8.61</v>
      </c>
      <c r="B665" s="14">
        <v>1.3048987300302572E-2</v>
      </c>
      <c r="C665" s="12">
        <v>1.4104861552690862E-2</v>
      </c>
      <c r="D665" s="12">
        <v>1.6803408015146681E-2</v>
      </c>
      <c r="E665" s="12">
        <v>2.1385616102110871E-2</v>
      </c>
      <c r="F665" s="12">
        <v>7.9966506175424001E-3</v>
      </c>
      <c r="G665" s="12">
        <v>-3.8857586943852329E-4</v>
      </c>
      <c r="H665" s="12">
        <v>7.2969827200286552E-3</v>
      </c>
      <c r="I665" s="12">
        <v>4.0773100344188462E-2</v>
      </c>
      <c r="J665" s="12">
        <v>1.3740229999502196E-2</v>
      </c>
      <c r="K665" s="12">
        <v>1.847290640394128E-3</v>
      </c>
      <c r="L665" s="12">
        <v>8.6674921421088236E-3</v>
      </c>
      <c r="M665" s="13">
        <f t="shared" si="73"/>
        <v>1.7324374270688454E-2</v>
      </c>
      <c r="N665" s="32">
        <f t="shared" si="74"/>
        <v>136.62931809687319</v>
      </c>
      <c r="O665" s="32">
        <f t="shared" si="75"/>
        <v>123.65333725374914</v>
      </c>
      <c r="P665" s="12" t="str">
        <f t="shared" si="76"/>
        <v/>
      </c>
      <c r="Q665" s="13">
        <f t="shared" si="77"/>
        <v>4.2753869703858818E-3</v>
      </c>
      <c r="R665" s="49">
        <f t="shared" si="78"/>
        <v>1</v>
      </c>
    </row>
    <row r="666" spans="1:18" x14ac:dyDescent="0.35">
      <c r="A666" s="64" t="s">
        <v>77</v>
      </c>
      <c r="B666" s="14">
        <v>1.6645067709930572E-5</v>
      </c>
      <c r="C666" s="12">
        <v>1.0659522316593506E-2</v>
      </c>
      <c r="D666" s="12">
        <v>4.5775467452866536E-3</v>
      </c>
      <c r="E666" s="12">
        <v>-5.0467121271291493E-3</v>
      </c>
      <c r="F666" s="12">
        <v>-3.4681840837347266E-3</v>
      </c>
      <c r="G666" s="12">
        <v>1.2957563977988862E-4</v>
      </c>
      <c r="H666" s="12">
        <v>-1.4977112128349845E-2</v>
      </c>
      <c r="I666" s="12">
        <v>4.8969727804628604E-3</v>
      </c>
      <c r="J666" s="12">
        <v>5.2055198153513338E-3</v>
      </c>
      <c r="K666" s="12">
        <v>-2.4585125998771717E-3</v>
      </c>
      <c r="L666" s="12">
        <v>-8.9707271010387446E-3</v>
      </c>
      <c r="M666" s="13">
        <f t="shared" si="73"/>
        <v>-5.7753421173866522E-4</v>
      </c>
      <c r="N666" s="32">
        <f t="shared" si="74"/>
        <v>136.55040999134573</v>
      </c>
      <c r="O666" s="32">
        <f t="shared" si="75"/>
        <v>123.65539547192029</v>
      </c>
      <c r="P666" s="12">
        <f t="shared" si="76"/>
        <v>-5.7753421173866522E-4</v>
      </c>
      <c r="Q666" s="13">
        <f t="shared" si="77"/>
        <v>-5.9417927944859579E-4</v>
      </c>
      <c r="R666" s="49" t="str">
        <f t="shared" si="78"/>
        <v/>
      </c>
    </row>
    <row r="667" spans="1:18" x14ac:dyDescent="0.35">
      <c r="A667" s="64" t="s">
        <v>77</v>
      </c>
      <c r="B667" s="14">
        <v>-6.1086381707852189E-3</v>
      </c>
      <c r="C667" s="12">
        <v>-2.8200789622112588E-4</v>
      </c>
      <c r="D667" s="12">
        <v>-6.873648439913449E-3</v>
      </c>
      <c r="E667" s="12">
        <v>-8.514235681289839E-3</v>
      </c>
      <c r="F667" s="12">
        <v>1.5400646035219401E-2</v>
      </c>
      <c r="G667" s="12">
        <v>4.469780397745593E-3</v>
      </c>
      <c r="H667" s="12">
        <v>-2.7522107922757222E-3</v>
      </c>
      <c r="I667" s="12">
        <v>3.480792354914275E-3</v>
      </c>
      <c r="J667" s="12">
        <v>4.9342908788900797E-3</v>
      </c>
      <c r="K667" s="12">
        <v>5.5452865064695711E-3</v>
      </c>
      <c r="L667" s="12">
        <v>-1.9771319676036181E-2</v>
      </c>
      <c r="M667" s="13">
        <f t="shared" si="73"/>
        <v>-4.523163466795023E-3</v>
      </c>
      <c r="N667" s="32">
        <f t="shared" si="74"/>
        <v>135.932770165497</v>
      </c>
      <c r="O667" s="32">
        <f t="shared" si="75"/>
        <v>122.90002940311697</v>
      </c>
      <c r="P667" s="12">
        <f t="shared" si="76"/>
        <v>-4.523163466795023E-3</v>
      </c>
      <c r="Q667" s="13">
        <f t="shared" si="77"/>
        <v>1.5854747039901959E-3</v>
      </c>
      <c r="R667" s="49" t="str">
        <f t="shared" si="78"/>
        <v/>
      </c>
    </row>
    <row r="668" spans="1:18" x14ac:dyDescent="0.35">
      <c r="A668" s="64" t="s">
        <v>77</v>
      </c>
      <c r="B668" s="14">
        <v>9.8544677654355262E-3</v>
      </c>
      <c r="C668" s="12">
        <v>1.6022566995768761E-2</v>
      </c>
      <c r="D668" s="12">
        <v>9.565285014386804E-3</v>
      </c>
      <c r="E668" s="12">
        <v>1.2759219221048168E-2</v>
      </c>
      <c r="F668" s="12">
        <v>1.3114686807322862E-2</v>
      </c>
      <c r="G668" s="12">
        <v>-3.3535405649426364E-3</v>
      </c>
      <c r="H668" s="12">
        <v>2.4747771795683882E-2</v>
      </c>
      <c r="I668" s="12">
        <v>2.6236125126135157E-2</v>
      </c>
      <c r="J668" s="12">
        <v>1.0986874088478427E-2</v>
      </c>
      <c r="K668" s="12">
        <v>3.6764705882352811E-3</v>
      </c>
      <c r="L668" s="12">
        <v>1.6136087484811545E-2</v>
      </c>
      <c r="M668" s="13">
        <f t="shared" si="73"/>
        <v>1.3019148286615665E-2</v>
      </c>
      <c r="N668" s="32">
        <f t="shared" si="74"/>
        <v>137.70249905729207</v>
      </c>
      <c r="O668" s="32">
        <f t="shared" si="75"/>
        <v>124.11114378124107</v>
      </c>
      <c r="P668" s="12" t="str">
        <f t="shared" si="76"/>
        <v/>
      </c>
      <c r="Q668" s="13">
        <f t="shared" si="77"/>
        <v>3.1646805211801386E-3</v>
      </c>
      <c r="R668" s="49">
        <f t="shared" si="78"/>
        <v>1</v>
      </c>
    </row>
    <row r="669" spans="1:18" x14ac:dyDescent="0.35">
      <c r="A669" s="64" t="s">
        <v>77</v>
      </c>
      <c r="B669" s="14">
        <v>1.4534401637518846E-2</v>
      </c>
      <c r="C669" s="12">
        <v>4.7753900827363083E-3</v>
      </c>
      <c r="D669" s="12">
        <v>2.0027730704051727E-2</v>
      </c>
      <c r="E669" s="12">
        <v>8.4791629081724107E-3</v>
      </c>
      <c r="F669" s="12">
        <v>1.2053562384782168E-2</v>
      </c>
      <c r="G669" s="12">
        <v>1.5724084379448833E-2</v>
      </c>
      <c r="H669" s="12">
        <v>1.0110375275938166E-2</v>
      </c>
      <c r="I669" s="12">
        <v>3.5889872173058057E-2</v>
      </c>
      <c r="J669" s="12">
        <v>2.5774187343719834E-2</v>
      </c>
      <c r="K669" s="12">
        <v>9.5645095645096045E-3</v>
      </c>
      <c r="L669" s="12">
        <v>8.3991007796431871E-2</v>
      </c>
      <c r="M669" s="13">
        <f t="shared" si="73"/>
        <v>3.0018665759422906E-2</v>
      </c>
      <c r="N669" s="32">
        <f t="shared" si="74"/>
        <v>141.83614435073017</v>
      </c>
      <c r="O669" s="32">
        <f t="shared" si="75"/>
        <v>125.91502499264948</v>
      </c>
      <c r="P669" s="12" t="str">
        <f t="shared" si="76"/>
        <v/>
      </c>
      <c r="Q669" s="13">
        <f t="shared" si="77"/>
        <v>1.5484264121904061E-2</v>
      </c>
      <c r="R669" s="49">
        <f t="shared" si="78"/>
        <v>1</v>
      </c>
    </row>
    <row r="670" spans="1:18" x14ac:dyDescent="0.35">
      <c r="A670" s="64">
        <v>9.25</v>
      </c>
      <c r="B670" s="14">
        <v>-2.0035634473434261E-3</v>
      </c>
      <c r="C670" s="12">
        <v>-7.5711522520032215E-3</v>
      </c>
      <c r="D670" s="12">
        <v>1.6613804561245171E-3</v>
      </c>
      <c r="E670" s="12">
        <v>1.610017889087656E-3</v>
      </c>
      <c r="F670" s="12">
        <v>-2.7823371632170746E-3</v>
      </c>
      <c r="G670" s="12">
        <v>8.6003694973562084E-3</v>
      </c>
      <c r="H670" s="12">
        <v>-8.8290572140390378E-3</v>
      </c>
      <c r="I670" s="12">
        <v>-6.703844328428965E-3</v>
      </c>
      <c r="J670" s="12">
        <v>-2.1282580161260056E-2</v>
      </c>
      <c r="K670" s="12">
        <v>6.4503124370087761E-3</v>
      </c>
      <c r="L670" s="12">
        <v>-1.8355910514936236E-2</v>
      </c>
      <c r="M670" s="13">
        <f t="shared" si="73"/>
        <v>-2.2905091963641394E-3</v>
      </c>
      <c r="N670" s="32">
        <f t="shared" si="74"/>
        <v>141.511267357718</v>
      </c>
      <c r="O670" s="32">
        <f t="shared" si="75"/>
        <v>125.66274625110287</v>
      </c>
      <c r="P670" s="12">
        <f t="shared" si="76"/>
        <v>-2.2905091963641394E-3</v>
      </c>
      <c r="Q670" s="13">
        <f t="shared" si="77"/>
        <v>-2.8694574902071333E-4</v>
      </c>
      <c r="R670" s="49" t="str">
        <f t="shared" si="78"/>
        <v/>
      </c>
    </row>
    <row r="671" spans="1:18" x14ac:dyDescent="0.35">
      <c r="A671" s="64" t="s">
        <v>77</v>
      </c>
      <c r="B671" s="14">
        <v>2.3538826194080542E-3</v>
      </c>
      <c r="C671" s="12">
        <v>-2.0603630693841746E-3</v>
      </c>
      <c r="D671" s="12">
        <v>3.7696019300370587E-4</v>
      </c>
      <c r="E671" s="12">
        <v>-6.7273917961540031E-3</v>
      </c>
      <c r="F671" s="12">
        <v>-2.1317168148698329E-2</v>
      </c>
      <c r="G671" s="12">
        <v>-8.8428499242032554E-4</v>
      </c>
      <c r="H671" s="12">
        <v>6.3941438461876388E-3</v>
      </c>
      <c r="I671" s="12">
        <v>2.6219912799378742E-2</v>
      </c>
      <c r="J671" s="12">
        <v>-7.1366989175208895E-3</v>
      </c>
      <c r="K671" s="12">
        <v>0</v>
      </c>
      <c r="L671" s="12">
        <v>1.8923899851665427E-2</v>
      </c>
      <c r="M671" s="13">
        <f t="shared" si="73"/>
        <v>7.4371886175425683E-3</v>
      </c>
      <c r="N671" s="32">
        <f t="shared" si="74"/>
        <v>142.56371334456486</v>
      </c>
      <c r="O671" s="32">
        <f t="shared" si="75"/>
        <v>125.95854160541043</v>
      </c>
      <c r="P671" s="12" t="str">
        <f t="shared" si="76"/>
        <v/>
      </c>
      <c r="Q671" s="13">
        <f t="shared" si="77"/>
        <v>5.083305998134514E-3</v>
      </c>
      <c r="R671" s="49">
        <f t="shared" si="78"/>
        <v>1</v>
      </c>
    </row>
    <row r="672" spans="1:18" x14ac:dyDescent="0.35">
      <c r="A672" s="64" t="s">
        <v>77</v>
      </c>
      <c r="B672" s="14">
        <v>-3.8119915496573897E-3</v>
      </c>
      <c r="C672" s="12">
        <v>-7.7562636013616126E-3</v>
      </c>
      <c r="D672" s="12">
        <v>1.2736453387595104E-2</v>
      </c>
      <c r="E672" s="12">
        <v>-3.0867897386717802E-2</v>
      </c>
      <c r="F672" s="12">
        <v>-1.1157372274750332E-2</v>
      </c>
      <c r="G672" s="12">
        <v>2.1494499936780542E-3</v>
      </c>
      <c r="H672" s="12">
        <v>-1.292612391552006E-2</v>
      </c>
      <c r="I672" s="12">
        <v>-1.5714119427306938E-3</v>
      </c>
      <c r="J672" s="12">
        <v>2.2384099570649907E-2</v>
      </c>
      <c r="K672" s="12">
        <v>1.4019627478469854E-3</v>
      </c>
      <c r="L672" s="12">
        <v>3.9130051173460467E-2</v>
      </c>
      <c r="M672" s="13">
        <f t="shared" si="73"/>
        <v>5.8778550718735908E-3</v>
      </c>
      <c r="N672" s="32">
        <f t="shared" si="74"/>
        <v>143.40168219011235</v>
      </c>
      <c r="O672" s="32">
        <f t="shared" si="75"/>
        <v>125.47838870920344</v>
      </c>
      <c r="P672" s="12" t="str">
        <f t="shared" si="76"/>
        <v/>
      </c>
      <c r="Q672" s="13">
        <f t="shared" si="77"/>
        <v>9.6898466215309814E-3</v>
      </c>
      <c r="R672" s="49">
        <f t="shared" si="78"/>
        <v>1</v>
      </c>
    </row>
    <row r="673" spans="1:18" x14ac:dyDescent="0.35">
      <c r="A673" s="64" t="s">
        <v>77</v>
      </c>
      <c r="B673" s="14">
        <v>6.1886060287941191E-3</v>
      </c>
      <c r="C673" s="12">
        <v>1.5465077044201969E-2</v>
      </c>
      <c r="D673" s="12">
        <v>2.2324750706959051E-4</v>
      </c>
      <c r="E673" s="12">
        <v>5.8135939142804904E-3</v>
      </c>
      <c r="F673" s="12">
        <v>1.6800448011947022E-2</v>
      </c>
      <c r="G673" s="12">
        <v>1.097653292959877E-2</v>
      </c>
      <c r="H673" s="12">
        <v>-9.8548408576375479E-3</v>
      </c>
      <c r="I673" s="12">
        <v>-2.3899737685807443E-3</v>
      </c>
      <c r="J673" s="12">
        <v>2.9160571886943876E-2</v>
      </c>
      <c r="K673" s="12">
        <v>1.4399999999999968E-2</v>
      </c>
      <c r="L673" s="12">
        <v>-4.6699214604118966E-3</v>
      </c>
      <c r="M673" s="13">
        <f t="shared" si="73"/>
        <v>2.8365807307740654E-3</v>
      </c>
      <c r="N673" s="32">
        <f t="shared" si="74"/>
        <v>143.80845263857341</v>
      </c>
      <c r="O673" s="32">
        <f t="shared" si="75"/>
        <v>126.25492502205259</v>
      </c>
      <c r="P673" s="12" t="str">
        <f t="shared" si="76"/>
        <v/>
      </c>
      <c r="Q673" s="13">
        <f t="shared" si="77"/>
        <v>-3.3520252980200537E-3</v>
      </c>
      <c r="R673" s="49">
        <f t="shared" si="78"/>
        <v>1</v>
      </c>
    </row>
    <row r="674" spans="1:18" x14ac:dyDescent="0.35">
      <c r="A674" s="64" t="s">
        <v>77</v>
      </c>
      <c r="B674" s="14">
        <v>1.1481323635922358E-3</v>
      </c>
      <c r="C674" s="12">
        <v>2.1598272138230179E-3</v>
      </c>
      <c r="D674" s="12">
        <v>6.6215311360762197E-3</v>
      </c>
      <c r="E674" s="12">
        <v>4.7039291643609094E-3</v>
      </c>
      <c r="F674" s="12">
        <v>6.9151214735940769E-3</v>
      </c>
      <c r="G674" s="12">
        <v>-1.5599650567826862E-3</v>
      </c>
      <c r="H674" s="12">
        <v>2.2864828513786684E-3</v>
      </c>
      <c r="I674" s="12">
        <v>3.3890382143275666E-3</v>
      </c>
      <c r="J674" s="12">
        <v>-3.6678740085278605E-3</v>
      </c>
      <c r="K674" s="12">
        <v>6.1119873817034875E-3</v>
      </c>
      <c r="L674" s="12">
        <v>2.4738750266581899E-3</v>
      </c>
      <c r="M674" s="13">
        <f t="shared" si="73"/>
        <v>4.913022563036328E-3</v>
      </c>
      <c r="N674" s="32">
        <f t="shared" si="74"/>
        <v>144.51498681114205</v>
      </c>
      <c r="O674" s="32">
        <f t="shared" si="75"/>
        <v>126.39988238753332</v>
      </c>
      <c r="P674" s="12" t="str">
        <f t="shared" si="76"/>
        <v/>
      </c>
      <c r="Q674" s="13">
        <f t="shared" si="77"/>
        <v>3.7648901994440922E-3</v>
      </c>
      <c r="R674" s="49">
        <f t="shared" si="78"/>
        <v>1</v>
      </c>
    </row>
    <row r="675" spans="1:18" x14ac:dyDescent="0.35">
      <c r="A675" s="64">
        <v>9</v>
      </c>
      <c r="B675" s="14">
        <v>9.3210758201012212E-3</v>
      </c>
      <c r="C675" s="12">
        <v>1.5638815207780654E-2</v>
      </c>
      <c r="D675" s="12">
        <v>8.2779009608275889E-3</v>
      </c>
      <c r="E675" s="12">
        <v>1.5483949937268537E-2</v>
      </c>
      <c r="F675" s="12">
        <v>-2.0866253393299061E-3</v>
      </c>
      <c r="G675" s="12">
        <v>-6.8745703393524593E-4</v>
      </c>
      <c r="H675" s="12">
        <v>1.1674718196457157E-2</v>
      </c>
      <c r="I675" s="12">
        <v>1.1180992313067684E-2</v>
      </c>
      <c r="J675" s="12">
        <v>1.9557314435598938E-2</v>
      </c>
      <c r="K675" s="12">
        <v>6.6627474034881562E-3</v>
      </c>
      <c r="L675" s="12">
        <v>1.2211207079947162E-2</v>
      </c>
      <c r="M675" s="13">
        <f t="shared" si="73"/>
        <v>1.0145767777280171E-2</v>
      </c>
      <c r="N675" s="32">
        <f t="shared" si="74"/>
        <v>145.98120230766463</v>
      </c>
      <c r="O675" s="32">
        <f t="shared" si="75"/>
        <v>127.5780652749194</v>
      </c>
      <c r="P675" s="12" t="str">
        <f t="shared" si="76"/>
        <v/>
      </c>
      <c r="Q675" s="13">
        <f t="shared" si="77"/>
        <v>8.2469195717894961E-4</v>
      </c>
      <c r="R675" s="49">
        <f t="shared" si="78"/>
        <v>1</v>
      </c>
    </row>
    <row r="676" spans="1:18" x14ac:dyDescent="0.35">
      <c r="A676" s="64" t="s">
        <v>77</v>
      </c>
      <c r="B676" s="14">
        <v>6.9325847616807934E-3</v>
      </c>
      <c r="C676" s="12">
        <v>-2.6116763697697776E-3</v>
      </c>
      <c r="D676" s="12">
        <v>8.6497580999853607E-3</v>
      </c>
      <c r="E676" s="12">
        <v>7.3527196022298291E-3</v>
      </c>
      <c r="F676" s="12">
        <v>-2.5985099169694159E-3</v>
      </c>
      <c r="G676" s="12">
        <v>5.2532833020637604E-3</v>
      </c>
      <c r="H676" s="12">
        <v>-1.2247424503691873E-2</v>
      </c>
      <c r="I676" s="12">
        <v>8.6385625431928403E-3</v>
      </c>
      <c r="J676" s="12">
        <v>-5.3258710958656863E-3</v>
      </c>
      <c r="K676" s="12">
        <v>7.7866459022777335E-3</v>
      </c>
      <c r="L676" s="12">
        <v>3.1693989071038153E-2</v>
      </c>
      <c r="M676" s="13">
        <f t="shared" si="73"/>
        <v>1.2194923765949831E-2</v>
      </c>
      <c r="N676" s="32">
        <f t="shared" si="74"/>
        <v>147.76143194106828</v>
      </c>
      <c r="O676" s="32">
        <f t="shared" si="75"/>
        <v>128.46251102616901</v>
      </c>
      <c r="P676" s="12" t="str">
        <f t="shared" si="76"/>
        <v/>
      </c>
      <c r="Q676" s="13">
        <f t="shared" si="77"/>
        <v>5.2623390042690378E-3</v>
      </c>
      <c r="R676" s="49">
        <f t="shared" si="78"/>
        <v>1</v>
      </c>
    </row>
    <row r="677" spans="1:18" x14ac:dyDescent="0.35">
      <c r="A677" s="64" t="s">
        <v>77</v>
      </c>
      <c r="B677" s="14">
        <v>8.1940760034870941E-4</v>
      </c>
      <c r="C677" s="12">
        <v>3.4913534449838579E-3</v>
      </c>
      <c r="D677" s="12">
        <v>-2.9069767441860517E-3</v>
      </c>
      <c r="E677" s="12">
        <v>9.1238146519487806E-3</v>
      </c>
      <c r="F677" s="12">
        <v>-6.401253790885586E-2</v>
      </c>
      <c r="G677" s="12">
        <v>5.1014059972627201E-3</v>
      </c>
      <c r="H677" s="12">
        <v>1.790510295434089E-4</v>
      </c>
      <c r="I677" s="12">
        <v>-3.8255110197555897E-3</v>
      </c>
      <c r="J677" s="12">
        <v>-1.5790906615845257E-2</v>
      </c>
      <c r="K677" s="12">
        <v>1.0044427274483292E-2</v>
      </c>
      <c r="L677" s="12">
        <v>-8.6375488917862508E-3</v>
      </c>
      <c r="M677" s="13">
        <f t="shared" si="73"/>
        <v>5.1074109013718493E-4</v>
      </c>
      <c r="N677" s="32">
        <f t="shared" si="74"/>
        <v>147.8368997758981</v>
      </c>
      <c r="O677" s="32">
        <f t="shared" si="75"/>
        <v>128.56777418406372</v>
      </c>
      <c r="P677" s="12" t="str">
        <f t="shared" si="76"/>
        <v/>
      </c>
      <c r="Q677" s="13">
        <f t="shared" si="77"/>
        <v>-3.0866651021152448E-4</v>
      </c>
      <c r="R677" s="49">
        <f t="shared" si="78"/>
        <v>1</v>
      </c>
    </row>
    <row r="678" spans="1:18" x14ac:dyDescent="0.35">
      <c r="A678" s="64" t="s">
        <v>77</v>
      </c>
      <c r="B678" s="14">
        <v>1.2178136985173449E-2</v>
      </c>
      <c r="C678" s="12">
        <v>1.1198695297635286E-2</v>
      </c>
      <c r="D678" s="12">
        <v>8.7463556851312685E-3</v>
      </c>
      <c r="E678" s="12">
        <v>3.189660283393625E-2</v>
      </c>
      <c r="F678" s="12">
        <v>1.3112686469795021E-2</v>
      </c>
      <c r="G678" s="12">
        <v>1.3431542461005197E-2</v>
      </c>
      <c r="H678" s="12">
        <v>1.2218045112782017E-2</v>
      </c>
      <c r="I678" s="12">
        <v>-3.7828853097953141E-3</v>
      </c>
      <c r="J678" s="12">
        <v>1.1572153065928958E-2</v>
      </c>
      <c r="K678" s="12">
        <v>5.5459934978006054E-3</v>
      </c>
      <c r="L678" s="12">
        <v>1.7877691928324779E-2</v>
      </c>
      <c r="M678" s="13">
        <f t="shared" si="73"/>
        <v>1.0387437291639495E-2</v>
      </c>
      <c r="N678" s="32">
        <f t="shared" si="74"/>
        <v>149.37254630171063</v>
      </c>
      <c r="O678" s="32">
        <f t="shared" si="75"/>
        <v>130.13349014995609</v>
      </c>
      <c r="P678" s="12" t="str">
        <f t="shared" si="76"/>
        <v/>
      </c>
      <c r="Q678" s="13">
        <f t="shared" si="77"/>
        <v>-1.790699693533954E-3</v>
      </c>
      <c r="R678" s="49">
        <f t="shared" si="78"/>
        <v>1</v>
      </c>
    </row>
    <row r="679" spans="1:18" x14ac:dyDescent="0.35">
      <c r="A679" s="64" t="s">
        <v>77</v>
      </c>
      <c r="B679" s="14">
        <v>-3.6716193988033385E-3</v>
      </c>
      <c r="C679" s="12">
        <v>-5.8599000053760619E-3</v>
      </c>
      <c r="D679" s="12">
        <v>-6.6473988439307297E-3</v>
      </c>
      <c r="E679" s="12">
        <v>-1.6575696638897019E-2</v>
      </c>
      <c r="F679" s="12">
        <v>-1.588357766854831E-2</v>
      </c>
      <c r="G679" s="12">
        <v>3.0538080986990401E-3</v>
      </c>
      <c r="H679" s="12">
        <v>1.211478091700946E-2</v>
      </c>
      <c r="I679" s="12">
        <v>-9.2054542316322152E-3</v>
      </c>
      <c r="J679" s="12">
        <v>2.6434528964041082E-3</v>
      </c>
      <c r="K679" s="12">
        <v>-1.4073792316469991E-2</v>
      </c>
      <c r="L679" s="12">
        <v>-9.6903137239067183E-3</v>
      </c>
      <c r="M679" s="13">
        <f t="shared" si="73"/>
        <v>-1.0698783016261018E-2</v>
      </c>
      <c r="N679" s="32">
        <f t="shared" si="74"/>
        <v>147.77444184024222</v>
      </c>
      <c r="O679" s="32">
        <f t="shared" si="75"/>
        <v>129.65568950308753</v>
      </c>
      <c r="P679" s="12">
        <f t="shared" si="76"/>
        <v>-1.0698783016261018E-2</v>
      </c>
      <c r="Q679" s="13">
        <f t="shared" si="77"/>
        <v>-7.0271636174576799E-3</v>
      </c>
      <c r="R679" s="49" t="str">
        <f t="shared" si="78"/>
        <v/>
      </c>
    </row>
    <row r="680" spans="1:18" x14ac:dyDescent="0.35">
      <c r="A680" s="64">
        <v>8.9</v>
      </c>
      <c r="B680" s="14">
        <v>-4.7351341054383544E-3</v>
      </c>
      <c r="C680" s="12">
        <v>4.866969500325613E-4</v>
      </c>
      <c r="D680" s="12">
        <v>-1.1056153622344911E-2</v>
      </c>
      <c r="E680" s="12">
        <v>-1.2502556013203603E-2</v>
      </c>
      <c r="F680" s="12">
        <v>2.3773691901677108E-2</v>
      </c>
      <c r="G680" s="12">
        <v>-6.0890214942455057E-4</v>
      </c>
      <c r="H680" s="12">
        <v>-1.0659211043641648E-2</v>
      </c>
      <c r="I680" s="12">
        <v>-1.6259218396144304E-2</v>
      </c>
      <c r="J680" s="12">
        <v>-3.4637938088094899E-2</v>
      </c>
      <c r="K680" s="12">
        <v>-8.6805555555555802E-3</v>
      </c>
      <c r="L680" s="12">
        <v>-1.6797814653239262E-2</v>
      </c>
      <c r="M680" s="13">
        <f t="shared" si="73"/>
        <v>-1.2704215523166347E-2</v>
      </c>
      <c r="N680" s="32">
        <f t="shared" si="74"/>
        <v>145.89708348228817</v>
      </c>
      <c r="O680" s="32">
        <f t="shared" si="75"/>
        <v>129.04175242575732</v>
      </c>
      <c r="P680" s="12">
        <f t="shared" si="76"/>
        <v>-1.2704215523166347E-2</v>
      </c>
      <c r="Q680" s="13">
        <f t="shared" si="77"/>
        <v>-7.9690814177279922E-3</v>
      </c>
      <c r="R680" s="49" t="str">
        <f t="shared" si="78"/>
        <v/>
      </c>
    </row>
    <row r="681" spans="1:18" x14ac:dyDescent="0.35">
      <c r="A681" s="64" t="s">
        <v>77</v>
      </c>
      <c r="B681" s="14">
        <v>-5.245277085977551E-3</v>
      </c>
      <c r="C681" s="12">
        <v>-5.6753688989783502E-3</v>
      </c>
      <c r="D681" s="12">
        <v>-1.6696087084436706E-2</v>
      </c>
      <c r="E681" s="12">
        <v>-1.3282058867031488E-2</v>
      </c>
      <c r="F681" s="12">
        <v>1.5679925009054241E-2</v>
      </c>
      <c r="G681" s="12">
        <v>-1.5231828428684535E-3</v>
      </c>
      <c r="H681" s="12">
        <v>3.4441647900385064E-3</v>
      </c>
      <c r="I681" s="12">
        <v>-8.795230505873386E-3</v>
      </c>
      <c r="J681" s="12">
        <v>-1.3655412723077021E-3</v>
      </c>
      <c r="K681" s="12">
        <v>1.9459038723488309E-3</v>
      </c>
      <c r="L681" s="12">
        <v>1.368442877876852E-3</v>
      </c>
      <c r="M681" s="13">
        <f t="shared" si="73"/>
        <v>-7.4554858617065685E-3</v>
      </c>
      <c r="N681" s="32">
        <f t="shared" si="74"/>
        <v>144.80934983912175</v>
      </c>
      <c r="O681" s="32">
        <f t="shared" si="75"/>
        <v>128.3648926786241</v>
      </c>
      <c r="P681" s="12">
        <f t="shared" si="76"/>
        <v>-7.4554858617065685E-3</v>
      </c>
      <c r="Q681" s="13">
        <f t="shared" si="77"/>
        <v>-2.2102087757290174E-3</v>
      </c>
      <c r="R681" s="49" t="str">
        <f t="shared" si="78"/>
        <v/>
      </c>
    </row>
    <row r="682" spans="1:18" x14ac:dyDescent="0.35">
      <c r="A682" s="64" t="s">
        <v>77</v>
      </c>
      <c r="B682" s="14">
        <v>3.7107536265745811E-3</v>
      </c>
      <c r="C682" s="12">
        <v>1.6525331593824744E-2</v>
      </c>
      <c r="D682" s="12">
        <v>-1.8849577380507188E-2</v>
      </c>
      <c r="E682" s="12">
        <v>1.8437462525482617E-2</v>
      </c>
      <c r="F682" s="12">
        <v>4.824331410592686E-3</v>
      </c>
      <c r="G682" s="12">
        <v>1.061752501830604E-2</v>
      </c>
      <c r="H682" s="12">
        <v>5.0165016501648729E-3</v>
      </c>
      <c r="I682" s="12">
        <v>2.0247737017626832E-3</v>
      </c>
      <c r="J682" s="12">
        <v>-3.0507355714824547E-2</v>
      </c>
      <c r="K682" s="12">
        <v>8.351136142940474E-3</v>
      </c>
      <c r="L682" s="12">
        <v>-1.7144276958754312E-2</v>
      </c>
      <c r="M682" s="13">
        <f t="shared" si="73"/>
        <v>-3.2731791489631918E-3</v>
      </c>
      <c r="N682" s="32">
        <f t="shared" si="74"/>
        <v>144.33536289465343</v>
      </c>
      <c r="O682" s="32">
        <f t="shared" si="75"/>
        <v>128.84122316965616</v>
      </c>
      <c r="P682" s="12">
        <f t="shared" si="76"/>
        <v>-3.2731791489631918E-3</v>
      </c>
      <c r="Q682" s="13">
        <f t="shared" si="77"/>
        <v>-6.9839327755377729E-3</v>
      </c>
      <c r="R682" s="49" t="str">
        <f t="shared" si="78"/>
        <v/>
      </c>
    </row>
    <row r="683" spans="1:18" x14ac:dyDescent="0.35">
      <c r="A683" s="64" t="s">
        <v>77</v>
      </c>
      <c r="B683" s="14">
        <v>-7.6587956338476371E-3</v>
      </c>
      <c r="C683" s="12">
        <v>-1.7112299465240621E-3</v>
      </c>
      <c r="D683" s="12">
        <v>-1.3265228329648382E-2</v>
      </c>
      <c r="E683" s="12">
        <v>-1.3805893261899849E-2</v>
      </c>
      <c r="F683" s="12">
        <v>-4.2793027867654709E-3</v>
      </c>
      <c r="G683" s="12">
        <v>-8.453085376163294E-4</v>
      </c>
      <c r="H683" s="12">
        <v>5.0790314812383386E-3</v>
      </c>
      <c r="I683" s="12">
        <v>-1.1292048020919987E-3</v>
      </c>
      <c r="J683" s="12">
        <v>-9.7271533485732142E-4</v>
      </c>
      <c r="K683" s="12">
        <v>-1.9260400616333273E-3</v>
      </c>
      <c r="L683" s="12">
        <v>-1.2218757900058996E-2</v>
      </c>
      <c r="M683" s="13">
        <f t="shared" si="73"/>
        <v>-8.2881085247563518E-3</v>
      </c>
      <c r="N683" s="32">
        <f t="shared" si="74"/>
        <v>143.13909574302244</v>
      </c>
      <c r="O683" s="32">
        <f t="shared" si="75"/>
        <v>127.85445457218481</v>
      </c>
      <c r="P683" s="12">
        <f t="shared" si="76"/>
        <v>-8.2881085247563518E-3</v>
      </c>
      <c r="Q683" s="13">
        <f t="shared" si="77"/>
        <v>-6.2931289090871478E-4</v>
      </c>
      <c r="R683" s="49" t="str">
        <f t="shared" si="78"/>
        <v/>
      </c>
    </row>
    <row r="684" spans="1:18" x14ac:dyDescent="0.35">
      <c r="A684" s="64" t="s">
        <v>77</v>
      </c>
      <c r="B684" s="14">
        <v>-4.4867799822001508E-3</v>
      </c>
      <c r="C684" s="12">
        <v>-7.5530319262909762E-3</v>
      </c>
      <c r="D684" s="12">
        <v>1.475701151201414E-2</v>
      </c>
      <c r="E684" s="12">
        <v>-1.9163035042683907E-2</v>
      </c>
      <c r="F684" s="12">
        <v>4.3186582809224827E-3</v>
      </c>
      <c r="G684" s="12">
        <v>-1.1179598743050523E-2</v>
      </c>
      <c r="H684" s="12">
        <v>-1.4158135482465695E-2</v>
      </c>
      <c r="I684" s="12">
        <v>-5.7119057535549578E-3</v>
      </c>
      <c r="J684" s="12">
        <v>8.2761306654988154E-4</v>
      </c>
      <c r="K684" s="12">
        <v>-2.7016595908915253E-3</v>
      </c>
      <c r="L684" s="12">
        <v>1.0706364101689125E-2</v>
      </c>
      <c r="M684" s="13">
        <f t="shared" si="73"/>
        <v>1.5074165031957836E-3</v>
      </c>
      <c r="N684" s="32">
        <f t="shared" si="74"/>
        <v>143.35486597819801</v>
      </c>
      <c r="O684" s="32">
        <f t="shared" si="75"/>
        <v>127.28079976477521</v>
      </c>
      <c r="P684" s="12" t="str">
        <f t="shared" si="76"/>
        <v/>
      </c>
      <c r="Q684" s="13">
        <f t="shared" si="77"/>
        <v>5.9941964853959346E-3</v>
      </c>
      <c r="R684" s="49">
        <f t="shared" si="78"/>
        <v>1</v>
      </c>
    </row>
    <row r="685" spans="1:18" x14ac:dyDescent="0.35">
      <c r="A685" s="64">
        <v>8.8000000000000007</v>
      </c>
      <c r="B685" s="14">
        <v>1.1455777787018118E-2</v>
      </c>
      <c r="C685" s="12">
        <v>1.5059102930857549E-2</v>
      </c>
      <c r="D685" s="12">
        <v>7.6138267093039946E-3</v>
      </c>
      <c r="E685" s="12">
        <v>1.8167985392574471E-2</v>
      </c>
      <c r="F685" s="12">
        <v>7.3059741994738747E-3</v>
      </c>
      <c r="G685" s="12">
        <v>-2.0778585833893803E-3</v>
      </c>
      <c r="H685" s="12">
        <v>4.595669465311536E-3</v>
      </c>
      <c r="I685" s="12">
        <v>6.4628089282507961E-3</v>
      </c>
      <c r="J685" s="12">
        <v>1.8727502675357499E-2</v>
      </c>
      <c r="K685" s="12">
        <v>-3.4829721362229504E-3</v>
      </c>
      <c r="L685" s="12">
        <v>1.5783920658366757E-2</v>
      </c>
      <c r="M685" s="13">
        <f t="shared" si="73"/>
        <v>7.7653122714164743E-3</v>
      </c>
      <c r="N685" s="32">
        <f t="shared" si="74"/>
        <v>144.46806127814577</v>
      </c>
      <c r="O685" s="32">
        <f t="shared" si="75"/>
        <v>128.73890032343442</v>
      </c>
      <c r="P685" s="12" t="str">
        <f t="shared" si="76"/>
        <v/>
      </c>
      <c r="Q685" s="13">
        <f t="shared" si="77"/>
        <v>-3.6904655156016434E-3</v>
      </c>
      <c r="R685" s="49">
        <f t="shared" si="78"/>
        <v>1</v>
      </c>
    </row>
    <row r="686" spans="1:18" x14ac:dyDescent="0.35">
      <c r="A686" s="64" t="s">
        <v>77</v>
      </c>
      <c r="B686" s="14">
        <v>-3.5400978894173374E-4</v>
      </c>
      <c r="C686" s="12">
        <v>6.3277677337019167E-3</v>
      </c>
      <c r="D686" s="12">
        <v>-4.3826507480732024E-3</v>
      </c>
      <c r="E686" s="12">
        <v>3.8258062587799291E-3</v>
      </c>
      <c r="F686" s="12">
        <v>-1.6806200265252036E-2</v>
      </c>
      <c r="G686" s="12">
        <v>-2.0209443321697051E-3</v>
      </c>
      <c r="H686" s="12">
        <v>2.7271927509457949E-3</v>
      </c>
      <c r="I686" s="12">
        <v>9.4535941494737763E-3</v>
      </c>
      <c r="J686" s="12">
        <v>6.159575991978139E-3</v>
      </c>
      <c r="K686" s="12">
        <v>5.4368932038835194E-3</v>
      </c>
      <c r="L686" s="12">
        <v>4.9025717728199414E-3</v>
      </c>
      <c r="M686" s="13">
        <f t="shared" si="73"/>
        <v>3.1989801885143709E-3</v>
      </c>
      <c r="N686" s="32">
        <f t="shared" si="74"/>
        <v>144.93021174404763</v>
      </c>
      <c r="O686" s="32">
        <f t="shared" si="75"/>
        <v>128.69332549250234</v>
      </c>
      <c r="P686" s="12" t="str">
        <f t="shared" si="76"/>
        <v/>
      </c>
      <c r="Q686" s="13">
        <f t="shared" si="77"/>
        <v>3.5529899774561047E-3</v>
      </c>
      <c r="R686" s="49">
        <f t="shared" si="78"/>
        <v>1</v>
      </c>
    </row>
    <row r="687" spans="1:18" x14ac:dyDescent="0.35">
      <c r="A687" s="64" t="s">
        <v>77</v>
      </c>
      <c r="B687" s="14">
        <v>4.4735266835127518E-3</v>
      </c>
      <c r="C687" s="12">
        <v>1.7965653896960809E-3</v>
      </c>
      <c r="D687" s="12">
        <v>1.745598057073483E-2</v>
      </c>
      <c r="E687" s="12">
        <v>-2.3820157808546183E-3</v>
      </c>
      <c r="F687" s="12">
        <v>4.1943302771629831E-3</v>
      </c>
      <c r="G687" s="12">
        <v>6.9955817378497542E-3</v>
      </c>
      <c r="H687" s="12">
        <v>2.7899631514300749E-2</v>
      </c>
      <c r="I687" s="12">
        <v>1.3546943102838993E-2</v>
      </c>
      <c r="J687" s="12">
        <v>5.2676537585421013E-3</v>
      </c>
      <c r="K687" s="12">
        <v>-6.7593665507917899E-3</v>
      </c>
      <c r="L687" s="12">
        <v>9.7986521685202721E-3</v>
      </c>
      <c r="M687" s="13">
        <f t="shared" si="73"/>
        <v>7.2257644440240354E-3</v>
      </c>
      <c r="N687" s="32">
        <f t="shared" si="74"/>
        <v>145.97744331493266</v>
      </c>
      <c r="O687" s="32">
        <f t="shared" si="75"/>
        <v>129.26903851808305</v>
      </c>
      <c r="P687" s="12" t="str">
        <f t="shared" si="76"/>
        <v/>
      </c>
      <c r="Q687" s="13">
        <f t="shared" si="77"/>
        <v>2.7522377605112835E-3</v>
      </c>
      <c r="R687" s="49">
        <f t="shared" si="78"/>
        <v>1</v>
      </c>
    </row>
    <row r="688" spans="1:18" x14ac:dyDescent="0.35">
      <c r="A688" s="64" t="s">
        <v>77</v>
      </c>
      <c r="B688" s="14">
        <v>1.2269017659743087E-2</v>
      </c>
      <c r="C688" s="12">
        <v>2.3102484308244131E-2</v>
      </c>
      <c r="D688" s="12">
        <v>-1.8648366403103411E-3</v>
      </c>
      <c r="E688" s="12">
        <v>1.6385614087449651E-2</v>
      </c>
      <c r="F688" s="12">
        <v>8.8153807404920403E-3</v>
      </c>
      <c r="G688" s="12">
        <v>8.653260207190927E-3</v>
      </c>
      <c r="H688" s="12">
        <v>1.3485831341754961E-2</v>
      </c>
      <c r="I688" s="12">
        <v>1.2319851231985091E-2</v>
      </c>
      <c r="J688" s="12">
        <v>-3.1629136571780236E-3</v>
      </c>
      <c r="K688" s="12">
        <v>1.8666148162550966E-2</v>
      </c>
      <c r="L688" s="12">
        <v>7.4107435309531677E-3</v>
      </c>
      <c r="M688" s="13">
        <f t="shared" si="73"/>
        <v>9.5742668489344051E-3</v>
      </c>
      <c r="N688" s="32">
        <f t="shared" si="74"/>
        <v>147.37507031115504</v>
      </c>
      <c r="O688" s="32">
        <f t="shared" si="75"/>
        <v>130.85504263451941</v>
      </c>
      <c r="P688" s="12" t="str">
        <f t="shared" si="76"/>
        <v/>
      </c>
      <c r="Q688" s="13">
        <f t="shared" si="77"/>
        <v>-2.6947508108086816E-3</v>
      </c>
      <c r="R688" s="49">
        <f t="shared" si="78"/>
        <v>1</v>
      </c>
    </row>
    <row r="689" spans="1:18" x14ac:dyDescent="0.35">
      <c r="A689" s="64" t="s">
        <v>77</v>
      </c>
      <c r="B689" s="14">
        <v>1.1706865481149187E-3</v>
      </c>
      <c r="C689" s="12">
        <v>-7.7847089756147847E-3</v>
      </c>
      <c r="D689" s="12">
        <v>-1.0462596218520082E-3</v>
      </c>
      <c r="E689" s="12">
        <v>-7.488107123979626E-3</v>
      </c>
      <c r="F689" s="12">
        <v>-5.7423435419440283E-3</v>
      </c>
      <c r="G689" s="12">
        <v>-1.3110198163364006E-2</v>
      </c>
      <c r="H689" s="12">
        <v>2.0633316489810927E-3</v>
      </c>
      <c r="I689" s="12">
        <v>7.1182548794490597E-3</v>
      </c>
      <c r="J689" s="12">
        <v>-1.1365788975185032E-3</v>
      </c>
      <c r="K689" s="12">
        <v>6.4897881275052249E-3</v>
      </c>
      <c r="L689" s="12">
        <v>5.2021946758789017E-3</v>
      </c>
      <c r="M689" s="13">
        <f t="shared" si="73"/>
        <v>2.3803255969178758E-3</v>
      </c>
      <c r="N689" s="32">
        <f t="shared" si="74"/>
        <v>147.72587096336426</v>
      </c>
      <c r="O689" s="32">
        <f t="shared" si="75"/>
        <v>131.00823287268463</v>
      </c>
      <c r="P689" s="12" t="str">
        <f t="shared" si="76"/>
        <v/>
      </c>
      <c r="Q689" s="13">
        <f t="shared" si="77"/>
        <v>1.2096390488029571E-3</v>
      </c>
      <c r="R689" s="49">
        <f t="shared" si="78"/>
        <v>1</v>
      </c>
    </row>
    <row r="690" spans="1:18" x14ac:dyDescent="0.35">
      <c r="A690" s="64">
        <v>9</v>
      </c>
      <c r="B690" s="14">
        <v>-1.9683139606652134E-3</v>
      </c>
      <c r="C690" s="12">
        <v>-5.8713498908864459E-3</v>
      </c>
      <c r="D690" s="12">
        <v>4.2642328121493822E-3</v>
      </c>
      <c r="E690" s="12">
        <v>4.7338678659114564E-4</v>
      </c>
      <c r="F690" s="12">
        <v>-1.3936553109567207E-2</v>
      </c>
      <c r="G690" s="12">
        <v>-3.3057851239668423E-3</v>
      </c>
      <c r="H690" s="12">
        <v>6.2192713367230645E-3</v>
      </c>
      <c r="I690" s="12">
        <v>7.4099407204730738E-4</v>
      </c>
      <c r="J690" s="12">
        <v>1.1331310449459675E-2</v>
      </c>
      <c r="K690" s="12">
        <v>-5.6893608951247288E-4</v>
      </c>
      <c r="L690" s="12">
        <v>-1.0107952937371101E-2</v>
      </c>
      <c r="M690" s="13">
        <f t="shared" si="73"/>
        <v>-4.6757106502450982E-4</v>
      </c>
      <c r="N690" s="32">
        <f t="shared" si="74"/>
        <v>147.65679862054625</v>
      </c>
      <c r="O690" s="32">
        <f t="shared" si="75"/>
        <v>130.75036753895924</v>
      </c>
      <c r="P690" s="12">
        <f t="shared" si="76"/>
        <v>-4.6757106502450982E-4</v>
      </c>
      <c r="Q690" s="13">
        <f t="shared" si="77"/>
        <v>1.5007428956407035E-3</v>
      </c>
      <c r="R690" s="49" t="str">
        <f t="shared" si="78"/>
        <v/>
      </c>
    </row>
    <row r="691" spans="1:18" x14ac:dyDescent="0.35">
      <c r="A691" s="64" t="s">
        <v>77</v>
      </c>
      <c r="B691" s="14">
        <v>-7.9225154155103672E-3</v>
      </c>
      <c r="C691" s="12">
        <v>2.5087545079180984E-3</v>
      </c>
      <c r="D691" s="12">
        <v>-1.5494636471990564E-2</v>
      </c>
      <c r="E691" s="12">
        <v>9.2266745527131988E-3</v>
      </c>
      <c r="F691" s="12">
        <v>-3.9472008828148608E-3</v>
      </c>
      <c r="G691" s="12">
        <v>-7.4319759228549387E-3</v>
      </c>
      <c r="H691" s="12">
        <v>-2.3804552098558585E-3</v>
      </c>
      <c r="I691" s="12">
        <v>-2.6371247935296438E-2</v>
      </c>
      <c r="J691" s="12">
        <v>-3.2347287984623163E-3</v>
      </c>
      <c r="K691" s="12">
        <v>-6.2618595825427725E-3</v>
      </c>
      <c r="L691" s="12">
        <v>-1.7358983784666937E-2</v>
      </c>
      <c r="M691" s="13">
        <f t="shared" si="73"/>
        <v>-1.2405645636860606E-2</v>
      </c>
      <c r="N691" s="32">
        <f t="shared" si="74"/>
        <v>145.82502070098647</v>
      </c>
      <c r="O691" s="32">
        <f t="shared" si="75"/>
        <v>129.7144957365482</v>
      </c>
      <c r="P691" s="12">
        <f t="shared" si="76"/>
        <v>-1.2405645636860606E-2</v>
      </c>
      <c r="Q691" s="13">
        <f t="shared" si="77"/>
        <v>-4.4831302213502386E-3</v>
      </c>
      <c r="R691" s="49" t="str">
        <f t="shared" si="78"/>
        <v/>
      </c>
    </row>
    <row r="692" spans="1:18" x14ac:dyDescent="0.35">
      <c r="A692" s="64" t="s">
        <v>77</v>
      </c>
      <c r="B692" s="14">
        <v>-2.8651801277997935E-3</v>
      </c>
      <c r="C692" s="12">
        <v>-5.8912465460612129E-3</v>
      </c>
      <c r="D692" s="12">
        <v>-6.0532687651315698E-4</v>
      </c>
      <c r="E692" s="12">
        <v>-1.1867436340727178E-2</v>
      </c>
      <c r="F692" s="12">
        <v>-1.6575762740753452E-2</v>
      </c>
      <c r="G692" s="12">
        <v>-1.4542079207920722E-2</v>
      </c>
      <c r="H692" s="12">
        <v>-1.0172471533824501E-2</v>
      </c>
      <c r="I692" s="12">
        <v>-6.6690066690066052E-3</v>
      </c>
      <c r="J692" s="12">
        <v>-2.4456777349262104E-3</v>
      </c>
      <c r="K692" s="12">
        <v>-2.3104831010120286E-2</v>
      </c>
      <c r="L692" s="12">
        <v>1.9120458891013437E-2</v>
      </c>
      <c r="M692" s="13">
        <f t="shared" si="73"/>
        <v>-5.0161922337927101E-3</v>
      </c>
      <c r="N692" s="32">
        <f t="shared" si="74"/>
        <v>145.09353436465352</v>
      </c>
      <c r="O692" s="32">
        <f t="shared" si="75"/>
        <v>129.34284034107628</v>
      </c>
      <c r="P692" s="12">
        <f t="shared" si="76"/>
        <v>-5.0161922337927101E-3</v>
      </c>
      <c r="Q692" s="13">
        <f t="shared" si="77"/>
        <v>-2.1510121059929166E-3</v>
      </c>
      <c r="R692" s="49" t="str">
        <f t="shared" si="78"/>
        <v/>
      </c>
    </row>
    <row r="693" spans="1:18" x14ac:dyDescent="0.35">
      <c r="A693" s="64" t="s">
        <v>77</v>
      </c>
      <c r="B693" s="14">
        <v>2.4051194034939716E-3</v>
      </c>
      <c r="C693" s="12">
        <v>-1.0855884203901822E-2</v>
      </c>
      <c r="D693" s="12">
        <v>6.2083585705632327E-3</v>
      </c>
      <c r="E693" s="12">
        <v>-1.5983630864124465E-2</v>
      </c>
      <c r="F693" s="12">
        <v>3.1847133757962887E-3</v>
      </c>
      <c r="G693" s="12">
        <v>1.6326530612245094E-3</v>
      </c>
      <c r="H693" s="12">
        <v>7.2319729329668458E-3</v>
      </c>
      <c r="I693" s="12">
        <v>1.1248527679623033E-2</v>
      </c>
      <c r="J693" s="12">
        <v>5.7048561999057945E-3</v>
      </c>
      <c r="K693" s="12">
        <v>9.1868647380768387E-3</v>
      </c>
      <c r="L693" s="12">
        <v>1.4805449057835096E-2</v>
      </c>
      <c r="M693" s="13">
        <f t="shared" si="73"/>
        <v>6.2249831409312787E-3</v>
      </c>
      <c r="N693" s="32">
        <f t="shared" si="74"/>
        <v>145.99673916993163</v>
      </c>
      <c r="O693" s="32">
        <f t="shared" si="75"/>
        <v>129.65392531608362</v>
      </c>
      <c r="P693" s="12" t="str">
        <f t="shared" si="76"/>
        <v/>
      </c>
      <c r="Q693" s="13">
        <f t="shared" si="77"/>
        <v>3.8198637374373071E-3</v>
      </c>
      <c r="R693" s="49">
        <f t="shared" si="78"/>
        <v>1</v>
      </c>
    </row>
    <row r="694" spans="1:18" x14ac:dyDescent="0.35">
      <c r="A694" s="64">
        <v>9.4</v>
      </c>
      <c r="B694" s="14">
        <v>6.7422151567175792E-3</v>
      </c>
      <c r="C694" s="12">
        <v>-2.8100312814802741E-3</v>
      </c>
      <c r="D694" s="12">
        <v>1.1587659894657598E-2</v>
      </c>
      <c r="E694" s="12">
        <v>1.9286984299191623E-3</v>
      </c>
      <c r="F694" s="12">
        <v>-3.4553503941259223E-4</v>
      </c>
      <c r="G694" s="12">
        <v>-5.516895492445606E-3</v>
      </c>
      <c r="H694" s="12">
        <v>1.003527040644947E-2</v>
      </c>
      <c r="I694" s="12">
        <v>1.7063653834954229E-2</v>
      </c>
      <c r="J694" s="12">
        <v>2.5549669495100957E-2</v>
      </c>
      <c r="K694" s="12">
        <v>-1.5494867325199779E-3</v>
      </c>
      <c r="L694" s="12">
        <v>1.623728949801051E-2</v>
      </c>
      <c r="M694" s="13">
        <f t="shared" si="73"/>
        <v>9.151517504845004E-3</v>
      </c>
      <c r="N694" s="32">
        <f t="shared" si="74"/>
        <v>147.33283088409556</v>
      </c>
      <c r="O694" s="32">
        <f t="shared" si="75"/>
        <v>130.52807997647764</v>
      </c>
      <c r="P694" s="12" t="str">
        <f t="shared" si="76"/>
        <v/>
      </c>
      <c r="Q694" s="13">
        <f t="shared" si="77"/>
        <v>2.4093023481274248E-3</v>
      </c>
      <c r="R694" s="49">
        <f t="shared" si="78"/>
        <v>1</v>
      </c>
    </row>
    <row r="695" spans="1:18" x14ac:dyDescent="0.35">
      <c r="A695" s="64">
        <v>9.4</v>
      </c>
      <c r="B695" s="14">
        <v>7.4111451007599083E-3</v>
      </c>
      <c r="C695" s="12">
        <v>8.9855380689067843E-3</v>
      </c>
      <c r="D695" s="12">
        <v>-1.1901219875037117E-2</v>
      </c>
      <c r="E695" s="12">
        <v>1.4226847535115938E-2</v>
      </c>
      <c r="F695" s="12">
        <v>-2.417420985547325E-2</v>
      </c>
      <c r="G695" s="12">
        <v>-3.4671877954988162E-3</v>
      </c>
      <c r="H695" s="12">
        <v>6.9008522136768669E-3</v>
      </c>
      <c r="I695" s="12">
        <v>-1.7750801649105696E-3</v>
      </c>
      <c r="J695" s="12">
        <v>-7.5425123422928619E-3</v>
      </c>
      <c r="K695" s="12">
        <v>2.5218234723569655E-3</v>
      </c>
      <c r="L695" s="12">
        <v>2.9661854854656777E-3</v>
      </c>
      <c r="M695" s="13">
        <f t="shared" si="73"/>
        <v>-5.6460310221912986E-4</v>
      </c>
      <c r="N695" s="32">
        <f t="shared" si="74"/>
        <v>147.24964631071967</v>
      </c>
      <c r="O695" s="32">
        <f t="shared" si="75"/>
        <v>131.49544251690691</v>
      </c>
      <c r="P695" s="12">
        <f t="shared" si="76"/>
        <v>-5.6460310221912986E-4</v>
      </c>
      <c r="Q695" s="13">
        <f t="shared" si="77"/>
        <v>-7.9757482029790376E-3</v>
      </c>
      <c r="R695" s="49" t="str">
        <f t="shared" si="78"/>
        <v/>
      </c>
    </row>
    <row r="696" spans="1:18" x14ac:dyDescent="0.35">
      <c r="A696" s="64" t="s">
        <v>77</v>
      </c>
      <c r="B696" s="14">
        <v>8.4701799577833192E-3</v>
      </c>
      <c r="C696" s="12">
        <v>4.0575433419400841E-3</v>
      </c>
      <c r="D696" s="12">
        <v>8.1300813008129413E-3</v>
      </c>
      <c r="E696" s="12">
        <v>1.6192170818505547E-2</v>
      </c>
      <c r="F696" s="12">
        <v>-8.7447420854549485E-3</v>
      </c>
      <c r="G696" s="12">
        <v>4.617914979756943E-3</v>
      </c>
      <c r="H696" s="12">
        <v>4.5415135626110104E-3</v>
      </c>
      <c r="I696" s="12">
        <v>-5.162622612286949E-4</v>
      </c>
      <c r="J696" s="12">
        <v>-1.1975496292202514E-3</v>
      </c>
      <c r="K696" s="12">
        <v>-5.804953560371473E-3</v>
      </c>
      <c r="L696" s="12">
        <v>8.9116719242903208E-3</v>
      </c>
      <c r="M696" s="13">
        <f t="shared" si="73"/>
        <v>4.599959488014377E-3</v>
      </c>
      <c r="N696" s="32">
        <f t="shared" si="74"/>
        <v>147.92698871837342</v>
      </c>
      <c r="O696" s="32">
        <f t="shared" si="75"/>
        <v>132.60923257865346</v>
      </c>
      <c r="P696" s="12" t="str">
        <f t="shared" si="76"/>
        <v/>
      </c>
      <c r="Q696" s="13">
        <f t="shared" si="77"/>
        <v>-3.8702204697689422E-3</v>
      </c>
      <c r="R696" s="49">
        <f t="shared" si="78"/>
        <v>1</v>
      </c>
    </row>
    <row r="697" spans="1:18" x14ac:dyDescent="0.35">
      <c r="A697" s="64" t="s">
        <v>77</v>
      </c>
      <c r="B697" s="14">
        <v>-1.0243811584819129E-3</v>
      </c>
      <c r="C697" s="12">
        <v>7.8723627584764699E-4</v>
      </c>
      <c r="D697" s="12">
        <v>-3.8829151732375777E-3</v>
      </c>
      <c r="E697" s="12">
        <v>7.5293293643845516E-3</v>
      </c>
      <c r="F697" s="12">
        <v>7.2406476828587474E-2</v>
      </c>
      <c r="G697" s="12">
        <v>6.6746426547446003E-3</v>
      </c>
      <c r="H697" s="12">
        <v>-6.1649747236036667E-4</v>
      </c>
      <c r="I697" s="12">
        <v>-4.8783287419652543E-3</v>
      </c>
      <c r="J697" s="12">
        <v>-1.7200830066866457E-2</v>
      </c>
      <c r="K697" s="12">
        <v>3.3086804203970033E-3</v>
      </c>
      <c r="L697" s="12">
        <v>-9.3801297584616972E-4</v>
      </c>
      <c r="M697" s="13">
        <f t="shared" si="73"/>
        <v>-3.788090718695874E-4</v>
      </c>
      <c r="N697" s="32">
        <f t="shared" si="74"/>
        <v>147.87095263307256</v>
      </c>
      <c r="O697" s="32">
        <f t="shared" si="75"/>
        <v>132.47339017935914</v>
      </c>
      <c r="P697" s="12">
        <f t="shared" si="76"/>
        <v>-3.788090718695874E-4</v>
      </c>
      <c r="Q697" s="13">
        <f t="shared" si="77"/>
        <v>6.4557208661232546E-4</v>
      </c>
      <c r="R697" s="49" t="str">
        <f t="shared" si="78"/>
        <v/>
      </c>
    </row>
    <row r="698" spans="1:18" x14ac:dyDescent="0.35">
      <c r="A698" s="64" t="s">
        <v>77</v>
      </c>
      <c r="B698" s="14">
        <v>3.8553564373575711E-3</v>
      </c>
      <c r="C698" s="12">
        <v>1.7305574492632037E-2</v>
      </c>
      <c r="D698" s="12">
        <v>6.2968515742130027E-3</v>
      </c>
      <c r="E698" s="12">
        <v>1.4193025141930882E-3</v>
      </c>
      <c r="F698" s="12">
        <v>8.1429493720972523E-3</v>
      </c>
      <c r="G698" s="12">
        <v>-5.0040658034653518E-3</v>
      </c>
      <c r="H698" s="12">
        <v>3.413390360256674E-3</v>
      </c>
      <c r="I698" s="12">
        <v>1.1534690581925133E-2</v>
      </c>
      <c r="J698" s="12">
        <v>-5.8652402402402659E-3</v>
      </c>
      <c r="K698" s="12">
        <v>1.3579049466536652E-3</v>
      </c>
      <c r="L698" s="12">
        <v>7.1981848055706621E-3</v>
      </c>
      <c r="M698" s="13">
        <f t="shared" si="73"/>
        <v>5.6759270050298471E-3</v>
      </c>
      <c r="N698" s="32">
        <f t="shared" si="74"/>
        <v>148.71025736638211</v>
      </c>
      <c r="O698" s="32">
        <f t="shared" si="75"/>
        <v>132.98412231696571</v>
      </c>
      <c r="P698" s="12" t="str">
        <f t="shared" si="76"/>
        <v/>
      </c>
      <c r="Q698" s="13">
        <f t="shared" si="77"/>
        <v>1.820570567672276E-3</v>
      </c>
      <c r="R698" s="49">
        <f t="shared" si="78"/>
        <v>1</v>
      </c>
    </row>
    <row r="699" spans="1:18" x14ac:dyDescent="0.35">
      <c r="A699" s="64">
        <v>9.19</v>
      </c>
      <c r="B699" s="14">
        <v>7.1172882225352119E-3</v>
      </c>
      <c r="C699" s="12">
        <v>-1.3402752719213762E-3</v>
      </c>
      <c r="D699" s="12">
        <v>8.3432657926103548E-3</v>
      </c>
      <c r="E699" s="12">
        <v>3.9799843808752566E-2</v>
      </c>
      <c r="F699" s="12">
        <v>3.2887126094860442E-2</v>
      </c>
      <c r="G699" s="12">
        <v>-6.2865405167533694E-5</v>
      </c>
      <c r="H699" s="12">
        <v>-1.3197262182876313E-2</v>
      </c>
      <c r="I699" s="12">
        <v>1.5109185244312817E-2</v>
      </c>
      <c r="J699" s="12">
        <v>-1.4159626185868968E-3</v>
      </c>
      <c r="K699" s="12">
        <v>-1.9372336303756788E-3</v>
      </c>
      <c r="L699" s="12">
        <v>2.4664025479686158E-2</v>
      </c>
      <c r="M699" s="13">
        <f t="shared" si="73"/>
        <v>1.4492432007891905E-2</v>
      </c>
      <c r="N699" s="32">
        <f t="shared" si="74"/>
        <v>150.8654306601405</v>
      </c>
      <c r="O699" s="32">
        <f t="shared" si="75"/>
        <v>133.93060864451644</v>
      </c>
      <c r="P699" s="12" t="str">
        <f t="shared" si="76"/>
        <v/>
      </c>
      <c r="Q699" s="13">
        <f t="shared" si="77"/>
        <v>7.3751437853566935E-3</v>
      </c>
      <c r="R699" s="49">
        <f t="shared" si="78"/>
        <v>1</v>
      </c>
    </row>
    <row r="700" spans="1:18" x14ac:dyDescent="0.35">
      <c r="A700" s="64" t="s">
        <v>77</v>
      </c>
      <c r="B700" s="14">
        <v>2.3578588709500803E-3</v>
      </c>
      <c r="C700" s="12">
        <v>7.0716977236360279E-3</v>
      </c>
      <c r="D700" s="12">
        <v>8.8652482269480082E-4</v>
      </c>
      <c r="E700" s="12">
        <v>-1.2267378786614436E-2</v>
      </c>
      <c r="F700" s="12">
        <v>7.4000000000000732E-3</v>
      </c>
      <c r="G700" s="12">
        <v>-2.0118194392052535E-3</v>
      </c>
      <c r="H700" s="12">
        <v>2.6996718860321511E-3</v>
      </c>
      <c r="I700" s="12">
        <v>-5.1673781172769662E-3</v>
      </c>
      <c r="J700" s="12">
        <v>-1.4037907075672318E-2</v>
      </c>
      <c r="K700" s="12">
        <v>3.8819875776385793E-4</v>
      </c>
      <c r="L700" s="12">
        <v>-4.0180432887305662E-3</v>
      </c>
      <c r="M700" s="13">
        <f t="shared" si="73"/>
        <v>-3.0525271801100395E-3</v>
      </c>
      <c r="N700" s="32">
        <f t="shared" si="74"/>
        <v>150.40490983251141</v>
      </c>
      <c r="O700" s="32">
        <f t="shared" si="75"/>
        <v>134.24639811820066</v>
      </c>
      <c r="P700" s="12">
        <f t="shared" si="76"/>
        <v>-3.0525271801100395E-3</v>
      </c>
      <c r="Q700" s="13">
        <f t="shared" si="77"/>
        <v>-5.4103860510601193E-3</v>
      </c>
      <c r="R700" s="49" t="str">
        <f t="shared" si="78"/>
        <v/>
      </c>
    </row>
    <row r="701" spans="1:18" x14ac:dyDescent="0.35">
      <c r="A701" s="64" t="s">
        <v>77</v>
      </c>
      <c r="B701" s="14">
        <v>-6.7568751478409572E-3</v>
      </c>
      <c r="C701" s="12">
        <v>-1.0097385955920024E-2</v>
      </c>
      <c r="D701" s="12">
        <v>2.1405373486861556E-2</v>
      </c>
      <c r="E701" s="12">
        <v>-2.3121550073222918E-2</v>
      </c>
      <c r="F701" s="12">
        <v>1.0720667063728317E-3</v>
      </c>
      <c r="G701" s="12">
        <v>6.0728234849439344E-2</v>
      </c>
      <c r="H701" s="12">
        <v>-7.455886007787238E-3</v>
      </c>
      <c r="I701" s="12">
        <v>-5.6458897922273543E-5</v>
      </c>
      <c r="J701" s="12">
        <v>2.4017257909875411E-2</v>
      </c>
      <c r="K701" s="12">
        <v>1.8432285603414922E-2</v>
      </c>
      <c r="L701" s="12">
        <v>-6.3177925784967393E-3</v>
      </c>
      <c r="M701" s="13">
        <f t="shared" si="73"/>
        <v>5.7049506072949421E-3</v>
      </c>
      <c r="N701" s="32">
        <f t="shared" si="74"/>
        <v>151.26296241420056</v>
      </c>
      <c r="O701" s="32">
        <f t="shared" si="75"/>
        <v>133.33931196706862</v>
      </c>
      <c r="P701" s="12" t="str">
        <f t="shared" si="76"/>
        <v/>
      </c>
      <c r="Q701" s="13">
        <f t="shared" si="77"/>
        <v>1.2461825755135899E-2</v>
      </c>
      <c r="R701" s="49">
        <f t="shared" si="78"/>
        <v>1</v>
      </c>
    </row>
    <row r="702" spans="1:18" x14ac:dyDescent="0.35">
      <c r="A702" s="64" t="s">
        <v>77</v>
      </c>
      <c r="B702" s="14">
        <v>3.2415482692993436E-4</v>
      </c>
      <c r="C702" s="12">
        <v>-6.1616527727437198E-3</v>
      </c>
      <c r="D702" s="12">
        <v>4.0468275762393091E-3</v>
      </c>
      <c r="E702" s="12">
        <v>-8.9370657595064795E-3</v>
      </c>
      <c r="F702" s="12">
        <v>4.5414881802314788E-3</v>
      </c>
      <c r="G702" s="12">
        <v>1.0749495189452452E-2</v>
      </c>
      <c r="H702" s="12">
        <v>-1.5441115098906444E-3</v>
      </c>
      <c r="I702" s="12">
        <v>-3.8902377053808501E-2</v>
      </c>
      <c r="J702" s="12">
        <v>-8.4733860774308667E-3</v>
      </c>
      <c r="K702" s="12">
        <v>5.7153743570204085E-3</v>
      </c>
      <c r="L702" s="12">
        <v>-1.3175533340993528E-2</v>
      </c>
      <c r="M702" s="13">
        <f t="shared" si="73"/>
        <v>-8.5836051528735482E-3</v>
      </c>
      <c r="N702" s="32">
        <f t="shared" si="74"/>
        <v>149.96458087058309</v>
      </c>
      <c r="O702" s="32">
        <f t="shared" si="75"/>
        <v>133.38253454866228</v>
      </c>
      <c r="P702" s="12">
        <f t="shared" si="76"/>
        <v>-8.5836051528735482E-3</v>
      </c>
      <c r="Q702" s="13">
        <f t="shared" si="77"/>
        <v>-8.9077599798034826E-3</v>
      </c>
      <c r="R702" s="49" t="str">
        <f t="shared" si="78"/>
        <v/>
      </c>
    </row>
    <row r="703" spans="1:18" x14ac:dyDescent="0.35">
      <c r="A703" s="64" t="s">
        <v>77</v>
      </c>
      <c r="B703" s="14">
        <v>4.0340891555747938E-3</v>
      </c>
      <c r="C703" s="12">
        <v>4.220068771491059E-3</v>
      </c>
      <c r="D703" s="12">
        <v>4.3184108248164321E-3</v>
      </c>
      <c r="E703" s="12">
        <v>3.8979550280711095E-3</v>
      </c>
      <c r="F703" s="12">
        <v>4.2445659684520187E-3</v>
      </c>
      <c r="G703" s="12">
        <v>5.229449438862499E-3</v>
      </c>
      <c r="H703" s="12">
        <v>6.2277951933125131E-3</v>
      </c>
      <c r="I703" s="12">
        <v>-1.42756432851604E-2</v>
      </c>
      <c r="J703" s="12">
        <v>1.9216241737488149E-2</v>
      </c>
      <c r="K703" s="12">
        <v>5.8723243038454331E-3</v>
      </c>
      <c r="L703" s="12">
        <v>6.6757228798759449E-3</v>
      </c>
      <c r="M703" s="13">
        <f t="shared" si="73"/>
        <v>1.4285028953590457E-3</v>
      </c>
      <c r="N703" s="32">
        <f t="shared" si="74"/>
        <v>150.17880570855803</v>
      </c>
      <c r="O703" s="32">
        <f t="shared" si="75"/>
        <v>133.92061158482812</v>
      </c>
      <c r="P703" s="12" t="str">
        <f t="shared" si="76"/>
        <v/>
      </c>
      <c r="Q703" s="13">
        <f t="shared" si="77"/>
        <v>-2.6055862602157483E-3</v>
      </c>
      <c r="R703" s="49">
        <f t="shared" si="78"/>
        <v>1</v>
      </c>
    </row>
    <row r="704" spans="1:18" x14ac:dyDescent="0.35">
      <c r="A704" s="64">
        <v>9.3699999999999992</v>
      </c>
      <c r="B704" s="14">
        <v>2.8147120299297779E-3</v>
      </c>
      <c r="C704" s="12">
        <v>4.5136186770429187E-3</v>
      </c>
      <c r="D704" s="12">
        <v>5.6614590798338416E-3</v>
      </c>
      <c r="E704" s="12">
        <v>1.7009069572020419E-2</v>
      </c>
      <c r="F704" s="12">
        <v>4.4232130219390431E-3</v>
      </c>
      <c r="G704" s="12">
        <v>7.6572363806404198E-3</v>
      </c>
      <c r="H704" s="12">
        <v>-8.5154108166487497E-3</v>
      </c>
      <c r="I704" s="12">
        <v>-7.6881816556408911E-3</v>
      </c>
      <c r="J704" s="12">
        <v>-8.1067309028581835E-3</v>
      </c>
      <c r="K704" s="12">
        <v>-7.5329566854986929E-4</v>
      </c>
      <c r="L704" s="12">
        <v>1.037128426572087E-2</v>
      </c>
      <c r="M704" s="13">
        <f t="shared" si="73"/>
        <v>4.0333291912311615E-3</v>
      </c>
      <c r="N704" s="32">
        <f t="shared" si="74"/>
        <v>150.78452626952659</v>
      </c>
      <c r="O704" s="32">
        <f t="shared" si="75"/>
        <v>134.2975595413115</v>
      </c>
      <c r="P704" s="12" t="str">
        <f t="shared" si="76"/>
        <v/>
      </c>
      <c r="Q704" s="13">
        <f t="shared" si="77"/>
        <v>1.2186171613013837E-3</v>
      </c>
      <c r="R704" s="49">
        <f t="shared" si="78"/>
        <v>1</v>
      </c>
    </row>
    <row r="705" spans="1:18" x14ac:dyDescent="0.35">
      <c r="A705" s="64" t="s">
        <v>77</v>
      </c>
      <c r="B705" s="14">
        <v>-1.5544744781559316E-4</v>
      </c>
      <c r="C705" s="12">
        <v>4.5449850222083477E-3</v>
      </c>
      <c r="D705" s="12">
        <v>5.2732844010545676E-3</v>
      </c>
      <c r="E705" s="12">
        <v>-3.7637472220639401E-2</v>
      </c>
      <c r="F705" s="12">
        <v>-5.7346407531364552E-3</v>
      </c>
      <c r="G705" s="12">
        <v>1.9142641684553041E-3</v>
      </c>
      <c r="H705" s="12">
        <v>-6.661359922912613E-3</v>
      </c>
      <c r="I705" s="12">
        <v>7.5075075075075048E-3</v>
      </c>
      <c r="J705" s="12">
        <v>8.7240799551653314E-2</v>
      </c>
      <c r="K705" s="12">
        <v>3.5808518658122512E-3</v>
      </c>
      <c r="L705" s="12">
        <v>-1.4271540868503463E-2</v>
      </c>
      <c r="M705" s="13">
        <f t="shared" si="73"/>
        <v>-3.9619321218777046E-3</v>
      </c>
      <c r="N705" s="32">
        <f t="shared" si="74"/>
        <v>150.18712821141725</v>
      </c>
      <c r="O705" s="32">
        <f t="shared" si="75"/>
        <v>134.27668332843294</v>
      </c>
      <c r="P705" s="12">
        <f t="shared" si="76"/>
        <v>-3.9619321218777046E-3</v>
      </c>
      <c r="Q705" s="13">
        <f t="shared" si="77"/>
        <v>-3.8064846740621114E-3</v>
      </c>
      <c r="R705" s="49" t="str">
        <f t="shared" si="78"/>
        <v/>
      </c>
    </row>
    <row r="706" spans="1:18" x14ac:dyDescent="0.35">
      <c r="A706" s="64" t="s">
        <v>77</v>
      </c>
      <c r="B706" s="14">
        <v>-6.4247002791920638E-3</v>
      </c>
      <c r="C706" s="12">
        <v>-6.5809768637532517E-3</v>
      </c>
      <c r="D706" s="12">
        <v>1.3468490820160328E-2</v>
      </c>
      <c r="E706" s="12">
        <v>-2.0872191135979934E-2</v>
      </c>
      <c r="F706" s="12">
        <v>-5.4527559055117525E-3</v>
      </c>
      <c r="G706" s="12">
        <v>5.6160259379343103E-3</v>
      </c>
      <c r="H706" s="12">
        <v>-1.1218894981020688E-2</v>
      </c>
      <c r="I706" s="12">
        <v>-2.4739195230998545E-2</v>
      </c>
      <c r="J706" s="12">
        <v>4.08075601374569E-3</v>
      </c>
      <c r="K706" s="12">
        <v>-3.755868544600971E-3</v>
      </c>
      <c r="L706" s="12">
        <v>-7.7423350882566133E-5</v>
      </c>
      <c r="M706" s="13">
        <f t="shared" si="73"/>
        <v>-4.8181937089284855E-3</v>
      </c>
      <c r="N706" s="32">
        <f t="shared" si="74"/>
        <v>149.46349753510697</v>
      </c>
      <c r="O706" s="32">
        <f t="shared" si="75"/>
        <v>133.41399588356376</v>
      </c>
      <c r="P706" s="12">
        <f t="shared" si="76"/>
        <v>-4.8181937089284855E-3</v>
      </c>
      <c r="Q706" s="13">
        <f t="shared" si="77"/>
        <v>1.6065065702635783E-3</v>
      </c>
      <c r="R706" s="49" t="str">
        <f t="shared" si="78"/>
        <v/>
      </c>
    </row>
    <row r="707" spans="1:18" x14ac:dyDescent="0.35">
      <c r="A707" s="64" t="s">
        <v>77</v>
      </c>
      <c r="B707" s="14">
        <v>9.8778818753428865E-3</v>
      </c>
      <c r="C707" s="12">
        <v>1.3507918434944699E-2</v>
      </c>
      <c r="D707" s="12">
        <v>3.3573476953205894E-3</v>
      </c>
      <c r="E707" s="12">
        <v>2.3131349782293142E-2</v>
      </c>
      <c r="F707" s="12">
        <v>-4.5919680145676267E-3</v>
      </c>
      <c r="G707" s="12">
        <v>4.5483332373768004E-3</v>
      </c>
      <c r="H707" s="12">
        <v>5.5877836546665005E-3</v>
      </c>
      <c r="I707" s="12">
        <v>1.1185819070904657E-2</v>
      </c>
      <c r="J707" s="12">
        <v>2.1133689839572201E-2</v>
      </c>
      <c r="K707" s="12">
        <v>4.7125353440151674E-3</v>
      </c>
      <c r="L707" s="12">
        <v>8.2462253193960056E-3</v>
      </c>
      <c r="M707" s="13">
        <f t="shared" si="73"/>
        <v>8.7468684988038503E-3</v>
      </c>
      <c r="N707" s="32">
        <f t="shared" si="74"/>
        <v>150.77083509341784</v>
      </c>
      <c r="O707" s="32">
        <f t="shared" si="75"/>
        <v>134.73184357541908</v>
      </c>
      <c r="P707" s="12" t="str">
        <f t="shared" si="76"/>
        <v/>
      </c>
      <c r="Q707" s="13">
        <f t="shared" si="77"/>
        <v>-1.1310133765390362E-3</v>
      </c>
      <c r="R707" s="49">
        <f t="shared" si="78"/>
        <v>1</v>
      </c>
    </row>
    <row r="708" spans="1:18" x14ac:dyDescent="0.35">
      <c r="A708" s="64">
        <v>9.6999999999999993</v>
      </c>
      <c r="B708" s="14">
        <v>1.4687171966489831E-3</v>
      </c>
      <c r="C708" s="12">
        <v>3.1660113363629616E-3</v>
      </c>
      <c r="D708" s="12">
        <v>5.0888811432556746E-3</v>
      </c>
      <c r="E708" s="12">
        <v>-7.2405946153618617E-3</v>
      </c>
      <c r="F708" s="12">
        <v>6.8799586407111146E-3</v>
      </c>
      <c r="G708" s="12">
        <v>-3.9832645575424097E-2</v>
      </c>
      <c r="H708" s="12">
        <v>8.3987274655354938E-3</v>
      </c>
      <c r="I708" s="12">
        <v>2.0854742187027764E-2</v>
      </c>
      <c r="J708" s="12">
        <v>6.7032552683388147E-4</v>
      </c>
      <c r="K708" s="12">
        <v>-1.8761726078797558E-4</v>
      </c>
      <c r="L708" s="12">
        <v>1.8200668125792019E-2</v>
      </c>
      <c r="M708" s="13">
        <f t="shared" si="73"/>
        <v>7.461763736389326E-3</v>
      </c>
      <c r="N708" s="32">
        <f t="shared" si="74"/>
        <v>151.89585144322305</v>
      </c>
      <c r="O708" s="32">
        <f t="shared" si="75"/>
        <v>134.92972655101451</v>
      </c>
      <c r="P708" s="12" t="str">
        <f t="shared" si="76"/>
        <v/>
      </c>
      <c r="Q708" s="13">
        <f t="shared" si="77"/>
        <v>5.9930465397403428E-3</v>
      </c>
      <c r="R708" s="49">
        <f t="shared" si="78"/>
        <v>1</v>
      </c>
    </row>
    <row r="709" spans="1:18" x14ac:dyDescent="0.35">
      <c r="A709" s="64" t="s">
        <v>77</v>
      </c>
      <c r="B709" s="14">
        <v>-2.6650918726683903E-3</v>
      </c>
      <c r="C709" s="12">
        <v>-4.326800712649459E-3</v>
      </c>
      <c r="D709" s="12">
        <v>-5.8954085171313286E-3</v>
      </c>
      <c r="E709" s="12">
        <v>1.2502976899260165E-3</v>
      </c>
      <c r="F709" s="12">
        <v>-3.2189900665521298E-3</v>
      </c>
      <c r="G709" s="12">
        <v>8.117949024055271E-3</v>
      </c>
      <c r="H709" s="12">
        <v>8.6232280318008225E-3</v>
      </c>
      <c r="I709" s="12">
        <v>4.5594504973947014E-3</v>
      </c>
      <c r="J709" s="12">
        <v>-3.5168515804898659E-3</v>
      </c>
      <c r="K709" s="12">
        <v>-4.6913116907487673E-3</v>
      </c>
      <c r="L709" s="12">
        <v>8.8546969868386061E-2</v>
      </c>
      <c r="M709" s="13">
        <f t="shared" si="73"/>
        <v>1.3447894871481106E-2</v>
      </c>
      <c r="N709" s="32">
        <f t="shared" si="74"/>
        <v>153.93853088484562</v>
      </c>
      <c r="O709" s="32">
        <f t="shared" si="75"/>
        <v>134.57012643340204</v>
      </c>
      <c r="P709" s="12" t="str">
        <f t="shared" si="76"/>
        <v/>
      </c>
      <c r="Q709" s="13">
        <f t="shared" si="77"/>
        <v>1.6112986744149495E-2</v>
      </c>
      <c r="R709" s="49">
        <f t="shared" si="78"/>
        <v>1</v>
      </c>
    </row>
    <row r="710" spans="1:18" x14ac:dyDescent="0.35">
      <c r="A710" s="64" t="s">
        <v>77</v>
      </c>
      <c r="B710" s="14">
        <v>-1.383957541738301E-2</v>
      </c>
      <c r="C710" s="12">
        <v>-1.543967280163594E-2</v>
      </c>
      <c r="D710" s="12">
        <v>5.8606014093349756E-3</v>
      </c>
      <c r="E710" s="12">
        <v>-2.6282927989534355E-2</v>
      </c>
      <c r="F710" s="12">
        <v>1.1887308317160006E-4</v>
      </c>
      <c r="G710" s="12">
        <v>6.039433951092521E-3</v>
      </c>
      <c r="H710" s="12">
        <v>-9.2584869463675501E-3</v>
      </c>
      <c r="I710" s="12">
        <v>-1.7094017094017144E-2</v>
      </c>
      <c r="J710" s="12">
        <v>-2.785597243813287E-2</v>
      </c>
      <c r="K710" s="12">
        <v>5.6561085972850478E-4</v>
      </c>
      <c r="L710" s="12">
        <v>-3.7415555170621229E-3</v>
      </c>
      <c r="M710" s="13">
        <f t="shared" si="73"/>
        <v>-5.8434239189136877E-3</v>
      </c>
      <c r="N710" s="32">
        <f t="shared" si="74"/>
        <v>153.03900279143068</v>
      </c>
      <c r="O710" s="32">
        <f t="shared" si="75"/>
        <v>132.70773301970021</v>
      </c>
      <c r="P710" s="12">
        <f t="shared" si="76"/>
        <v>-5.8434239189136877E-3</v>
      </c>
      <c r="Q710" s="13">
        <f t="shared" si="77"/>
        <v>7.9961514984693213E-3</v>
      </c>
      <c r="R710" s="49" t="str">
        <f t="shared" si="78"/>
        <v/>
      </c>
    </row>
    <row r="711" spans="1:18" x14ac:dyDescent="0.35">
      <c r="A711" s="64" t="s">
        <v>77</v>
      </c>
      <c r="B711" s="14">
        <v>-2.5479739176096361E-3</v>
      </c>
      <c r="C711" s="12">
        <v>-7.3216325682834427E-3</v>
      </c>
      <c r="D711" s="12">
        <v>1.9421516265520911E-3</v>
      </c>
      <c r="E711" s="12">
        <v>-2.5648854961831669E-3</v>
      </c>
      <c r="F711" s="12">
        <v>1.1885895404128988E-4</v>
      </c>
      <c r="G711" s="12">
        <v>4.2963922076393324E-3</v>
      </c>
      <c r="H711" s="12">
        <v>5.0513554470448252E-3</v>
      </c>
      <c r="I711" s="12">
        <v>-2.0389805097451585E-3</v>
      </c>
      <c r="J711" s="12">
        <v>-8.6437894372792812E-5</v>
      </c>
      <c r="K711" s="12">
        <v>3.7686074995302299E-4</v>
      </c>
      <c r="L711" s="12">
        <v>-2.1281774872205061E-2</v>
      </c>
      <c r="M711" s="13">
        <f t="shared" si="73"/>
        <v>-3.7520556764186084E-3</v>
      </c>
      <c r="N711" s="32">
        <f t="shared" si="74"/>
        <v>152.46479193229365</v>
      </c>
      <c r="O711" s="32">
        <f t="shared" si="75"/>
        <v>132.3695971773009</v>
      </c>
      <c r="P711" s="12">
        <f t="shared" si="76"/>
        <v>-3.7520556764186084E-3</v>
      </c>
      <c r="Q711" s="13">
        <f t="shared" si="77"/>
        <v>-1.2040817588089723E-3</v>
      </c>
      <c r="R711" s="49" t="str">
        <f t="shared" si="78"/>
        <v/>
      </c>
    </row>
    <row r="712" spans="1:18" x14ac:dyDescent="0.35">
      <c r="A712" s="64" t="s">
        <v>77</v>
      </c>
      <c r="B712" s="14">
        <v>-5.2999962238083898E-3</v>
      </c>
      <c r="C712" s="12">
        <v>-4.8020086833708064E-2</v>
      </c>
      <c r="D712" s="12">
        <v>-1.4537902388368495E-3</v>
      </c>
      <c r="E712" s="12">
        <v>3.4286414008446453E-3</v>
      </c>
      <c r="F712" s="12">
        <v>-4.218991403557415E-3</v>
      </c>
      <c r="G712" s="12">
        <v>-9.3764650726675391E-3</v>
      </c>
      <c r="H712" s="12">
        <v>9.6331043725927934E-4</v>
      </c>
      <c r="I712" s="12">
        <v>-6.0092542515474134E-3</v>
      </c>
      <c r="J712" s="12">
        <v>0</v>
      </c>
      <c r="K712" s="12">
        <v>-5.8391410811828859E-3</v>
      </c>
      <c r="L712" s="12">
        <v>-1.7800675075501871E-2</v>
      </c>
      <c r="M712" s="13">
        <f t="shared" si="73"/>
        <v>-5.415163939115405E-3</v>
      </c>
      <c r="N712" s="32">
        <f t="shared" si="74"/>
        <v>151.63917008903715</v>
      </c>
      <c r="O712" s="32">
        <f t="shared" si="75"/>
        <v>131.66803881211416</v>
      </c>
      <c r="P712" s="12">
        <f t="shared" si="76"/>
        <v>-5.415163939115405E-3</v>
      </c>
      <c r="Q712" s="13">
        <f t="shared" si="77"/>
        <v>-1.1516771530701523E-4</v>
      </c>
      <c r="R712" s="49" t="str">
        <f t="shared" si="78"/>
        <v/>
      </c>
    </row>
    <row r="713" spans="1:18" x14ac:dyDescent="0.35">
      <c r="A713" s="64">
        <v>9.68</v>
      </c>
      <c r="B713" s="14">
        <v>9.02405745383561E-3</v>
      </c>
      <c r="C713" s="12">
        <v>-1.7253695257981261E-2</v>
      </c>
      <c r="D713" s="12">
        <v>1.3449805879090393E-2</v>
      </c>
      <c r="E713" s="12">
        <v>7.1084263835501371E-3</v>
      </c>
      <c r="F713" s="12">
        <v>1.5933005788395294E-2</v>
      </c>
      <c r="G713" s="12">
        <v>2.40179839091339E-2</v>
      </c>
      <c r="H713" s="12">
        <v>1.0544374241600041E-2</v>
      </c>
      <c r="I713" s="12">
        <v>9.3706547367149451E-3</v>
      </c>
      <c r="J713" s="12">
        <v>2.9780428769017986E-2</v>
      </c>
      <c r="K713" s="12">
        <v>1.3641530882910091E-2</v>
      </c>
      <c r="L713" s="12">
        <v>1.8846766025177208E-2</v>
      </c>
      <c r="M713" s="13">
        <f t="shared" si="73"/>
        <v>1.2744504082564183E-2</v>
      </c>
      <c r="N713" s="32">
        <f t="shared" si="74"/>
        <v>153.57173611131353</v>
      </c>
      <c r="O713" s="32">
        <f t="shared" si="75"/>
        <v>132.85621875918855</v>
      </c>
      <c r="P713" s="12" t="str">
        <f t="shared" si="76"/>
        <v/>
      </c>
      <c r="Q713" s="13">
        <f t="shared" si="77"/>
        <v>3.7204466287285732E-3</v>
      </c>
      <c r="R713" s="49">
        <f t="shared" si="78"/>
        <v>1</v>
      </c>
    </row>
    <row r="714" spans="1:18" x14ac:dyDescent="0.35">
      <c r="A714" s="64" t="s">
        <v>77</v>
      </c>
      <c r="B714" s="14">
        <v>-4.2182700223970526E-3</v>
      </c>
      <c r="C714" s="12">
        <v>5.3117137265865644E-3</v>
      </c>
      <c r="D714" s="12">
        <v>-1.8470378984813962E-3</v>
      </c>
      <c r="E714" s="12">
        <v>-1.2298930659477181E-2</v>
      </c>
      <c r="F714" s="12">
        <v>-9.5547636762344235E-3</v>
      </c>
      <c r="G714" s="12">
        <v>4.6216060080883636E-4</v>
      </c>
      <c r="H714" s="12">
        <v>-9.1921659558610314E-3</v>
      </c>
      <c r="I714" s="12">
        <v>-6.5285098227120253E-3</v>
      </c>
      <c r="J714" s="12">
        <v>-8.8142707240301821E-4</v>
      </c>
      <c r="K714" s="12">
        <v>9.3457943925234765E-4</v>
      </c>
      <c r="L714" s="12">
        <v>4.4026273744008915E-3</v>
      </c>
      <c r="M714" s="13">
        <f t="shared" si="73"/>
        <v>-2.5147502919487972E-3</v>
      </c>
      <c r="N714" s="32">
        <f t="shared" si="74"/>
        <v>153.18554154309251</v>
      </c>
      <c r="O714" s="32">
        <f t="shared" si="75"/>
        <v>132.29579535430764</v>
      </c>
      <c r="P714" s="12">
        <f t="shared" si="76"/>
        <v>-2.5147502919487972E-3</v>
      </c>
      <c r="Q714" s="13">
        <f t="shared" si="77"/>
        <v>1.7035197304482554E-3</v>
      </c>
      <c r="R714" s="49" t="str">
        <f t="shared" si="78"/>
        <v/>
      </c>
    </row>
    <row r="715" spans="1:18" x14ac:dyDescent="0.35">
      <c r="A715" s="64" t="s">
        <v>77</v>
      </c>
      <c r="B715" s="14">
        <v>-7.0387475607750494E-3</v>
      </c>
      <c r="C715" s="12">
        <v>-8.9543937708566057E-3</v>
      </c>
      <c r="D715" s="12">
        <v>-2.3439106298403067E-2</v>
      </c>
      <c r="E715" s="12">
        <v>-1.1715994479374325E-2</v>
      </c>
      <c r="F715" s="12">
        <v>-7.4131182540624341E-3</v>
      </c>
      <c r="G715" s="12">
        <v>-6.3517727220241404E-4</v>
      </c>
      <c r="H715" s="12">
        <v>1.9641439257804816E-3</v>
      </c>
      <c r="I715" s="12">
        <v>-1.2359076385120904E-2</v>
      </c>
      <c r="J715" s="12">
        <v>-7.561754327003456E-4</v>
      </c>
      <c r="K715" s="12">
        <v>1.6806722689075571E-3</v>
      </c>
      <c r="L715" s="12">
        <v>5.7973063735019537E-3</v>
      </c>
      <c r="M715" s="13">
        <f t="shared" si="73"/>
        <v>-9.0817169165884875E-3</v>
      </c>
      <c r="N715" s="32">
        <f t="shared" si="74"/>
        <v>151.79435381908385</v>
      </c>
      <c r="O715" s="32">
        <f t="shared" si="75"/>
        <v>131.36459864745672</v>
      </c>
      <c r="P715" s="12">
        <f t="shared" si="76"/>
        <v>-9.0817169165884875E-3</v>
      </c>
      <c r="Q715" s="13">
        <f t="shared" si="77"/>
        <v>-2.0429693558134381E-3</v>
      </c>
      <c r="R715" s="49" t="str">
        <f t="shared" si="78"/>
        <v/>
      </c>
    </row>
    <row r="716" spans="1:18" x14ac:dyDescent="0.35">
      <c r="A716" s="64" t="s">
        <v>77</v>
      </c>
      <c r="B716" s="14">
        <v>2.5068771249703303E-4</v>
      </c>
      <c r="C716" s="12">
        <v>-1.2346371850272542E-3</v>
      </c>
      <c r="D716" s="12">
        <v>5.3337076286055218E-3</v>
      </c>
      <c r="E716" s="12">
        <v>2.1723613567947719E-3</v>
      </c>
      <c r="F716" s="12">
        <v>2.7284857899663173E-3</v>
      </c>
      <c r="G716" s="12">
        <v>-5.2002080083203284E-3</v>
      </c>
      <c r="H716" s="12">
        <v>1.6683350016684084E-3</v>
      </c>
      <c r="I716" s="12">
        <v>-1.7091930167256741E-3</v>
      </c>
      <c r="J716" s="12">
        <v>1.6816614815435837E-3</v>
      </c>
      <c r="K716" s="12">
        <v>-4.1014168530947304E-3</v>
      </c>
      <c r="L716" s="12">
        <v>-2.4953431975537343E-3</v>
      </c>
      <c r="M716" s="13">
        <f t="shared" si="73"/>
        <v>9.5078616833263734E-5</v>
      </c>
      <c r="N716" s="32">
        <f t="shared" si="74"/>
        <v>151.80878621628807</v>
      </c>
      <c r="O716" s="32">
        <f t="shared" si="75"/>
        <v>131.39753013819472</v>
      </c>
      <c r="P716" s="12" t="str">
        <f t="shared" si="76"/>
        <v/>
      </c>
      <c r="Q716" s="13">
        <f t="shared" si="77"/>
        <v>-1.556090956637693E-4</v>
      </c>
      <c r="R716" s="49">
        <f t="shared" si="78"/>
        <v>1</v>
      </c>
    </row>
    <row r="717" spans="1:18" x14ac:dyDescent="0.35">
      <c r="A717" s="64" t="s">
        <v>77</v>
      </c>
      <c r="B717" s="14">
        <v>-1.0696312010077813E-3</v>
      </c>
      <c r="C717" s="12">
        <v>-1.0114064168118553E-3</v>
      </c>
      <c r="D717" s="12">
        <v>-9.0750436300168769E-4</v>
      </c>
      <c r="E717" s="12">
        <v>-5.9455609574831092E-3</v>
      </c>
      <c r="F717" s="12">
        <v>8.9973782473979913E-3</v>
      </c>
      <c r="G717" s="12">
        <v>9.7577975257012728E-3</v>
      </c>
      <c r="H717" s="12">
        <v>-4.9966688874081289E-4</v>
      </c>
      <c r="I717" s="12">
        <v>1.0578451754922558E-2</v>
      </c>
      <c r="J717" s="12">
        <v>-1.0660622848988499E-2</v>
      </c>
      <c r="K717" s="12">
        <v>5.8030700112317035E-3</v>
      </c>
      <c r="L717" s="12">
        <v>4.9327038263689005E-3</v>
      </c>
      <c r="M717" s="13">
        <f t="shared" si="73"/>
        <v>3.0994712310015702E-3</v>
      </c>
      <c r="N717" s="32">
        <f t="shared" si="74"/>
        <v>152.27931318177872</v>
      </c>
      <c r="O717" s="32">
        <f t="shared" si="75"/>
        <v>131.25698324022355</v>
      </c>
      <c r="P717" s="12" t="str">
        <f t="shared" si="76"/>
        <v/>
      </c>
      <c r="Q717" s="13">
        <f t="shared" si="77"/>
        <v>4.1691024320093511E-3</v>
      </c>
      <c r="R717" s="49">
        <f t="shared" si="78"/>
        <v>1</v>
      </c>
    </row>
    <row r="718" spans="1:18" x14ac:dyDescent="0.35">
      <c r="A718" s="64">
        <v>10</v>
      </c>
      <c r="B718" s="14">
        <v>5.7503836202552616E-3</v>
      </c>
      <c r="C718" s="12">
        <v>9.3931042240846807E-3</v>
      </c>
      <c r="D718" s="12">
        <v>-8.454443823365021E-3</v>
      </c>
      <c r="E718" s="12">
        <v>9.4389582879039757E-3</v>
      </c>
      <c r="F718" s="12">
        <v>5.7479183480639851E-3</v>
      </c>
      <c r="G718" s="12">
        <v>-2.3583549036525486E-3</v>
      </c>
      <c r="H718" s="12">
        <v>1.1914680886518925E-2</v>
      </c>
      <c r="I718" s="12">
        <v>4.901070974768551E-3</v>
      </c>
      <c r="J718" s="12">
        <v>4.1998981842865657E-3</v>
      </c>
      <c r="K718" s="12">
        <v>-7.4446305602083873E-3</v>
      </c>
      <c r="L718" s="12">
        <v>-2.3841245354463414E-3</v>
      </c>
      <c r="M718" s="13">
        <f t="shared" si="73"/>
        <v>-2.1382349943849395E-3</v>
      </c>
      <c r="N718" s="32">
        <f t="shared" si="74"/>
        <v>151.95370422541254</v>
      </c>
      <c r="O718" s="32">
        <f t="shared" si="75"/>
        <v>132.01176124669226</v>
      </c>
      <c r="P718" s="12">
        <f t="shared" si="76"/>
        <v>-2.1382349943849395E-3</v>
      </c>
      <c r="Q718" s="13">
        <f t="shared" si="77"/>
        <v>-7.8886186146402016E-3</v>
      </c>
      <c r="R718" s="49" t="str">
        <f t="shared" si="78"/>
        <v/>
      </c>
    </row>
    <row r="719" spans="1:18" x14ac:dyDescent="0.35">
      <c r="A719" s="64" t="s">
        <v>77</v>
      </c>
      <c r="B719" s="14">
        <v>-1.1550831677699436E-2</v>
      </c>
      <c r="C719" s="12">
        <v>-1.1200267469073988E-2</v>
      </c>
      <c r="D719" s="12">
        <v>-2.8186879007818799E-4</v>
      </c>
      <c r="E719" s="12">
        <v>-6.7275644982101035E-3</v>
      </c>
      <c r="F719" s="12">
        <v>-8.2985927622178934E-3</v>
      </c>
      <c r="G719" s="12">
        <v>-2.8828413284133214E-3</v>
      </c>
      <c r="H719" s="12">
        <v>-1.2638946068340817E-2</v>
      </c>
      <c r="I719" s="12">
        <v>-2.5108381502890298E-2</v>
      </c>
      <c r="J719" s="12">
        <v>-1.8799374762367482E-2</v>
      </c>
      <c r="K719" s="12">
        <v>-5.0628164260265729E-3</v>
      </c>
      <c r="L719" s="12">
        <v>-2.5198566106698572E-2</v>
      </c>
      <c r="M719" s="13">
        <f t="shared" si="73"/>
        <v>-1.126675868936477E-2</v>
      </c>
      <c r="N719" s="32">
        <f t="shared" si="74"/>
        <v>150.2416785079497</v>
      </c>
      <c r="O719" s="32">
        <f t="shared" si="75"/>
        <v>130.48691561305506</v>
      </c>
      <c r="P719" s="12">
        <f t="shared" si="76"/>
        <v>-1.126675868936477E-2</v>
      </c>
      <c r="Q719" s="13">
        <f t="shared" si="77"/>
        <v>2.8407298833466564E-4</v>
      </c>
      <c r="R719" s="49" t="str">
        <f t="shared" si="78"/>
        <v/>
      </c>
    </row>
    <row r="720" spans="1:18" x14ac:dyDescent="0.35">
      <c r="A720" s="64" t="s">
        <v>77</v>
      </c>
      <c r="B720" s="14">
        <v>-7.5554433893813E-3</v>
      </c>
      <c r="C720" s="12">
        <v>-4.9591434206818219E-3</v>
      </c>
      <c r="D720" s="12">
        <v>-8.6699090716855221E-3</v>
      </c>
      <c r="E720" s="12">
        <v>-4.5361337227367571E-3</v>
      </c>
      <c r="F720" s="12">
        <v>-6.1773470958573773E-3</v>
      </c>
      <c r="G720" s="12">
        <v>-3.180293743494933E-3</v>
      </c>
      <c r="H720" s="12">
        <v>-2.2515948797064977E-3</v>
      </c>
      <c r="I720" s="12">
        <v>-7.1027113828671107E-3</v>
      </c>
      <c r="J720" s="12">
        <v>-9.9457504520795714E-3</v>
      </c>
      <c r="K720" s="12">
        <v>5.653976630231039E-4</v>
      </c>
      <c r="L720" s="12">
        <v>-1.0311136748747174E-2</v>
      </c>
      <c r="M720" s="13">
        <f t="shared" si="73"/>
        <v>-6.0064799213243288E-3</v>
      </c>
      <c r="N720" s="32">
        <f t="shared" si="74"/>
        <v>149.33925488264563</v>
      </c>
      <c r="O720" s="32">
        <f t="shared" si="75"/>
        <v>129.50102910908564</v>
      </c>
      <c r="P720" s="12">
        <f t="shared" si="76"/>
        <v>-6.0064799213243288E-3</v>
      </c>
      <c r="Q720" s="13">
        <f t="shared" si="77"/>
        <v>1.5489634680569712E-3</v>
      </c>
      <c r="R720" s="49" t="str">
        <f t="shared" si="78"/>
        <v/>
      </c>
    </row>
    <row r="721" spans="1:18" x14ac:dyDescent="0.35">
      <c r="A721" s="64" t="s">
        <v>77</v>
      </c>
      <c r="B721" s="14">
        <v>-7.7128643857296009E-3</v>
      </c>
      <c r="C721" s="12">
        <v>-1.4555133941213105E-2</v>
      </c>
      <c r="D721" s="12">
        <v>1.422070534700115E-4</v>
      </c>
      <c r="E721" s="12">
        <v>-1.0986267166042341E-2</v>
      </c>
      <c r="F721" s="12">
        <v>-1.9064262451346403E-2</v>
      </c>
      <c r="G721" s="12">
        <v>9.3972968269622204E-3</v>
      </c>
      <c r="H721" s="12">
        <v>-8.023736888294497E-3</v>
      </c>
      <c r="I721" s="12">
        <v>-1.1196815128140525E-3</v>
      </c>
      <c r="J721" s="12">
        <v>-2.3526853663839997E-2</v>
      </c>
      <c r="K721" s="12">
        <v>-2.2414767376153777E-2</v>
      </c>
      <c r="L721" s="12">
        <v>2.4042839969400376E-3</v>
      </c>
      <c r="M721" s="13">
        <f t="shared" ref="M721:M784" si="79">SUMPRODUCT($C$2:$L$2,C721:L721)</f>
        <v>-6.3095754554110548E-3</v>
      </c>
      <c r="N721" s="32">
        <f t="shared" ref="N721:N784" si="80">+(N720*(1+M721))</f>
        <v>148.3969875855087</v>
      </c>
      <c r="O721" s="32">
        <f t="shared" ref="O721:O784" si="81">+(O720*(1+B721))</f>
        <v>128.50220523375484</v>
      </c>
      <c r="P721" s="12">
        <f t="shared" ref="P721:P784" si="82">+IF(M721&lt;0,M721,"")</f>
        <v>-6.3095754554110548E-3</v>
      </c>
      <c r="Q721" s="13">
        <f t="shared" ref="Q721:Q784" si="83">M721-B721</f>
        <v>1.4032889303185461E-3</v>
      </c>
      <c r="R721" s="49" t="str">
        <f t="shared" ref="R721:R784" si="84">+IF(M721&gt;0,1,"")</f>
        <v/>
      </c>
    </row>
    <row r="722" spans="1:18" x14ac:dyDescent="0.35">
      <c r="A722" s="64">
        <v>9.8000000000000007</v>
      </c>
      <c r="B722" s="14">
        <v>-1.4872916647590273E-4</v>
      </c>
      <c r="C722" s="12">
        <v>2.8160919540229923E-3</v>
      </c>
      <c r="D722" s="12">
        <v>5.3320062562207671E-3</v>
      </c>
      <c r="E722" s="12">
        <v>-1.2623074981065185E-3</v>
      </c>
      <c r="F722" s="12">
        <v>9.06956028828243E-3</v>
      </c>
      <c r="G722" s="12">
        <v>-8.7351301649329915E-3</v>
      </c>
      <c r="H722" s="12">
        <v>3.3702658297172228E-3</v>
      </c>
      <c r="I722" s="12">
        <v>-2.1795989537926053E-3</v>
      </c>
      <c r="J722" s="12">
        <v>9.3969894005523358E-3</v>
      </c>
      <c r="K722" s="12">
        <v>1.4258188824662898E-2</v>
      </c>
      <c r="L722" s="12">
        <v>-4.9787404150162251E-3</v>
      </c>
      <c r="M722" s="13">
        <f t="shared" si="79"/>
        <v>3.2127320044916773E-3</v>
      </c>
      <c r="N722" s="32">
        <f t="shared" si="80"/>
        <v>148.87374733689481</v>
      </c>
      <c r="O722" s="32">
        <f t="shared" si="81"/>
        <v>128.4830932078801</v>
      </c>
      <c r="P722" s="12" t="str">
        <f t="shared" si="82"/>
        <v/>
      </c>
      <c r="Q722" s="13">
        <f t="shared" si="83"/>
        <v>3.36146117096758E-3</v>
      </c>
      <c r="R722" s="49">
        <f t="shared" si="84"/>
        <v>1</v>
      </c>
    </row>
    <row r="723" spans="1:18" x14ac:dyDescent="0.35">
      <c r="A723" s="64" t="s">
        <v>77</v>
      </c>
      <c r="B723" s="14">
        <v>6.8791750482297687E-3</v>
      </c>
      <c r="C723" s="12">
        <v>7.7368330563356569E-3</v>
      </c>
      <c r="D723" s="12">
        <v>6.1523230323174971E-3</v>
      </c>
      <c r="E723" s="12">
        <v>1.7062689585439772E-2</v>
      </c>
      <c r="F723" s="12">
        <v>-1.5247572425969302E-3</v>
      </c>
      <c r="G723" s="12">
        <v>-2.9798828917618536E-2</v>
      </c>
      <c r="H723" s="12">
        <v>5.4162992820254718E-3</v>
      </c>
      <c r="I723" s="12">
        <v>4.0566685389753498E-3</v>
      </c>
      <c r="J723" s="12">
        <v>2.5148908007941451E-3</v>
      </c>
      <c r="K723" s="12">
        <v>-2.6595744680850686E-3</v>
      </c>
      <c r="L723" s="12">
        <v>-3.8349159970781921E-3</v>
      </c>
      <c r="M723" s="13">
        <f t="shared" si="79"/>
        <v>3.5934867691480949E-3</v>
      </c>
      <c r="N723" s="32">
        <f t="shared" si="80"/>
        <v>149.40872317822343</v>
      </c>
      <c r="O723" s="32">
        <f t="shared" si="81"/>
        <v>129.36695089679512</v>
      </c>
      <c r="P723" s="12" t="str">
        <f t="shared" si="82"/>
        <v/>
      </c>
      <c r="Q723" s="13">
        <f t="shared" si="83"/>
        <v>-3.2856882790816737E-3</v>
      </c>
      <c r="R723" s="49">
        <f t="shared" si="84"/>
        <v>1</v>
      </c>
    </row>
    <row r="724" spans="1:18" x14ac:dyDescent="0.35">
      <c r="A724" s="64" t="s">
        <v>77</v>
      </c>
      <c r="B724" s="14">
        <v>-2.7774179104816943E-3</v>
      </c>
      <c r="C724" s="12">
        <v>7.9049135577797802E-3</v>
      </c>
      <c r="D724" s="12">
        <v>-5.5524318245712134E-3</v>
      </c>
      <c r="E724" s="12">
        <v>1.8019137566793741E-3</v>
      </c>
      <c r="F724" s="12">
        <v>-1.0729786208005243E-2</v>
      </c>
      <c r="G724" s="12">
        <v>-7.9474155960560511E-3</v>
      </c>
      <c r="H724" s="12">
        <v>4.6354297168629266E-3</v>
      </c>
      <c r="I724" s="12">
        <v>-1.1188463451019315E-2</v>
      </c>
      <c r="J724" s="12">
        <v>1.2542909955109538E-2</v>
      </c>
      <c r="K724" s="12">
        <v>-3.0476190476189657E-3</v>
      </c>
      <c r="L724" s="12">
        <v>-9.3492208982585145E-3</v>
      </c>
      <c r="M724" s="13">
        <f t="shared" si="79"/>
        <v>-5.7014019284016611E-3</v>
      </c>
      <c r="N724" s="32">
        <f t="shared" si="80"/>
        <v>148.55688399577508</v>
      </c>
      <c r="O724" s="32">
        <f t="shared" si="81"/>
        <v>129.00764481034994</v>
      </c>
      <c r="P724" s="12">
        <f t="shared" si="82"/>
        <v>-5.7014019284016611E-3</v>
      </c>
      <c r="Q724" s="13">
        <f t="shared" si="83"/>
        <v>-2.9239840179199669E-3</v>
      </c>
      <c r="R724" s="49" t="str">
        <f t="shared" si="84"/>
        <v/>
      </c>
    </row>
    <row r="725" spans="1:18" x14ac:dyDescent="0.35">
      <c r="A725" s="64" t="s">
        <v>77</v>
      </c>
      <c r="B725" s="14">
        <v>1.1044888377340412E-2</v>
      </c>
      <c r="C725" s="12">
        <v>2.1948879986458447E-2</v>
      </c>
      <c r="D725" s="12">
        <v>1.3569863594600218E-2</v>
      </c>
      <c r="E725" s="12">
        <v>1.4079265645351446E-2</v>
      </c>
      <c r="F725" s="12">
        <v>-5.8902384531014373E-3</v>
      </c>
      <c r="G725" s="12">
        <v>-8.9748223105650116E-3</v>
      </c>
      <c r="H725" s="12">
        <v>7.1912541048344547E-3</v>
      </c>
      <c r="I725" s="12">
        <v>2.2630123208446928E-3</v>
      </c>
      <c r="J725" s="12">
        <v>-6.4762898248358347E-3</v>
      </c>
      <c r="K725" s="12">
        <v>6.8781047000381346E-3</v>
      </c>
      <c r="L725" s="12">
        <v>1.0473723168023641E-2</v>
      </c>
      <c r="M725" s="13">
        <f t="shared" si="79"/>
        <v>9.4393022725788294E-3</v>
      </c>
      <c r="N725" s="32">
        <f t="shared" si="80"/>
        <v>149.95915732848363</v>
      </c>
      <c r="O725" s="32">
        <f t="shared" si="81"/>
        <v>130.43251984710383</v>
      </c>
      <c r="P725" s="12" t="str">
        <f t="shared" si="82"/>
        <v/>
      </c>
      <c r="Q725" s="13">
        <f t="shared" si="83"/>
        <v>-1.6055861047615822E-3</v>
      </c>
      <c r="R725" s="49">
        <f t="shared" si="84"/>
        <v>1</v>
      </c>
    </row>
    <row r="726" spans="1:18" x14ac:dyDescent="0.35">
      <c r="A726" s="64" t="s">
        <v>77</v>
      </c>
      <c r="B726" s="14">
        <v>-1.3458039995401183E-2</v>
      </c>
      <c r="C726" s="12">
        <v>-2.6170494699646718E-2</v>
      </c>
      <c r="D726" s="12">
        <v>9.7622202077962683E-4</v>
      </c>
      <c r="E726" s="12">
        <v>-2.1498470948012161E-2</v>
      </c>
      <c r="F726" s="12">
        <v>-2.7378228179143482E-3</v>
      </c>
      <c r="G726" s="12">
        <v>3.4036345955144043E-3</v>
      </c>
      <c r="H726" s="12">
        <v>-1.1679735864630669E-2</v>
      </c>
      <c r="I726" s="12">
        <v>-1.0348720521826449E-2</v>
      </c>
      <c r="J726" s="12">
        <v>-4.9304401084959371E-2</v>
      </c>
      <c r="K726" s="12">
        <v>-7.5901328273245694E-3</v>
      </c>
      <c r="L726" s="12">
        <v>-1.3661502399003655E-2</v>
      </c>
      <c r="M726" s="13">
        <f t="shared" si="79"/>
        <v>-8.7340320245152935E-3</v>
      </c>
      <c r="N726" s="32">
        <f t="shared" si="80"/>
        <v>148.64940924600734</v>
      </c>
      <c r="O726" s="32">
        <f t="shared" si="81"/>
        <v>128.67715377830055</v>
      </c>
      <c r="P726" s="12">
        <f t="shared" si="82"/>
        <v>-8.7340320245152935E-3</v>
      </c>
      <c r="Q726" s="13">
        <f t="shared" si="83"/>
        <v>4.7240079708858896E-3</v>
      </c>
      <c r="R726" s="49" t="str">
        <f t="shared" si="84"/>
        <v/>
      </c>
    </row>
    <row r="727" spans="1:18" x14ac:dyDescent="0.35">
      <c r="A727" s="64">
        <v>10.199999999999999</v>
      </c>
      <c r="B727" s="14">
        <v>6.7179884423178571E-3</v>
      </c>
      <c r="C727" s="12">
        <v>1.2643156820501211E-2</v>
      </c>
      <c r="D727" s="12">
        <v>1.25391849529779E-2</v>
      </c>
      <c r="E727" s="12">
        <v>9.4071319186173064E-3</v>
      </c>
      <c r="F727" s="12">
        <v>2.0897357098954572E-3</v>
      </c>
      <c r="G727" s="12">
        <v>7.0264704100793107E-3</v>
      </c>
      <c r="H727" s="12">
        <v>1.2945254102810333E-2</v>
      </c>
      <c r="I727" s="12">
        <v>3.35889473350659E-3</v>
      </c>
      <c r="J727" s="12">
        <v>2.8070498366389085E-2</v>
      </c>
      <c r="K727" s="12">
        <v>5.9273422562142741E-3</v>
      </c>
      <c r="L727" s="12">
        <v>1.2105458596360918E-2</v>
      </c>
      <c r="M727" s="13">
        <f t="shared" si="79"/>
        <v>8.7830558972131403E-3</v>
      </c>
      <c r="N727" s="32">
        <f t="shared" si="80"/>
        <v>149.95500531650271</v>
      </c>
      <c r="O727" s="32">
        <f t="shared" si="81"/>
        <v>129.54160541017353</v>
      </c>
      <c r="P727" s="12" t="str">
        <f t="shared" si="82"/>
        <v/>
      </c>
      <c r="Q727" s="13">
        <f t="shared" si="83"/>
        <v>2.0650674548952832E-3</v>
      </c>
      <c r="R727" s="49">
        <f t="shared" si="84"/>
        <v>1</v>
      </c>
    </row>
    <row r="728" spans="1:18" x14ac:dyDescent="0.35">
      <c r="A728" s="64" t="s">
        <v>77</v>
      </c>
      <c r="B728" s="14">
        <v>6.2645975336552695E-3</v>
      </c>
      <c r="C728" s="12">
        <v>8.8460892447230766E-3</v>
      </c>
      <c r="D728" s="12">
        <v>4.6095631234950307E-3</v>
      </c>
      <c r="E728" s="12">
        <v>2.2292402006314216E-3</v>
      </c>
      <c r="F728" s="12">
        <v>4.4160942100097689E-3</v>
      </c>
      <c r="G728" s="12">
        <v>-1.1789473684210572E-2</v>
      </c>
      <c r="H728" s="12">
        <v>5.1943768809004087E-3</v>
      </c>
      <c r="I728" s="12">
        <v>5.4951995957555066E-3</v>
      </c>
      <c r="J728" s="12">
        <v>1.6337675126449236E-2</v>
      </c>
      <c r="K728" s="12">
        <v>5.7023379585630085E-3</v>
      </c>
      <c r="L728" s="12">
        <v>8.181684766656927E-3</v>
      </c>
      <c r="M728" s="13">
        <f t="shared" si="79"/>
        <v>5.3016835095860684E-3</v>
      </c>
      <c r="N728" s="32">
        <f t="shared" si="80"/>
        <v>150.7500192953691</v>
      </c>
      <c r="O728" s="32">
        <f t="shared" si="81"/>
        <v>130.35313143193184</v>
      </c>
      <c r="P728" s="12" t="str">
        <f t="shared" si="82"/>
        <v/>
      </c>
      <c r="Q728" s="13">
        <f t="shared" si="83"/>
        <v>-9.629140240692011E-4</v>
      </c>
      <c r="R728" s="49">
        <f t="shared" si="84"/>
        <v>1</v>
      </c>
    </row>
    <row r="729" spans="1:18" x14ac:dyDescent="0.35">
      <c r="A729" s="64" t="s">
        <v>77</v>
      </c>
      <c r="B729" s="14">
        <v>1.4508347036412905E-2</v>
      </c>
      <c r="C729" s="12">
        <v>2.1810311338032129E-2</v>
      </c>
      <c r="D729" s="12">
        <v>2.9448020819065057E-3</v>
      </c>
      <c r="E729" s="12">
        <v>1.4550509731232841E-2</v>
      </c>
      <c r="F729" s="12">
        <v>3.1550236117896535E-3</v>
      </c>
      <c r="G729" s="12">
        <v>1.2173595471431931E-4</v>
      </c>
      <c r="H729" s="12">
        <v>6.1928392732641946E-3</v>
      </c>
      <c r="I729" s="12">
        <v>6.5958917017401308E-3</v>
      </c>
      <c r="J729" s="12">
        <v>8.3678322910252234E-4</v>
      </c>
      <c r="K729" s="12">
        <v>8.3160083160083165E-3</v>
      </c>
      <c r="L729" s="12">
        <v>1.906910731831557E-2</v>
      </c>
      <c r="M729" s="13">
        <f t="shared" si="79"/>
        <v>9.2054071240641761E-3</v>
      </c>
      <c r="N729" s="32">
        <f t="shared" si="80"/>
        <v>152.13773459694349</v>
      </c>
      <c r="O729" s="32">
        <f t="shared" si="81"/>
        <v>132.24433990002944</v>
      </c>
      <c r="P729" s="12" t="str">
        <f t="shared" si="82"/>
        <v/>
      </c>
      <c r="Q729" s="13">
        <f t="shared" si="83"/>
        <v>-5.3029399123487291E-3</v>
      </c>
      <c r="R729" s="49">
        <f t="shared" si="84"/>
        <v>1</v>
      </c>
    </row>
    <row r="730" spans="1:18" x14ac:dyDescent="0.35">
      <c r="A730" s="64" t="s">
        <v>77</v>
      </c>
      <c r="B730" s="14">
        <v>3.8331298928546698E-3</v>
      </c>
      <c r="C730" s="12">
        <v>1.9172278948511812E-2</v>
      </c>
      <c r="D730" s="12">
        <v>2.7995903038582348E-3</v>
      </c>
      <c r="E730" s="12">
        <v>1.1570902225876978E-3</v>
      </c>
      <c r="F730" s="12">
        <v>-2.6378264310208399E-3</v>
      </c>
      <c r="G730" s="12">
        <v>-3.5299129693872056E-3</v>
      </c>
      <c r="H730" s="12">
        <v>3.6276188147059685E-3</v>
      </c>
      <c r="I730" s="12">
        <v>-4.3684473290073189E-4</v>
      </c>
      <c r="J730" s="12">
        <v>7.0407040704070223E-3</v>
      </c>
      <c r="K730" s="12">
        <v>7.122774133083265E-3</v>
      </c>
      <c r="L730" s="12">
        <v>8.2134057065315069E-3</v>
      </c>
      <c r="M730" s="13">
        <f t="shared" si="79"/>
        <v>3.8367246888213226E-3</v>
      </c>
      <c r="N730" s="32">
        <f t="shared" si="80"/>
        <v>152.72144519937294</v>
      </c>
      <c r="O730" s="32">
        <f t="shared" si="81"/>
        <v>132.75124963246108</v>
      </c>
      <c r="P730" s="12" t="str">
        <f t="shared" si="82"/>
        <v/>
      </c>
      <c r="Q730" s="13">
        <f t="shared" si="83"/>
        <v>3.5947959666528251E-6</v>
      </c>
      <c r="R730" s="49">
        <f t="shared" si="84"/>
        <v>1</v>
      </c>
    </row>
    <row r="731" spans="1:18" x14ac:dyDescent="0.35">
      <c r="A731" s="64" t="s">
        <v>77</v>
      </c>
      <c r="B731" s="14">
        <v>-1.5969452055097921E-3</v>
      </c>
      <c r="C731" s="12">
        <v>1.1723954169997608E-3</v>
      </c>
      <c r="D731" s="12">
        <v>-2.0427618139728931E-4</v>
      </c>
      <c r="E731" s="12">
        <v>-3.1326986830501058E-3</v>
      </c>
      <c r="F731" s="12">
        <v>-3.041523406506208E-2</v>
      </c>
      <c r="G731" s="12">
        <v>-1.2520613204666131E-2</v>
      </c>
      <c r="H731" s="12">
        <v>-2.2336839540266773E-3</v>
      </c>
      <c r="I731" s="12">
        <v>-1.3610538802522165E-2</v>
      </c>
      <c r="J731" s="12">
        <v>-2.1061830893598366E-2</v>
      </c>
      <c r="K731" s="12">
        <v>8.7474409082450855E-3</v>
      </c>
      <c r="L731" s="12">
        <v>-4.2503453405589031E-3</v>
      </c>
      <c r="M731" s="13">
        <f t="shared" si="79"/>
        <v>-1.8777171566501678E-3</v>
      </c>
      <c r="N731" s="32">
        <f t="shared" si="80"/>
        <v>152.43467752153367</v>
      </c>
      <c r="O731" s="32">
        <f t="shared" si="81"/>
        <v>132.5392531608351</v>
      </c>
      <c r="P731" s="12">
        <f t="shared" si="82"/>
        <v>-1.8777171566501678E-3</v>
      </c>
      <c r="Q731" s="13">
        <f t="shared" si="83"/>
        <v>-2.8077195114037563E-4</v>
      </c>
      <c r="R731" s="49" t="str">
        <f t="shared" si="84"/>
        <v/>
      </c>
    </row>
    <row r="732" spans="1:18" x14ac:dyDescent="0.35">
      <c r="A732" s="64">
        <v>10.1</v>
      </c>
      <c r="B732" s="14">
        <v>1.7991596526802933E-3</v>
      </c>
      <c r="C732" s="12">
        <v>8.4632990897961502E-3</v>
      </c>
      <c r="D732" s="12">
        <v>7.5597629912143027E-3</v>
      </c>
      <c r="E732" s="12">
        <v>2.7459116426655772E-3</v>
      </c>
      <c r="F732" s="12">
        <v>-7.1341642536404404E-4</v>
      </c>
      <c r="G732" s="12">
        <v>-7.4220682830282714E-3</v>
      </c>
      <c r="H732" s="12">
        <v>9.8909150113970501E-3</v>
      </c>
      <c r="I732" s="12">
        <v>1.0317108677764475E-2</v>
      </c>
      <c r="J732" s="12">
        <v>-2.8121233763335196E-3</v>
      </c>
      <c r="K732" s="12">
        <v>-6.2730627306273323E-3</v>
      </c>
      <c r="L732" s="12">
        <v>1.8212214989506759E-2</v>
      </c>
      <c r="M732" s="13">
        <f t="shared" si="79"/>
        <v>6.1388792282292531E-3</v>
      </c>
      <c r="N732" s="32">
        <f t="shared" si="80"/>
        <v>153.37045559703245</v>
      </c>
      <c r="O732" s="32">
        <f t="shared" si="81"/>
        <v>132.77771243751846</v>
      </c>
      <c r="P732" s="12" t="str">
        <f t="shared" si="82"/>
        <v/>
      </c>
      <c r="Q732" s="13">
        <f t="shared" si="83"/>
        <v>4.3397195755489597E-3</v>
      </c>
      <c r="R732" s="49">
        <f t="shared" si="84"/>
        <v>1</v>
      </c>
    </row>
    <row r="733" spans="1:18" x14ac:dyDescent="0.35">
      <c r="A733" s="64" t="s">
        <v>77</v>
      </c>
      <c r="B733" s="14">
        <v>-4.1941905810084501E-3</v>
      </c>
      <c r="C733" s="12">
        <v>1.2667581547554096E-3</v>
      </c>
      <c r="D733" s="12">
        <v>1.2843044477490739E-3</v>
      </c>
      <c r="E733" s="12">
        <v>1.4878597943163152E-2</v>
      </c>
      <c r="F733" s="12">
        <v>9.5960020157903614E-3</v>
      </c>
      <c r="G733" s="12">
        <v>1.2462612163510745E-3</v>
      </c>
      <c r="H733" s="12">
        <v>-1.1164402885816771E-2</v>
      </c>
      <c r="I733" s="12">
        <v>2.3806540533768406E-3</v>
      </c>
      <c r="J733" s="12">
        <v>-3.7153088630260678E-3</v>
      </c>
      <c r="K733" s="12">
        <v>-8.1693278871146635E-3</v>
      </c>
      <c r="L733" s="12">
        <v>-1.6139737991266445E-2</v>
      </c>
      <c r="M733" s="13">
        <f t="shared" si="79"/>
        <v>-1.6959158691593707E-3</v>
      </c>
      <c r="N733" s="32">
        <f t="shared" si="80"/>
        <v>153.11035220752524</v>
      </c>
      <c r="O733" s="32">
        <f t="shared" si="81"/>
        <v>132.22081740664518</v>
      </c>
      <c r="P733" s="12">
        <f t="shared" si="82"/>
        <v>-1.6959158691593707E-3</v>
      </c>
      <c r="Q733" s="13">
        <f t="shared" si="83"/>
        <v>2.4982747118490797E-3</v>
      </c>
      <c r="R733" s="49" t="str">
        <f t="shared" si="84"/>
        <v/>
      </c>
    </row>
    <row r="734" spans="1:18" x14ac:dyDescent="0.35">
      <c r="A734" s="64" t="s">
        <v>77</v>
      </c>
      <c r="B734" s="14">
        <v>-6.9715777558858605E-3</v>
      </c>
      <c r="C734" s="12">
        <v>-3.5793357933579295E-2</v>
      </c>
      <c r="D734" s="12">
        <v>-4.725578883413295E-4</v>
      </c>
      <c r="E734" s="12">
        <v>-2.0086943486734565E-3</v>
      </c>
      <c r="F734" s="12">
        <v>-8.0489174518001416E-3</v>
      </c>
      <c r="G734" s="12">
        <v>-1.6616878267363799E-2</v>
      </c>
      <c r="H734" s="12">
        <v>3.3423004809651768E-3</v>
      </c>
      <c r="I734" s="12">
        <v>-1.2499999999999956E-2</v>
      </c>
      <c r="J734" s="12">
        <v>-2.0757514489823436E-2</v>
      </c>
      <c r="K734" s="12">
        <v>7.4878322725571156E-3</v>
      </c>
      <c r="L734" s="12">
        <v>4.5094627703012868E-3</v>
      </c>
      <c r="M734" s="13">
        <f t="shared" si="79"/>
        <v>-3.7291075642579999E-4</v>
      </c>
      <c r="N734" s="32">
        <f t="shared" si="80"/>
        <v>153.05325571026691</v>
      </c>
      <c r="O734" s="32">
        <f t="shared" si="81"/>
        <v>131.29902969714797</v>
      </c>
      <c r="P734" s="12">
        <f t="shared" si="82"/>
        <v>-3.7291075642579999E-4</v>
      </c>
      <c r="Q734" s="13">
        <f t="shared" si="83"/>
        <v>6.5986669994600603E-3</v>
      </c>
      <c r="R734" s="49" t="str">
        <f t="shared" si="84"/>
        <v/>
      </c>
    </row>
    <row r="735" spans="1:18" x14ac:dyDescent="0.35">
      <c r="A735" s="64" t="s">
        <v>77</v>
      </c>
      <c r="B735" s="14">
        <v>-3.2113009127796577E-3</v>
      </c>
      <c r="C735" s="12">
        <v>-2.9249357607566528E-2</v>
      </c>
      <c r="D735" s="12">
        <v>-3.6471700661893092E-3</v>
      </c>
      <c r="E735" s="12">
        <v>-8.9221341023791867E-3</v>
      </c>
      <c r="F735" s="12">
        <v>1.650102738289938E-2</v>
      </c>
      <c r="G735" s="12">
        <v>1.2784001012594137E-2</v>
      </c>
      <c r="H735" s="12">
        <v>3.9811504712381485E-3</v>
      </c>
      <c r="I735" s="12">
        <v>-7.7215189873417467E-3</v>
      </c>
      <c r="J735" s="12">
        <v>-8.7175957788482306E-3</v>
      </c>
      <c r="K735" s="12">
        <v>1.2448903753251583E-2</v>
      </c>
      <c r="L735" s="12">
        <v>-5.1961823966064635E-3</v>
      </c>
      <c r="M735" s="13">
        <f t="shared" si="79"/>
        <v>-1.8261967915409627E-3</v>
      </c>
      <c r="N735" s="32">
        <f t="shared" si="80"/>
        <v>152.77375034575394</v>
      </c>
      <c r="O735" s="32">
        <f t="shared" si="81"/>
        <v>130.87738900323444</v>
      </c>
      <c r="P735" s="12">
        <f t="shared" si="82"/>
        <v>-1.8261967915409627E-3</v>
      </c>
      <c r="Q735" s="13">
        <f t="shared" si="83"/>
        <v>1.3851041212386949E-3</v>
      </c>
      <c r="R735" s="49" t="str">
        <f t="shared" si="84"/>
        <v/>
      </c>
    </row>
    <row r="736" spans="1:18" x14ac:dyDescent="0.35">
      <c r="A736" s="64" t="s">
        <v>77</v>
      </c>
      <c r="B736" s="14">
        <v>1.4266008258556617E-3</v>
      </c>
      <c r="C736" s="12">
        <v>3.4917774273486302E-3</v>
      </c>
      <c r="D736" s="12">
        <v>1.0845986984815426E-3</v>
      </c>
      <c r="E736" s="12">
        <v>1.3215725500894004E-2</v>
      </c>
      <c r="F736" s="12">
        <v>-8.3331614446897628E-3</v>
      </c>
      <c r="G736" s="12">
        <v>3.3118790226831507E-3</v>
      </c>
      <c r="H736" s="12">
        <v>6.0694343287215347E-4</v>
      </c>
      <c r="I736" s="12">
        <v>4.1459369817578029E-3</v>
      </c>
      <c r="J736" s="12">
        <v>-2.2124508215690786E-2</v>
      </c>
      <c r="K736" s="12">
        <v>1.8351991191043471E-3</v>
      </c>
      <c r="L736" s="12">
        <v>3.0202892371102852E-3</v>
      </c>
      <c r="M736" s="13">
        <f t="shared" si="79"/>
        <v>3.8566815032487324E-3</v>
      </c>
      <c r="N736" s="32">
        <f t="shared" si="80"/>
        <v>153.36295004289437</v>
      </c>
      <c r="O736" s="32">
        <f t="shared" si="81"/>
        <v>131.0640987944723</v>
      </c>
      <c r="P736" s="12" t="str">
        <f t="shared" si="82"/>
        <v/>
      </c>
      <c r="Q736" s="13">
        <f t="shared" si="83"/>
        <v>2.4300806773930707E-3</v>
      </c>
      <c r="R736" s="49">
        <f t="shared" si="84"/>
        <v>1</v>
      </c>
    </row>
    <row r="737" spans="1:18" x14ac:dyDescent="0.35">
      <c r="A737" s="64">
        <v>10.49</v>
      </c>
      <c r="B737" s="14">
        <v>6.7235148031741243E-3</v>
      </c>
      <c r="C737" s="12">
        <v>6.6225165562914245E-3</v>
      </c>
      <c r="D737" s="12">
        <v>4.7399783315276167E-3</v>
      </c>
      <c r="E737" s="12">
        <v>1.0979148592455301E-2</v>
      </c>
      <c r="F737" s="12">
        <v>-2.8911953740873297E-3</v>
      </c>
      <c r="G737" s="12">
        <v>1.3079222720478345E-2</v>
      </c>
      <c r="H737" s="12">
        <v>-2.8306846212944325E-4</v>
      </c>
      <c r="I737" s="12">
        <v>2.5408117893668258E-3</v>
      </c>
      <c r="J737" s="12">
        <v>-1.230652719269254E-3</v>
      </c>
      <c r="K737" s="12">
        <v>3.4804909324051003E-3</v>
      </c>
      <c r="L737" s="12">
        <v>-8.1479382173710313E-4</v>
      </c>
      <c r="M737" s="13">
        <f t="shared" si="79"/>
        <v>3.9564056800326696E-3</v>
      </c>
      <c r="N737" s="32">
        <f t="shared" si="80"/>
        <v>153.96971608955064</v>
      </c>
      <c r="O737" s="32">
        <f t="shared" si="81"/>
        <v>131.94531020288161</v>
      </c>
      <c r="P737" s="12" t="str">
        <f t="shared" si="82"/>
        <v/>
      </c>
      <c r="Q737" s="13">
        <f t="shared" si="83"/>
        <v>-2.7671091231414547E-3</v>
      </c>
      <c r="R737" s="49">
        <f t="shared" si="84"/>
        <v>1</v>
      </c>
    </row>
    <row r="738" spans="1:18" x14ac:dyDescent="0.35">
      <c r="A738" s="64" t="s">
        <v>77</v>
      </c>
      <c r="B738" s="14">
        <v>-5.6958724980279429E-3</v>
      </c>
      <c r="C738" s="12">
        <v>-1.7060660124888494E-2</v>
      </c>
      <c r="D738" s="12">
        <v>-1.4018061733387155E-2</v>
      </c>
      <c r="E738" s="12">
        <v>-1.8257678877907413E-2</v>
      </c>
      <c r="F738" s="12">
        <v>1.0847344486628607E-3</v>
      </c>
      <c r="G738" s="12">
        <v>5.6559695069471339E-3</v>
      </c>
      <c r="H738" s="12">
        <v>3.2359841436790937E-4</v>
      </c>
      <c r="I738" s="12">
        <v>4.2450738135968447E-3</v>
      </c>
      <c r="J738" s="12">
        <v>-1.7060802805552999E-3</v>
      </c>
      <c r="K738" s="12">
        <v>1.0952902519167917E-3</v>
      </c>
      <c r="L738" s="12">
        <v>-8.5091295869532679E-4</v>
      </c>
      <c r="M738" s="13">
        <f t="shared" si="79"/>
        <v>-5.4683286733011646E-3</v>
      </c>
      <c r="N738" s="32">
        <f t="shared" si="80"/>
        <v>153.12775907623811</v>
      </c>
      <c r="O738" s="32">
        <f t="shared" si="81"/>
        <v>131.19376653925326</v>
      </c>
      <c r="P738" s="12">
        <f t="shared" si="82"/>
        <v>-5.4683286733011646E-3</v>
      </c>
      <c r="Q738" s="13">
        <f t="shared" si="83"/>
        <v>2.2754382472677838E-4</v>
      </c>
      <c r="R738" s="49" t="str">
        <f t="shared" si="84"/>
        <v/>
      </c>
    </row>
    <row r="739" spans="1:18" x14ac:dyDescent="0.35">
      <c r="A739" s="64" t="s">
        <v>77</v>
      </c>
      <c r="B739" s="14">
        <v>1.2416235236110129E-3</v>
      </c>
      <c r="C739" s="12">
        <v>-1.1854792966534355E-2</v>
      </c>
      <c r="D739" s="12">
        <v>1.7088174982911042E-3</v>
      </c>
      <c r="E739" s="12">
        <v>1.2930644723754492E-2</v>
      </c>
      <c r="F739" s="12">
        <v>-1.2502604709319076E-4</v>
      </c>
      <c r="G739" s="12">
        <v>2.5064188776133811E-3</v>
      </c>
      <c r="H739" s="12">
        <v>2.1431459765466343E-3</v>
      </c>
      <c r="I739" s="12">
        <v>4.0378548895898536E-3</v>
      </c>
      <c r="J739" s="12">
        <v>-1.0681224780441534E-2</v>
      </c>
      <c r="K739" s="12">
        <v>1.8234865062005667E-4</v>
      </c>
      <c r="L739" s="12">
        <v>-2.090060679181005E-2</v>
      </c>
      <c r="M739" s="13">
        <f t="shared" si="79"/>
        <v>-4.7198424298076913E-4</v>
      </c>
      <c r="N739" s="32">
        <f t="shared" si="80"/>
        <v>153.05548518679117</v>
      </c>
      <c r="O739" s="32">
        <f t="shared" si="81"/>
        <v>131.35665980593953</v>
      </c>
      <c r="P739" s="12">
        <f t="shared" si="82"/>
        <v>-4.7198424298076913E-4</v>
      </c>
      <c r="Q739" s="13">
        <f t="shared" si="83"/>
        <v>-1.713607766591782E-3</v>
      </c>
      <c r="R739" s="49" t="str">
        <f t="shared" si="84"/>
        <v/>
      </c>
    </row>
    <row r="740" spans="1:18" x14ac:dyDescent="0.35">
      <c r="A740" s="64" t="s">
        <v>77</v>
      </c>
      <c r="B740" s="14">
        <v>8.4298837813157057E-3</v>
      </c>
      <c r="C740" s="12">
        <v>8.7825038746340844E-3</v>
      </c>
      <c r="D740" s="12">
        <v>5.4588877516204004E-3</v>
      </c>
      <c r="E740" s="12">
        <v>7.855740046420312E-3</v>
      </c>
      <c r="F740" s="12">
        <v>7.8359453151051195E-3</v>
      </c>
      <c r="G740" s="12">
        <v>-1.5244832001951591E-3</v>
      </c>
      <c r="H740" s="12">
        <v>-2.5541701973126774E-2</v>
      </c>
      <c r="I740" s="12">
        <v>1.6589166771396435E-2</v>
      </c>
      <c r="J740" s="12">
        <v>3.1190019193858554E-3</v>
      </c>
      <c r="K740" s="12">
        <v>4.1932543299907366E-3</v>
      </c>
      <c r="L740" s="12">
        <v>2.4064946361264106E-2</v>
      </c>
      <c r="M740" s="13">
        <f t="shared" si="79"/>
        <v>1.0817353756938706E-2</v>
      </c>
      <c r="N740" s="32">
        <f t="shared" si="80"/>
        <v>154.71114051449658</v>
      </c>
      <c r="O740" s="32">
        <f t="shared" si="81"/>
        <v>132.46398118200543</v>
      </c>
      <c r="P740" s="12" t="str">
        <f t="shared" si="82"/>
        <v/>
      </c>
      <c r="Q740" s="13">
        <f t="shared" si="83"/>
        <v>2.3874699756230005E-3</v>
      </c>
      <c r="R740" s="49">
        <f t="shared" si="84"/>
        <v>1</v>
      </c>
    </row>
    <row r="741" spans="1:18" x14ac:dyDescent="0.35">
      <c r="A741" s="64" t="s">
        <v>77</v>
      </c>
      <c r="B741" s="14">
        <v>-1.2159552507158722E-2</v>
      </c>
      <c r="C741" s="12">
        <v>-4.1538636622283631E-3</v>
      </c>
      <c r="D741" s="12">
        <v>-9.2297251442143846E-3</v>
      </c>
      <c r="E741" s="12">
        <v>-2.5036905816356536E-2</v>
      </c>
      <c r="F741" s="12">
        <v>6.4102564102563875E-3</v>
      </c>
      <c r="G741" s="12">
        <v>-1.3985586906070768E-2</v>
      </c>
      <c r="H741" s="12">
        <v>-1.7805383022774235E-3</v>
      </c>
      <c r="I741" s="12">
        <v>1.2177030535294842E-2</v>
      </c>
      <c r="J741" s="12">
        <v>-4.4965319301601969E-3</v>
      </c>
      <c r="K741" s="12">
        <v>-3.6310820624545492E-3</v>
      </c>
      <c r="L741" s="12">
        <v>-1.2068233295583375E-2</v>
      </c>
      <c r="M741" s="13">
        <f t="shared" si="79"/>
        <v>-6.5339935966538159E-3</v>
      </c>
      <c r="N741" s="32">
        <f t="shared" si="80"/>
        <v>153.70025891304385</v>
      </c>
      <c r="O741" s="32">
        <f t="shared" si="81"/>
        <v>130.85327844751555</v>
      </c>
      <c r="P741" s="12">
        <f t="shared" si="82"/>
        <v>-6.5339935966538159E-3</v>
      </c>
      <c r="Q741" s="13">
        <f t="shared" si="83"/>
        <v>5.625558910504906E-3</v>
      </c>
      <c r="R741" s="49" t="str">
        <f t="shared" si="84"/>
        <v/>
      </c>
    </row>
    <row r="742" spans="1:18" x14ac:dyDescent="0.35">
      <c r="A742" s="64">
        <v>10.46</v>
      </c>
      <c r="B742" s="14">
        <v>7.2129644609830734E-4</v>
      </c>
      <c r="C742" s="12">
        <v>1.6913319238900604E-2</v>
      </c>
      <c r="D742" s="12">
        <v>-6.1648058086171131E-3</v>
      </c>
      <c r="E742" s="12">
        <v>-3.5128096420569133E-3</v>
      </c>
      <c r="F742" s="12">
        <v>-1.3149784261351494E-3</v>
      </c>
      <c r="G742" s="12">
        <v>6.3177454320224591E-3</v>
      </c>
      <c r="H742" s="12">
        <v>1.4891940100385748E-2</v>
      </c>
      <c r="I742" s="12">
        <v>-2.5160305343511435E-2</v>
      </c>
      <c r="J742" s="12">
        <v>-1.4367401854788353E-2</v>
      </c>
      <c r="K742" s="12">
        <v>-7.4708454810495928E-3</v>
      </c>
      <c r="L742" s="12">
        <v>6.412323123768715E-3</v>
      </c>
      <c r="M742" s="13">
        <f t="shared" si="79"/>
        <v>-7.6063885805894276E-3</v>
      </c>
      <c r="N742" s="32">
        <f t="shared" si="80"/>
        <v>152.53115501881405</v>
      </c>
      <c r="O742" s="32">
        <f t="shared" si="81"/>
        <v>130.94766245222004</v>
      </c>
      <c r="P742" s="12">
        <f t="shared" si="82"/>
        <v>-7.6063885805894276E-3</v>
      </c>
      <c r="Q742" s="13">
        <f t="shared" si="83"/>
        <v>-8.327685026687735E-3</v>
      </c>
      <c r="R742" s="49" t="str">
        <f t="shared" si="84"/>
        <v/>
      </c>
    </row>
    <row r="743" spans="1:18" x14ac:dyDescent="0.35">
      <c r="A743" s="64" t="s">
        <v>77</v>
      </c>
      <c r="B743" s="14">
        <v>-2.1511026084926055E-3</v>
      </c>
      <c r="C743" s="12">
        <v>6.1808169916277578E-3</v>
      </c>
      <c r="D743" s="12">
        <v>9.8559514783926883E-3</v>
      </c>
      <c r="E743" s="12">
        <v>-1.2459733787152372E-3</v>
      </c>
      <c r="F743" s="12">
        <v>-1.11097395383285E-2</v>
      </c>
      <c r="G743" s="12">
        <v>-1.6618452637410241E-3</v>
      </c>
      <c r="H743" s="12">
        <v>-4.496035314313751E-3</v>
      </c>
      <c r="I743" s="12">
        <v>-1.754056255089953E-3</v>
      </c>
      <c r="J743" s="12">
        <v>-3.1201248049922414E-3</v>
      </c>
      <c r="K743" s="12">
        <v>-1.8358729575906896E-4</v>
      </c>
      <c r="L743" s="12">
        <v>-4.5205381932084121E-3</v>
      </c>
      <c r="M743" s="13">
        <f t="shared" si="79"/>
        <v>1.3855675633556047E-3</v>
      </c>
      <c r="N743" s="32">
        <f t="shared" si="80"/>
        <v>152.74249723960929</v>
      </c>
      <c r="O743" s="32">
        <f t="shared" si="81"/>
        <v>130.66598059394306</v>
      </c>
      <c r="P743" s="12" t="str">
        <f t="shared" si="82"/>
        <v/>
      </c>
      <c r="Q743" s="13">
        <f t="shared" si="83"/>
        <v>3.5366701718482101E-3</v>
      </c>
      <c r="R743" s="49">
        <f t="shared" si="84"/>
        <v>1</v>
      </c>
    </row>
    <row r="744" spans="1:18" x14ac:dyDescent="0.35">
      <c r="A744" s="64" t="s">
        <v>77</v>
      </c>
      <c r="B744" s="14">
        <v>-9.3947951709627553E-3</v>
      </c>
      <c r="C744" s="12">
        <v>-1.9992181828335176E-2</v>
      </c>
      <c r="D744" s="12">
        <v>2.2590772590772579E-2</v>
      </c>
      <c r="E744" s="12">
        <v>-2.3976875095085948E-2</v>
      </c>
      <c r="F744" s="12">
        <v>2.3863021678525387E-2</v>
      </c>
      <c r="G744" s="12">
        <v>4.3773119605425848E-3</v>
      </c>
      <c r="H744" s="12">
        <v>-6.9797996386926631E-3</v>
      </c>
      <c r="I744" s="12">
        <v>-1.3304047693755927E-2</v>
      </c>
      <c r="J744" s="12">
        <v>-1.0318857589984298E-2</v>
      </c>
      <c r="K744" s="12">
        <v>3.3051781123760726E-3</v>
      </c>
      <c r="L744" s="12">
        <v>-3.7901812850860139E-3</v>
      </c>
      <c r="M744" s="13">
        <f t="shared" si="79"/>
        <v>4.0583651203115806E-4</v>
      </c>
      <c r="N744" s="32">
        <f t="shared" si="80"/>
        <v>152.80448572192796</v>
      </c>
      <c r="O744" s="32">
        <f t="shared" si="81"/>
        <v>129.43840047044998</v>
      </c>
      <c r="P744" s="12" t="str">
        <f t="shared" si="82"/>
        <v/>
      </c>
      <c r="Q744" s="13">
        <f t="shared" si="83"/>
        <v>9.8006316829939138E-3</v>
      </c>
      <c r="R744" s="49">
        <f t="shared" si="84"/>
        <v>1</v>
      </c>
    </row>
    <row r="745" spans="1:18" x14ac:dyDescent="0.35">
      <c r="A745" s="64" t="s">
        <v>77</v>
      </c>
      <c r="B745" s="14">
        <v>-1.6400890463858953E-2</v>
      </c>
      <c r="C745" s="12">
        <v>-8.8893954071457282E-3</v>
      </c>
      <c r="D745" s="12">
        <v>-1.635186544750733E-2</v>
      </c>
      <c r="E745" s="12">
        <v>-3.8656981637934518E-3</v>
      </c>
      <c r="F745" s="12">
        <v>1.8308170605327856E-2</v>
      </c>
      <c r="G745" s="12">
        <v>-7.6729482536369575E-3</v>
      </c>
      <c r="H745" s="12">
        <v>-2.1706772513024108E-2</v>
      </c>
      <c r="I745" s="12">
        <v>-1.6027475672581448E-2</v>
      </c>
      <c r="J745" s="12">
        <v>-1.1958294213569309E-2</v>
      </c>
      <c r="K745" s="12">
        <v>-1.226207906295762E-2</v>
      </c>
      <c r="L745" s="12">
        <v>-2.3617242740748834E-2</v>
      </c>
      <c r="M745" s="13">
        <f t="shared" si="79"/>
        <v>-1.4875672248165613E-2</v>
      </c>
      <c r="N745" s="32">
        <f t="shared" si="80"/>
        <v>150.53141627427905</v>
      </c>
      <c r="O745" s="32">
        <f t="shared" si="81"/>
        <v>127.31549544251702</v>
      </c>
      <c r="P745" s="12">
        <f t="shared" si="82"/>
        <v>-1.4875672248165613E-2</v>
      </c>
      <c r="Q745" s="13">
        <f t="shared" si="83"/>
        <v>1.52521821569334E-3</v>
      </c>
      <c r="R745" s="49" t="str">
        <f t="shared" si="84"/>
        <v/>
      </c>
    </row>
    <row r="746" spans="1:18" x14ac:dyDescent="0.35">
      <c r="A746" s="64" t="s">
        <v>77</v>
      </c>
      <c r="B746" s="14">
        <v>-2.2956120092377796E-3</v>
      </c>
      <c r="C746" s="12">
        <v>4.9445179095037872E-3</v>
      </c>
      <c r="D746" s="12">
        <v>-3.1890351472384504E-3</v>
      </c>
      <c r="E746" s="12">
        <v>-7.8865834193971862E-3</v>
      </c>
      <c r="F746" s="12">
        <v>9.8974338508202031E-3</v>
      </c>
      <c r="G746" s="12">
        <v>-7.1755536310775803E-3</v>
      </c>
      <c r="H746" s="12">
        <v>-6.4663370102701068E-3</v>
      </c>
      <c r="I746" s="12">
        <v>-1.0535841251373523E-2</v>
      </c>
      <c r="J746" s="12">
        <v>-1.1202800700174986E-2</v>
      </c>
      <c r="K746" s="12">
        <v>2.7793218454696955E-3</v>
      </c>
      <c r="L746" s="12">
        <v>3.7863470940706634E-3</v>
      </c>
      <c r="M746" s="13">
        <f t="shared" si="79"/>
        <v>-2.7339539734363371E-3</v>
      </c>
      <c r="N746" s="32">
        <f t="shared" si="80"/>
        <v>150.11987031062898</v>
      </c>
      <c r="O746" s="32">
        <f t="shared" si="81"/>
        <v>127.02322846221712</v>
      </c>
      <c r="P746" s="12">
        <f t="shared" si="82"/>
        <v>-2.7339539734363371E-3</v>
      </c>
      <c r="Q746" s="13">
        <f t="shared" si="83"/>
        <v>-4.3834196419855745E-4</v>
      </c>
      <c r="R746" s="49" t="str">
        <f t="shared" si="84"/>
        <v/>
      </c>
    </row>
    <row r="747" spans="1:18" x14ac:dyDescent="0.35">
      <c r="A747" s="64">
        <v>10.7</v>
      </c>
      <c r="B747" s="14">
        <v>4.0230922718664797E-3</v>
      </c>
      <c r="C747" s="12">
        <v>7.3802849133246529E-3</v>
      </c>
      <c r="D747" s="12">
        <v>-2.9269620856307021E-3</v>
      </c>
      <c r="E747" s="12">
        <v>1.6718715497934244E-3</v>
      </c>
      <c r="F747" s="12">
        <v>8.2592373048804291E-3</v>
      </c>
      <c r="G747" s="12">
        <v>-1.4953271028037562E-3</v>
      </c>
      <c r="H747" s="12">
        <v>-7.3166581589245716E-3</v>
      </c>
      <c r="I747" s="12">
        <v>9.7987980141089892E-4</v>
      </c>
      <c r="J747" s="12">
        <v>5.4119670224064276E-3</v>
      </c>
      <c r="K747" s="12">
        <v>4.4345898004434225E-3</v>
      </c>
      <c r="L747" s="12">
        <v>4.431260528821479E-3</v>
      </c>
      <c r="M747" s="13">
        <f t="shared" si="79"/>
        <v>1.3634098043137414E-3</v>
      </c>
      <c r="N747" s="32">
        <f t="shared" si="80"/>
        <v>150.3245452136328</v>
      </c>
      <c r="O747" s="32">
        <f t="shared" si="81"/>
        <v>127.534254630991</v>
      </c>
      <c r="P747" s="12" t="str">
        <f t="shared" si="82"/>
        <v/>
      </c>
      <c r="Q747" s="13">
        <f t="shared" si="83"/>
        <v>-2.6596824675527383E-3</v>
      </c>
      <c r="R747" s="49">
        <f t="shared" si="84"/>
        <v>1</v>
      </c>
    </row>
    <row r="748" spans="1:18" x14ac:dyDescent="0.35">
      <c r="A748" s="64" t="s">
        <v>77</v>
      </c>
      <c r="B748" s="14">
        <v>-1.473449776826885E-2</v>
      </c>
      <c r="C748" s="12">
        <v>-2.3398455247614747E-2</v>
      </c>
      <c r="D748" s="12">
        <v>-2.2119060622610487E-2</v>
      </c>
      <c r="E748" s="12">
        <v>-1.700573156137819E-2</v>
      </c>
      <c r="F748" s="12">
        <v>-9.4653915497373564E-3</v>
      </c>
      <c r="G748" s="12">
        <v>-7.7374266816422343E-3</v>
      </c>
      <c r="H748" s="12">
        <v>-1.5898183064792626E-2</v>
      </c>
      <c r="I748" s="12">
        <v>-1.3770149448541269E-2</v>
      </c>
      <c r="J748" s="12">
        <v>-1.5796357782473125E-2</v>
      </c>
      <c r="K748" s="12">
        <v>-3.4952170713760111E-3</v>
      </c>
      <c r="L748" s="12">
        <v>-1.7318700550552402E-2</v>
      </c>
      <c r="M748" s="13">
        <f t="shared" si="79"/>
        <v>-1.4816884021815989E-2</v>
      </c>
      <c r="N748" s="32">
        <f t="shared" si="80"/>
        <v>148.09720386157016</v>
      </c>
      <c r="O748" s="32">
        <f t="shared" si="81"/>
        <v>125.65510144075283</v>
      </c>
      <c r="P748" s="12">
        <f t="shared" si="82"/>
        <v>-1.4816884021815989E-2</v>
      </c>
      <c r="Q748" s="13">
        <f t="shared" si="83"/>
        <v>-8.2386253547138411E-5</v>
      </c>
      <c r="R748" s="49" t="str">
        <f t="shared" si="84"/>
        <v/>
      </c>
    </row>
    <row r="749" spans="1:18" x14ac:dyDescent="0.35">
      <c r="A749" s="64" t="s">
        <v>77</v>
      </c>
      <c r="B749" s="14">
        <v>2.2931861950192811E-4</v>
      </c>
      <c r="C749" s="12">
        <v>-8.8974180041869744E-3</v>
      </c>
      <c r="D749" s="12">
        <v>-4.8869030996945284E-4</v>
      </c>
      <c r="E749" s="12">
        <v>2.0823989235601026E-3</v>
      </c>
      <c r="F749" s="12">
        <v>-3.4029082995350457E-3</v>
      </c>
      <c r="G749" s="12">
        <v>-1.2011067790214991E-2</v>
      </c>
      <c r="H749" s="12">
        <v>-6.5316786414115757E-4</v>
      </c>
      <c r="I749" s="12">
        <v>-8.0730545262043263E-3</v>
      </c>
      <c r="J749" s="12">
        <v>-9.2005724800647837E-4</v>
      </c>
      <c r="K749" s="12">
        <v>-4.7997046335610527E-3</v>
      </c>
      <c r="L749" s="12">
        <v>1.1835856337192086E-2</v>
      </c>
      <c r="M749" s="13">
        <f t="shared" si="79"/>
        <v>-4.5970496143677396E-4</v>
      </c>
      <c r="N749" s="32">
        <f t="shared" si="80"/>
        <v>148.0291228421801</v>
      </c>
      <c r="O749" s="32">
        <f t="shared" si="81"/>
        <v>125.68391649514859</v>
      </c>
      <c r="P749" s="12">
        <f t="shared" si="82"/>
        <v>-4.5970496143677396E-4</v>
      </c>
      <c r="Q749" s="13">
        <f t="shared" si="83"/>
        <v>-6.8902358093870207E-4</v>
      </c>
      <c r="R749" s="49" t="str">
        <f t="shared" si="84"/>
        <v/>
      </c>
    </row>
    <row r="750" spans="1:18" x14ac:dyDescent="0.35">
      <c r="A750" s="64" t="s">
        <v>77</v>
      </c>
      <c r="B750" s="14">
        <v>5.8930731241708667E-3</v>
      </c>
      <c r="C750" s="12">
        <v>1.5255530129671957E-3</v>
      </c>
      <c r="D750" s="12">
        <v>-1.1105678563944732E-2</v>
      </c>
      <c r="E750" s="12">
        <v>2.7174781802485892E-3</v>
      </c>
      <c r="F750" s="12">
        <v>1.2645663351398495E-2</v>
      </c>
      <c r="G750" s="12">
        <v>-1.4639424606964768E-3</v>
      </c>
      <c r="H750" s="12">
        <v>9.4117647058822307E-3</v>
      </c>
      <c r="I750" s="12">
        <v>2.2014676450965442E-3</v>
      </c>
      <c r="J750" s="12">
        <v>-2.573416555817043E-2</v>
      </c>
      <c r="K750" s="12">
        <v>5.008347245408995E-3</v>
      </c>
      <c r="L750" s="12">
        <v>1.2944153129698321E-2</v>
      </c>
      <c r="M750" s="13">
        <f t="shared" si="79"/>
        <v>1.0746269747670309E-3</v>
      </c>
      <c r="N750" s="32">
        <f t="shared" si="80"/>
        <v>148.18819893063741</v>
      </c>
      <c r="O750" s="32">
        <f t="shared" si="81"/>
        <v>126.42458100558669</v>
      </c>
      <c r="P750" s="12" t="str">
        <f t="shared" si="82"/>
        <v/>
      </c>
      <c r="Q750" s="13">
        <f t="shared" si="83"/>
        <v>-4.8184461494038353E-3</v>
      </c>
      <c r="R750" s="49">
        <f t="shared" si="84"/>
        <v>1</v>
      </c>
    </row>
    <row r="751" spans="1:18" x14ac:dyDescent="0.35">
      <c r="A751" s="64" t="s">
        <v>77</v>
      </c>
      <c r="B751" s="14">
        <v>-2.7094913598622039E-3</v>
      </c>
      <c r="C751" s="12">
        <v>3.0464584920031346E-3</v>
      </c>
      <c r="D751" s="12">
        <v>-9.0408249752790271E-3</v>
      </c>
      <c r="E751" s="12">
        <v>6.7274582323684218E-3</v>
      </c>
      <c r="F751" s="12">
        <v>-1.1585963536561494E-2</v>
      </c>
      <c r="G751" s="12">
        <v>-7.20295767465573E-3</v>
      </c>
      <c r="H751" s="12">
        <v>-7.1225071225071712E-3</v>
      </c>
      <c r="I751" s="12">
        <v>-6.9227184983025047E-3</v>
      </c>
      <c r="J751" s="12">
        <v>6.5640917922595854E-3</v>
      </c>
      <c r="K751" s="12">
        <v>-1.6057585825027587E-2</v>
      </c>
      <c r="L751" s="12">
        <v>-1.1728931364031303E-2</v>
      </c>
      <c r="M751" s="13">
        <f t="shared" si="79"/>
        <v>-8.4698633485079302E-3</v>
      </c>
      <c r="N751" s="32">
        <f t="shared" si="80"/>
        <v>146.9330651358334</v>
      </c>
      <c r="O751" s="32">
        <f t="shared" si="81"/>
        <v>126.08203469567785</v>
      </c>
      <c r="P751" s="12">
        <f t="shared" si="82"/>
        <v>-8.4698633485079302E-3</v>
      </c>
      <c r="Q751" s="13">
        <f t="shared" si="83"/>
        <v>-5.7603719886457263E-3</v>
      </c>
      <c r="R751" s="49" t="str">
        <f t="shared" si="84"/>
        <v/>
      </c>
    </row>
    <row r="752" spans="1:18" x14ac:dyDescent="0.35">
      <c r="A752" s="64">
        <v>10.8</v>
      </c>
      <c r="B752" s="14">
        <v>7.9290120217789806E-5</v>
      </c>
      <c r="C752" s="12">
        <v>1.4835582033759565E-2</v>
      </c>
      <c r="D752" s="12">
        <v>3.5637918745545782E-3</v>
      </c>
      <c r="E752" s="12">
        <v>1.9160728424386431E-2</v>
      </c>
      <c r="F752" s="12">
        <v>2.0587476943215943E-2</v>
      </c>
      <c r="G752" s="12">
        <v>-3.8523274478330372E-3</v>
      </c>
      <c r="H752" s="12">
        <v>5.4780226946655741E-3</v>
      </c>
      <c r="I752" s="12">
        <v>1.9438300154164256E-3</v>
      </c>
      <c r="J752" s="12">
        <v>-2.0085559265442421E-2</v>
      </c>
      <c r="K752" s="12">
        <v>1.1254924029262536E-3</v>
      </c>
      <c r="L752" s="12">
        <v>-4.6886446886446054E-3</v>
      </c>
      <c r="M752" s="13">
        <f t="shared" si="79"/>
        <v>3.4690254420967049E-3</v>
      </c>
      <c r="N752" s="32">
        <f t="shared" si="80"/>
        <v>147.44277967707484</v>
      </c>
      <c r="O752" s="32">
        <f t="shared" si="81"/>
        <v>126.09203175536616</v>
      </c>
      <c r="P752" s="12" t="str">
        <f t="shared" si="82"/>
        <v/>
      </c>
      <c r="Q752" s="13">
        <f t="shared" si="83"/>
        <v>3.3897353218789151E-3</v>
      </c>
      <c r="R752" s="49">
        <f t="shared" si="84"/>
        <v>1</v>
      </c>
    </row>
    <row r="753" spans="1:18" x14ac:dyDescent="0.35">
      <c r="A753" s="64" t="s">
        <v>77</v>
      </c>
      <c r="B753" s="14">
        <v>-1.374408577578079E-2</v>
      </c>
      <c r="C753" s="12">
        <v>-7.7697841726618311E-3</v>
      </c>
      <c r="D753" s="12">
        <v>-2.9119318181819454E-3</v>
      </c>
      <c r="E753" s="12">
        <v>-2.613424487259175E-2</v>
      </c>
      <c r="F753" s="12">
        <v>-9.9111879821988103E-3</v>
      </c>
      <c r="G753" s="12">
        <v>1.2246213341926548E-3</v>
      </c>
      <c r="H753" s="12">
        <v>-1.0636917888182662E-2</v>
      </c>
      <c r="I753" s="12">
        <v>-2.9636071715279488E-2</v>
      </c>
      <c r="J753" s="12">
        <v>5.8031198424106645E-3</v>
      </c>
      <c r="K753" s="12">
        <v>-6.3706201986133415E-3</v>
      </c>
      <c r="L753" s="12">
        <v>-1.0120712498159823E-2</v>
      </c>
      <c r="M753" s="13">
        <f t="shared" si="79"/>
        <v>-1.3284276008712754E-2</v>
      </c>
      <c r="N753" s="32">
        <f t="shared" si="80"/>
        <v>145.48410909635277</v>
      </c>
      <c r="O753" s="32">
        <f t="shared" si="81"/>
        <v>124.35901205527794</v>
      </c>
      <c r="P753" s="12">
        <f t="shared" si="82"/>
        <v>-1.3284276008712754E-2</v>
      </c>
      <c r="Q753" s="13">
        <f t="shared" si="83"/>
        <v>4.5980976706803608E-4</v>
      </c>
      <c r="R753" s="49" t="str">
        <f t="shared" si="84"/>
        <v/>
      </c>
    </row>
    <row r="754" spans="1:18" x14ac:dyDescent="0.35">
      <c r="A754" s="64" t="s">
        <v>77</v>
      </c>
      <c r="B754" s="14">
        <v>8.1098015108347354E-3</v>
      </c>
      <c r="C754" s="12">
        <v>7.3085846867748661E-3</v>
      </c>
      <c r="D754" s="12">
        <v>4.8436498326092092E-3</v>
      </c>
      <c r="E754" s="12">
        <v>1.7741472286926907E-2</v>
      </c>
      <c r="F754" s="12">
        <v>2.2572477280311531E-3</v>
      </c>
      <c r="G754" s="12">
        <v>1.1587485515642815E-3</v>
      </c>
      <c r="H754" s="12">
        <v>1.0532756435470469E-2</v>
      </c>
      <c r="I754" s="12">
        <v>1.0892795587728266E-2</v>
      </c>
      <c r="J754" s="12">
        <v>-1.1592208342155352E-2</v>
      </c>
      <c r="K754" s="12">
        <v>1.2068640392230767E-2</v>
      </c>
      <c r="L754" s="12">
        <v>-1.4648473807488016E-2</v>
      </c>
      <c r="M754" s="13">
        <f t="shared" si="79"/>
        <v>6.1006959162904191E-3</v>
      </c>
      <c r="N754" s="32">
        <f t="shared" si="80"/>
        <v>146.37166340660204</v>
      </c>
      <c r="O754" s="32">
        <f t="shared" si="81"/>
        <v>125.36753895912975</v>
      </c>
      <c r="P754" s="12" t="str">
        <f t="shared" si="82"/>
        <v/>
      </c>
      <c r="Q754" s="13">
        <f t="shared" si="83"/>
        <v>-2.0091055945443163E-3</v>
      </c>
      <c r="R754" s="49">
        <f t="shared" si="84"/>
        <v>1</v>
      </c>
    </row>
    <row r="755" spans="1:18" x14ac:dyDescent="0.35">
      <c r="A755" s="64" t="s">
        <v>77</v>
      </c>
      <c r="B755" s="14">
        <v>-1.3040164174730196E-3</v>
      </c>
      <c r="C755" s="12">
        <v>7.1979730507889528E-3</v>
      </c>
      <c r="D755" s="12">
        <v>3.1899057205644343E-3</v>
      </c>
      <c r="E755" s="12">
        <v>1.2854679416838266E-3</v>
      </c>
      <c r="F755" s="12">
        <v>1.0986643688065456E-2</v>
      </c>
      <c r="G755" s="12">
        <v>1.0416666666666519E-2</v>
      </c>
      <c r="H755" s="12">
        <v>9.7742409826138132E-3</v>
      </c>
      <c r="I755" s="12">
        <v>3.1371479233446298E-3</v>
      </c>
      <c r="J755" s="12">
        <v>-2.3563433834948855E-3</v>
      </c>
      <c r="K755" s="12">
        <v>-1.1924725172349548E-2</v>
      </c>
      <c r="L755" s="12">
        <v>-1.59604573067198E-2</v>
      </c>
      <c r="M755" s="13">
        <f t="shared" si="79"/>
        <v>-3.7252364595453404E-3</v>
      </c>
      <c r="N755" s="32">
        <f t="shared" si="80"/>
        <v>145.82639434943547</v>
      </c>
      <c r="O755" s="32">
        <f t="shared" si="81"/>
        <v>125.20405763010885</v>
      </c>
      <c r="P755" s="12">
        <f t="shared" si="82"/>
        <v>-3.7252364595453404E-3</v>
      </c>
      <c r="Q755" s="13">
        <f t="shared" si="83"/>
        <v>-2.4212200420723209E-3</v>
      </c>
      <c r="R755" s="49" t="str">
        <f t="shared" si="84"/>
        <v/>
      </c>
    </row>
    <row r="756" spans="1:18" x14ac:dyDescent="0.35">
      <c r="A756" s="64" t="s">
        <v>77</v>
      </c>
      <c r="B756" s="14">
        <v>1.1814879091820885E-2</v>
      </c>
      <c r="C756" s="12">
        <v>1.4750443085015164E-2</v>
      </c>
      <c r="D756" s="12">
        <v>3.6037309214245195E-3</v>
      </c>
      <c r="E756" s="12">
        <v>2.4736973947895757E-2</v>
      </c>
      <c r="F756" s="12">
        <v>1.662049861495829E-2</v>
      </c>
      <c r="G756" s="12">
        <v>3.1818760341097985E-3</v>
      </c>
      <c r="H756" s="12">
        <v>6.6815144766148027E-3</v>
      </c>
      <c r="I756" s="12">
        <v>1.516078591338621E-2</v>
      </c>
      <c r="J756" s="12">
        <v>5.8510923828438699E-3</v>
      </c>
      <c r="K756" s="12">
        <v>-1.678295304544597E-2</v>
      </c>
      <c r="L756" s="12">
        <v>2.009202453987724E-2</v>
      </c>
      <c r="M756" s="13">
        <f t="shared" si="79"/>
        <v>7.0082670435233085E-3</v>
      </c>
      <c r="N756" s="32">
        <f t="shared" si="80"/>
        <v>146.84838466303043</v>
      </c>
      <c r="O756" s="32">
        <f t="shared" si="81"/>
        <v>126.68332843281397</v>
      </c>
      <c r="P756" s="12" t="str">
        <f t="shared" si="82"/>
        <v/>
      </c>
      <c r="Q756" s="13">
        <f t="shared" si="83"/>
        <v>-4.806612048297576E-3</v>
      </c>
      <c r="R756" s="49">
        <f t="shared" si="84"/>
        <v>1</v>
      </c>
    </row>
    <row r="757" spans="1:18" x14ac:dyDescent="0.35">
      <c r="A757" s="64">
        <v>10.78</v>
      </c>
      <c r="B757" s="14">
        <v>6.3038180341186134E-3</v>
      </c>
      <c r="C757" s="12">
        <v>8.4511803481885917E-3</v>
      </c>
      <c r="D757" s="12">
        <v>1.1969302260084191E-3</v>
      </c>
      <c r="E757" s="12">
        <v>7.822526431583432E-3</v>
      </c>
      <c r="F757" s="12">
        <v>3.2392675444448127E-3</v>
      </c>
      <c r="G757" s="12">
        <v>5.7092108601877189E-3</v>
      </c>
      <c r="H757" s="12">
        <v>-2.5527569775357639E-3</v>
      </c>
      <c r="I757" s="12">
        <v>-3.34851326011254E-3</v>
      </c>
      <c r="J757" s="12">
        <v>5.9237912263849779E-3</v>
      </c>
      <c r="K757" s="12">
        <v>-3.6440352896048855E-3</v>
      </c>
      <c r="L757" s="12">
        <v>1.9771462937903994E-2</v>
      </c>
      <c r="M757" s="13">
        <f t="shared" si="79"/>
        <v>3.3190948816340295E-3</v>
      </c>
      <c r="N757" s="32">
        <f t="shared" si="80"/>
        <v>147.33578838494171</v>
      </c>
      <c r="O757" s="32">
        <f t="shared" si="81"/>
        <v>127.48191708321092</v>
      </c>
      <c r="P757" s="12" t="str">
        <f t="shared" si="82"/>
        <v/>
      </c>
      <c r="Q757" s="13">
        <f t="shared" si="83"/>
        <v>-2.9847231524845839E-3</v>
      </c>
      <c r="R757" s="49">
        <f t="shared" si="84"/>
        <v>1</v>
      </c>
    </row>
    <row r="758" spans="1:18" x14ac:dyDescent="0.35">
      <c r="A758" s="64" t="s">
        <v>77</v>
      </c>
      <c r="B758" s="14">
        <v>5.2079729499083793E-3</v>
      </c>
      <c r="C758" s="12">
        <v>-3.352142577797812E-3</v>
      </c>
      <c r="D758" s="12">
        <v>-6.3291139240484462E-4</v>
      </c>
      <c r="E758" s="12">
        <v>-4.3356982596568505E-3</v>
      </c>
      <c r="F758" s="12">
        <v>-4.3114090900457924E-3</v>
      </c>
      <c r="G758" s="12">
        <v>-1.1353601614733089E-3</v>
      </c>
      <c r="H758" s="12">
        <v>9.2134448046408135E-3</v>
      </c>
      <c r="I758" s="12">
        <v>1.4178201854589512E-2</v>
      </c>
      <c r="J758" s="12">
        <v>2.6738819035492467E-2</v>
      </c>
      <c r="K758" s="12">
        <v>1.1164581328200196E-2</v>
      </c>
      <c r="L758" s="12">
        <v>7.0401769259120783E-3</v>
      </c>
      <c r="M758" s="13">
        <f t="shared" si="79"/>
        <v>5.6499784235547841E-3</v>
      </c>
      <c r="N758" s="32">
        <f t="shared" si="80"/>
        <v>148.16823241033407</v>
      </c>
      <c r="O758" s="32">
        <f t="shared" si="81"/>
        <v>128.14583945898275</v>
      </c>
      <c r="P758" s="12" t="str">
        <f t="shared" si="82"/>
        <v/>
      </c>
      <c r="Q758" s="13">
        <f t="shared" si="83"/>
        <v>4.4200547364640474E-4</v>
      </c>
      <c r="R758" s="49">
        <f t="shared" si="84"/>
        <v>1</v>
      </c>
    </row>
    <row r="759" spans="1:18" x14ac:dyDescent="0.35">
      <c r="A759" s="64" t="s">
        <v>77</v>
      </c>
      <c r="B759" s="14">
        <v>4.2930173648079162E-3</v>
      </c>
      <c r="C759" s="12">
        <v>7.9040304949831164E-3</v>
      </c>
      <c r="D759" s="12">
        <v>7.8812187741887918E-3</v>
      </c>
      <c r="E759" s="12">
        <v>1.2271993666067793E-2</v>
      </c>
      <c r="F759" s="12">
        <v>-2.0982755989629176E-4</v>
      </c>
      <c r="G759" s="12">
        <v>-1.3766102551149295E-2</v>
      </c>
      <c r="H759" s="12">
        <v>-3.8884192730346268E-3</v>
      </c>
      <c r="I759" s="12">
        <v>3.8428410521431644E-3</v>
      </c>
      <c r="J759" s="12">
        <v>1.3124580168449196E-2</v>
      </c>
      <c r="K759" s="12">
        <v>3.9977155910908557E-3</v>
      </c>
      <c r="L759" s="12">
        <v>-1.3908714907946429E-3</v>
      </c>
      <c r="M759" s="13">
        <f t="shared" si="79"/>
        <v>5.2670834472309837E-3</v>
      </c>
      <c r="N759" s="32">
        <f t="shared" si="80"/>
        <v>148.94864685466803</v>
      </c>
      <c r="O759" s="32">
        <f t="shared" si="81"/>
        <v>128.69597177300804</v>
      </c>
      <c r="P759" s="12" t="str">
        <f t="shared" si="82"/>
        <v/>
      </c>
      <c r="Q759" s="13">
        <f t="shared" si="83"/>
        <v>9.740660824230675E-4</v>
      </c>
      <c r="R759" s="49">
        <f t="shared" si="84"/>
        <v>1</v>
      </c>
    </row>
    <row r="760" spans="1:18" x14ac:dyDescent="0.35">
      <c r="A760" s="64" t="s">
        <v>77</v>
      </c>
      <c r="B760" s="14">
        <v>-6.2463587658072584E-3</v>
      </c>
      <c r="C760" s="12">
        <v>5.0611790878754004E-3</v>
      </c>
      <c r="D760" s="12">
        <v>-1.3893737345528012E-2</v>
      </c>
      <c r="E760" s="12">
        <v>-3.7903856566993133E-3</v>
      </c>
      <c r="F760" s="12">
        <v>2.690172285501724E-3</v>
      </c>
      <c r="G760" s="12">
        <v>9.6043027276215831E-4</v>
      </c>
      <c r="H760" s="12">
        <v>4.6673455532926234E-3</v>
      </c>
      <c r="I760" s="12">
        <v>-1.518051613754845E-3</v>
      </c>
      <c r="J760" s="12">
        <v>-2.4328046105982493E-2</v>
      </c>
      <c r="K760" s="12">
        <v>4.550625711035261E-3</v>
      </c>
      <c r="L760" s="12">
        <v>-1.1802221163361715E-2</v>
      </c>
      <c r="M760" s="13">
        <f t="shared" si="79"/>
        <v>-5.6239972472186747E-3</v>
      </c>
      <c r="N760" s="32">
        <f t="shared" si="80"/>
        <v>148.11096007478042</v>
      </c>
      <c r="O760" s="32">
        <f t="shared" si="81"/>
        <v>127.89209056159963</v>
      </c>
      <c r="P760" s="12">
        <f t="shared" si="82"/>
        <v>-5.6239972472186747E-3</v>
      </c>
      <c r="Q760" s="13">
        <f t="shared" si="83"/>
        <v>6.2236151858858363E-4</v>
      </c>
      <c r="R760" s="49" t="str">
        <f t="shared" si="84"/>
        <v/>
      </c>
    </row>
    <row r="761" spans="1:18" x14ac:dyDescent="0.35">
      <c r="A761" s="64">
        <v>10.82</v>
      </c>
      <c r="B761" s="14">
        <v>-5.0188407696322157E-3</v>
      </c>
      <c r="C761" s="12">
        <v>-1.0292734215040733E-2</v>
      </c>
      <c r="D761" s="12">
        <v>-1.9682809402435608E-2</v>
      </c>
      <c r="E761" s="12">
        <v>-1.0357531102790252E-2</v>
      </c>
      <c r="F761" s="12">
        <v>2.6372873615709613E-2</v>
      </c>
      <c r="G761" s="12">
        <v>3.3262969359686423E-3</v>
      </c>
      <c r="H761" s="12">
        <v>3.7587634090716637E-3</v>
      </c>
      <c r="I761" s="12">
        <v>-1.1898466419884013E-3</v>
      </c>
      <c r="J761" s="12">
        <v>-3.3403031887088375E-2</v>
      </c>
      <c r="K761" s="12">
        <v>5.6625141562853809E-3</v>
      </c>
      <c r="L761" s="12">
        <v>-6.1941322651237751E-3</v>
      </c>
      <c r="M761" s="13">
        <f t="shared" si="79"/>
        <v>-6.8599688308197395E-3</v>
      </c>
      <c r="N761" s="32">
        <f t="shared" si="80"/>
        <v>147.09492350516464</v>
      </c>
      <c r="O761" s="32">
        <f t="shared" si="81"/>
        <v>127.25022052337557</v>
      </c>
      <c r="P761" s="12">
        <f t="shared" si="82"/>
        <v>-6.8599688308197395E-3</v>
      </c>
      <c r="Q761" s="13">
        <f t="shared" si="83"/>
        <v>-1.8411280611875238E-3</v>
      </c>
      <c r="R761" s="49" t="str">
        <f t="shared" si="84"/>
        <v/>
      </c>
    </row>
    <row r="762" spans="1:18" x14ac:dyDescent="0.35">
      <c r="A762" s="64" t="s">
        <v>77</v>
      </c>
      <c r="B762" s="14">
        <v>1.0594346293018697E-2</v>
      </c>
      <c r="C762" s="12">
        <v>-7.2686608890126791E-4</v>
      </c>
      <c r="D762" s="12">
        <v>5.4167268525204815E-3</v>
      </c>
      <c r="E762" s="12">
        <v>1.4981844811277512E-2</v>
      </c>
      <c r="F762" s="12">
        <v>-2.5398591027067097E-3</v>
      </c>
      <c r="G762" s="12">
        <v>4.3353522473701389E-3</v>
      </c>
      <c r="H762" s="12">
        <v>1.0098035090671864E-2</v>
      </c>
      <c r="I762" s="12">
        <v>1.1184645929847692E-2</v>
      </c>
      <c r="J762" s="12">
        <v>1.081607268400564E-4</v>
      </c>
      <c r="K762" s="12">
        <v>8.633633633633675E-3</v>
      </c>
      <c r="L762" s="12">
        <v>1.0636709711129511E-2</v>
      </c>
      <c r="M762" s="13">
        <f t="shared" si="79"/>
        <v>9.4641446652137546E-3</v>
      </c>
      <c r="N762" s="32">
        <f t="shared" si="80"/>
        <v>148.48705114073607</v>
      </c>
      <c r="O762" s="32">
        <f t="shared" si="81"/>
        <v>128.59835342546322</v>
      </c>
      <c r="P762" s="12" t="str">
        <f t="shared" si="82"/>
        <v/>
      </c>
      <c r="Q762" s="13">
        <f t="shared" si="83"/>
        <v>-1.1302016278049425E-3</v>
      </c>
      <c r="R762" s="49">
        <f t="shared" si="84"/>
        <v>1</v>
      </c>
    </row>
    <row r="763" spans="1:18" x14ac:dyDescent="0.35">
      <c r="A763" s="64" t="s">
        <v>77</v>
      </c>
      <c r="B763" s="14">
        <v>-9.831650139591197E-5</v>
      </c>
      <c r="C763" s="12">
        <v>-8.7846911369739988E-3</v>
      </c>
      <c r="D763" s="12">
        <v>7.9735651174484001E-3</v>
      </c>
      <c r="E763" s="12">
        <v>-1.7436267436267139E-3</v>
      </c>
      <c r="F763" s="12">
        <v>-2.5649127372079361E-3</v>
      </c>
      <c r="G763" s="12">
        <v>-9.141115977909009E-3</v>
      </c>
      <c r="H763" s="12">
        <v>4.7069604698628531E-3</v>
      </c>
      <c r="I763" s="12">
        <v>1.0471889521565414E-2</v>
      </c>
      <c r="J763" s="12">
        <v>3.6229924836423955E-3</v>
      </c>
      <c r="K763" s="12">
        <v>1.3025679196130291E-3</v>
      </c>
      <c r="L763" s="12">
        <v>6.8687913143024026E-3</v>
      </c>
      <c r="M763" s="13">
        <f t="shared" si="79"/>
        <v>5.4238988802239787E-3</v>
      </c>
      <c r="N763" s="32">
        <f t="shared" si="80"/>
        <v>149.29242989114607</v>
      </c>
      <c r="O763" s="32">
        <f t="shared" si="81"/>
        <v>128.58571008526914</v>
      </c>
      <c r="P763" s="12" t="str">
        <f t="shared" si="82"/>
        <v/>
      </c>
      <c r="Q763" s="13">
        <f t="shared" si="83"/>
        <v>5.5222153816198907E-3</v>
      </c>
      <c r="R763" s="49">
        <f t="shared" si="84"/>
        <v>1</v>
      </c>
    </row>
    <row r="764" spans="1:18" x14ac:dyDescent="0.35">
      <c r="A764" s="64" t="s">
        <v>77</v>
      </c>
      <c r="B764" s="14">
        <v>-1.3399798774352711E-2</v>
      </c>
      <c r="C764" s="12">
        <v>-7.3948631103584184E-3</v>
      </c>
      <c r="D764" s="12">
        <v>-2.494298745724044E-3</v>
      </c>
      <c r="E764" s="12">
        <v>-5.872432692886842E-3</v>
      </c>
      <c r="F764" s="12">
        <v>-1.0994130252492962E-3</v>
      </c>
      <c r="G764" s="12">
        <v>-2.1526042667691758E-2</v>
      </c>
      <c r="H764" s="12">
        <v>-1.5464344941956809E-2</v>
      </c>
      <c r="I764" s="12">
        <v>-1.8524515836517819E-2</v>
      </c>
      <c r="J764" s="12">
        <v>4.8491379310355853E-4</v>
      </c>
      <c r="K764" s="12">
        <v>7.4335625348442846E-4</v>
      </c>
      <c r="L764" s="12">
        <v>-4.9257289565376672E-2</v>
      </c>
      <c r="M764" s="13">
        <f t="shared" si="79"/>
        <v>-1.3281797659459874E-2</v>
      </c>
      <c r="N764" s="32">
        <f t="shared" si="80"/>
        <v>147.30955804524277</v>
      </c>
      <c r="O764" s="32">
        <f t="shared" si="81"/>
        <v>126.86268744486928</v>
      </c>
      <c r="P764" s="12">
        <f t="shared" si="82"/>
        <v>-1.3281797659459874E-2</v>
      </c>
      <c r="Q764" s="13">
        <f t="shared" si="83"/>
        <v>1.1800111489283782E-4</v>
      </c>
      <c r="R764" s="49" t="str">
        <f t="shared" si="84"/>
        <v/>
      </c>
    </row>
    <row r="765" spans="1:18" x14ac:dyDescent="0.35">
      <c r="A765" s="64" t="s">
        <v>77</v>
      </c>
      <c r="B765" s="14">
        <v>-8.4828257544152796E-3</v>
      </c>
      <c r="C765" s="12">
        <v>-2.161055505004561E-3</v>
      </c>
      <c r="D765" s="12">
        <v>-1.4003000642994978E-2</v>
      </c>
      <c r="E765" s="12">
        <v>3.6654448517159377E-3</v>
      </c>
      <c r="F765" s="12">
        <v>-8.2640002984739613E-3</v>
      </c>
      <c r="G765" s="12">
        <v>-2.6844758724546836E-3</v>
      </c>
      <c r="H765" s="12">
        <v>-1.541247315450367E-2</v>
      </c>
      <c r="I765" s="12">
        <v>-1.2604764733056162E-2</v>
      </c>
      <c r="J765" s="12">
        <v>-1.5617426894286246E-2</v>
      </c>
      <c r="K765" s="12">
        <v>-4.8282265552460624E-3</v>
      </c>
      <c r="L765" s="12">
        <v>-2.4419412082401171E-2</v>
      </c>
      <c r="M765" s="13">
        <f t="shared" si="79"/>
        <v>-1.0998309245835787E-2</v>
      </c>
      <c r="N765" s="32">
        <f t="shared" si="80"/>
        <v>145.6894019709938</v>
      </c>
      <c r="O765" s="32">
        <f t="shared" si="81"/>
        <v>125.7865333725376</v>
      </c>
      <c r="P765" s="12">
        <f t="shared" si="82"/>
        <v>-1.0998309245835787E-2</v>
      </c>
      <c r="Q765" s="13">
        <f t="shared" si="83"/>
        <v>-2.5154834914205074E-3</v>
      </c>
      <c r="R765" s="49" t="str">
        <f t="shared" si="84"/>
        <v/>
      </c>
    </row>
    <row r="766" spans="1:18" x14ac:dyDescent="0.35">
      <c r="A766" s="64">
        <v>11.05</v>
      </c>
      <c r="B766" s="14">
        <v>-1.2585320243104325E-2</v>
      </c>
      <c r="C766" s="12">
        <v>-1.4704206086857519E-2</v>
      </c>
      <c r="D766" s="12">
        <v>-6.15897398739218E-3</v>
      </c>
      <c r="E766" s="12">
        <v>-1.4034770010865505E-2</v>
      </c>
      <c r="F766" s="12">
        <v>-8.6526343509584214E-3</v>
      </c>
      <c r="G766" s="12">
        <v>4.4642857142858094E-3</v>
      </c>
      <c r="H766" s="12">
        <v>-1.8391001240323224E-3</v>
      </c>
      <c r="I766" s="12">
        <v>-5.3802967517711631E-2</v>
      </c>
      <c r="J766" s="12">
        <v>-1.5044586684173078E-2</v>
      </c>
      <c r="K766" s="12">
        <v>-1.2502332524724769E-2</v>
      </c>
      <c r="L766" s="12">
        <v>-1.4591324291193808E-2</v>
      </c>
      <c r="M766" s="13">
        <f t="shared" si="79"/>
        <v>-1.9281087861128081E-2</v>
      </c>
      <c r="N766" s="32">
        <f t="shared" si="80"/>
        <v>142.88035181115586</v>
      </c>
      <c r="O766" s="32">
        <f t="shared" si="81"/>
        <v>124.20346956777429</v>
      </c>
      <c r="P766" s="12">
        <f t="shared" si="82"/>
        <v>-1.9281087861128081E-2</v>
      </c>
      <c r="Q766" s="13">
        <f t="shared" si="83"/>
        <v>-6.6957676180237555E-3</v>
      </c>
      <c r="R766" s="49" t="str">
        <f t="shared" si="84"/>
        <v/>
      </c>
    </row>
    <row r="767" spans="1:18" x14ac:dyDescent="0.35">
      <c r="A767" s="64" t="s">
        <v>77</v>
      </c>
      <c r="B767" s="14">
        <v>-1.685542214310054E-3</v>
      </c>
      <c r="C767" s="12">
        <v>6.9412309116145821E-4</v>
      </c>
      <c r="D767" s="12">
        <v>-5.6867891513561197E-3</v>
      </c>
      <c r="E767" s="12">
        <v>8.1121621207946859E-3</v>
      </c>
      <c r="F767" s="12">
        <v>-1.0359941559303865E-2</v>
      </c>
      <c r="G767" s="12">
        <v>-1.0522875816993515E-2</v>
      </c>
      <c r="H767" s="12">
        <v>-7.9269860313651019E-3</v>
      </c>
      <c r="I767" s="12">
        <v>2.1332203150385087E-2</v>
      </c>
      <c r="J767" s="12">
        <v>5.498778049322528E-3</v>
      </c>
      <c r="K767" s="12">
        <v>1.4172335600907138E-2</v>
      </c>
      <c r="L767" s="12">
        <v>-7.5441412520064199E-3</v>
      </c>
      <c r="M767" s="13">
        <f t="shared" si="79"/>
        <v>5.5606723250278692E-3</v>
      </c>
      <c r="N767" s="32">
        <f t="shared" si="80"/>
        <v>143.67486262926241</v>
      </c>
      <c r="O767" s="32">
        <f t="shared" si="81"/>
        <v>123.99411937665404</v>
      </c>
      <c r="P767" s="12" t="str">
        <f t="shared" si="82"/>
        <v/>
      </c>
      <c r="Q767" s="13">
        <f t="shared" si="83"/>
        <v>7.2462145393379232E-3</v>
      </c>
      <c r="R767" s="49">
        <f t="shared" si="84"/>
        <v>1</v>
      </c>
    </row>
    <row r="768" spans="1:18" x14ac:dyDescent="0.35">
      <c r="A768" s="64" t="s">
        <v>77</v>
      </c>
      <c r="B768" s="14">
        <v>7.2657598694820802E-3</v>
      </c>
      <c r="C768" s="12">
        <v>2.5433526011560126E-3</v>
      </c>
      <c r="D768" s="12">
        <v>1.0338759348878179E-2</v>
      </c>
      <c r="E768" s="12">
        <v>3.6742378233936002E-3</v>
      </c>
      <c r="F768" s="12">
        <v>6.5762984834250027E-3</v>
      </c>
      <c r="G768" s="12">
        <v>-1.0568729770790153E-3</v>
      </c>
      <c r="H768" s="12">
        <v>1.3475575519371175E-2</v>
      </c>
      <c r="I768" s="12">
        <v>-1.1757382944880268E-3</v>
      </c>
      <c r="J768" s="12">
        <v>7.3468485886318824E-3</v>
      </c>
      <c r="K768" s="12">
        <v>1.3974287311347089E-2</v>
      </c>
      <c r="L768" s="12">
        <v>9.0166585799773546E-3</v>
      </c>
      <c r="M768" s="13">
        <f t="shared" si="79"/>
        <v>7.7843640474637007E-3</v>
      </c>
      <c r="N768" s="32">
        <f t="shared" si="80"/>
        <v>144.79328006443794</v>
      </c>
      <c r="O768" s="32">
        <f t="shared" si="81"/>
        <v>124.8950308732727</v>
      </c>
      <c r="P768" s="12" t="str">
        <f t="shared" si="82"/>
        <v/>
      </c>
      <c r="Q768" s="13">
        <f t="shared" si="83"/>
        <v>5.1860417798162053E-4</v>
      </c>
      <c r="R768" s="49">
        <f t="shared" si="84"/>
        <v>1</v>
      </c>
    </row>
    <row r="769" spans="1:18" x14ac:dyDescent="0.35">
      <c r="A769" s="64" t="s">
        <v>77</v>
      </c>
      <c r="B769" s="14">
        <v>-1.4339592436341642E-2</v>
      </c>
      <c r="C769" s="12">
        <v>-1.3491697416974202E-2</v>
      </c>
      <c r="D769" s="12">
        <v>-5.1527687060017868E-3</v>
      </c>
      <c r="E769" s="12">
        <v>3.0678001996793158E-2</v>
      </c>
      <c r="F769" s="12">
        <v>9.923809523809668E-3</v>
      </c>
      <c r="G769" s="12">
        <v>2.2482311710638747E-3</v>
      </c>
      <c r="H769" s="12">
        <v>9.3756658853612063E-3</v>
      </c>
      <c r="I769" s="12">
        <v>-6.2318238471124054E-3</v>
      </c>
      <c r="J769" s="12">
        <v>-2.5389339767493024E-2</v>
      </c>
      <c r="K769" s="12">
        <v>-3.1238515251745813E-3</v>
      </c>
      <c r="L769" s="12">
        <v>-1.8473251853336037E-2</v>
      </c>
      <c r="M769" s="13">
        <f t="shared" si="79"/>
        <v>-2.1949962141049138E-3</v>
      </c>
      <c r="N769" s="32">
        <f t="shared" si="80"/>
        <v>144.47545936286866</v>
      </c>
      <c r="O769" s="32">
        <f t="shared" si="81"/>
        <v>123.10408703322567</v>
      </c>
      <c r="P769" s="12">
        <f t="shared" si="82"/>
        <v>-2.1949962141049138E-3</v>
      </c>
      <c r="Q769" s="13">
        <f t="shared" si="83"/>
        <v>1.2144596222236728E-2</v>
      </c>
      <c r="R769" s="49" t="str">
        <f t="shared" si="84"/>
        <v/>
      </c>
    </row>
    <row r="770" spans="1:18" x14ac:dyDescent="0.35">
      <c r="A770" s="64" t="s">
        <v>77</v>
      </c>
      <c r="B770" s="14">
        <v>-1.183251050332379E-2</v>
      </c>
      <c r="C770" s="12">
        <v>-2.4605493863237959E-2</v>
      </c>
      <c r="D770" s="12">
        <v>4.8730668222935369E-2</v>
      </c>
      <c r="E770" s="12">
        <v>-3.7514310036105392E-2</v>
      </c>
      <c r="F770" s="12">
        <v>-3.4891835310537633E-3</v>
      </c>
      <c r="G770" s="12">
        <v>-1.6955861977963949E-2</v>
      </c>
      <c r="H770" s="12">
        <v>-2.3516993877981784E-2</v>
      </c>
      <c r="I770" s="12">
        <v>-1.2541806020067714E-3</v>
      </c>
      <c r="J770" s="12">
        <v>7.6520564901818577E-3</v>
      </c>
      <c r="K770" s="12">
        <v>-6.0829493087557474E-3</v>
      </c>
      <c r="L770" s="12">
        <v>-1.0247407528374275E-2</v>
      </c>
      <c r="M770" s="13">
        <f t="shared" si="79"/>
        <v>4.8243443682819999E-3</v>
      </c>
      <c r="N770" s="32">
        <f t="shared" si="80"/>
        <v>145.17245873160087</v>
      </c>
      <c r="O770" s="32">
        <f t="shared" si="81"/>
        <v>121.64745663040294</v>
      </c>
      <c r="P770" s="12" t="str">
        <f t="shared" si="82"/>
        <v/>
      </c>
      <c r="Q770" s="13">
        <f t="shared" si="83"/>
        <v>1.665685487160579E-2</v>
      </c>
      <c r="R770" s="49">
        <f t="shared" si="84"/>
        <v>1</v>
      </c>
    </row>
    <row r="771" spans="1:18" x14ac:dyDescent="0.35">
      <c r="A771" s="64">
        <v>11.04</v>
      </c>
      <c r="B771" s="14">
        <v>-4.8003132530701764E-3</v>
      </c>
      <c r="C771" s="12">
        <v>7.9693211097131567E-3</v>
      </c>
      <c r="D771" s="12">
        <v>-8.6254869226487507E-3</v>
      </c>
      <c r="E771" s="12">
        <v>5.8556223123609197E-3</v>
      </c>
      <c r="F771" s="12">
        <v>-7.0028011204482654E-3</v>
      </c>
      <c r="G771" s="12">
        <v>-2.2818791946308759E-2</v>
      </c>
      <c r="H771" s="12">
        <v>-8.690764441369736E-3</v>
      </c>
      <c r="I771" s="12">
        <v>-1.4162131993860738E-2</v>
      </c>
      <c r="J771" s="12">
        <v>3.3502708135573211E-3</v>
      </c>
      <c r="K771" s="12">
        <v>-3.7091988130564246E-3</v>
      </c>
      <c r="L771" s="12">
        <v>-1.5963370869941818E-2</v>
      </c>
      <c r="M771" s="13">
        <f t="shared" si="79"/>
        <v>-7.8280736985814753E-3</v>
      </c>
      <c r="N771" s="32">
        <f t="shared" si="80"/>
        <v>144.03603802564561</v>
      </c>
      <c r="O771" s="32">
        <f t="shared" si="81"/>
        <v>121.06351073213774</v>
      </c>
      <c r="P771" s="12">
        <f t="shared" si="82"/>
        <v>-7.8280736985814753E-3</v>
      </c>
      <c r="Q771" s="13">
        <f t="shared" si="83"/>
        <v>-3.0277604455112989E-3</v>
      </c>
      <c r="R771" s="49" t="str">
        <f t="shared" si="84"/>
        <v/>
      </c>
    </row>
    <row r="772" spans="1:18" x14ac:dyDescent="0.35">
      <c r="A772" s="64" t="s">
        <v>77</v>
      </c>
      <c r="B772" s="14">
        <v>1.2010093822027113E-2</v>
      </c>
      <c r="C772" s="12">
        <v>1.2305314469147399E-2</v>
      </c>
      <c r="D772" s="12">
        <v>7.7182149873689099E-4</v>
      </c>
      <c r="E772" s="12">
        <v>2.2740365665079976E-2</v>
      </c>
      <c r="F772" s="12">
        <v>1.0158960088438196E-2</v>
      </c>
      <c r="G772" s="12">
        <v>9.8214285714286476E-3</v>
      </c>
      <c r="H772" s="12">
        <v>1.6617961355607003E-2</v>
      </c>
      <c r="I772" s="12">
        <v>1.3870214422192495E-2</v>
      </c>
      <c r="J772" s="12">
        <v>1.4803272302298387E-2</v>
      </c>
      <c r="K772" s="12">
        <v>1.1541325390916013E-2</v>
      </c>
      <c r="L772" s="12">
        <v>1.5090543259557387E-2</v>
      </c>
      <c r="M772" s="13">
        <f t="shared" si="79"/>
        <v>1.1191966577150379E-2</v>
      </c>
      <c r="N772" s="32">
        <f t="shared" si="80"/>
        <v>145.64808454913378</v>
      </c>
      <c r="O772" s="32">
        <f t="shared" si="81"/>
        <v>122.51749485445471</v>
      </c>
      <c r="P772" s="12" t="str">
        <f t="shared" si="82"/>
        <v/>
      </c>
      <c r="Q772" s="13">
        <f t="shared" si="83"/>
        <v>-8.1812724487673356E-4</v>
      </c>
      <c r="R772" s="49">
        <f t="shared" si="84"/>
        <v>1</v>
      </c>
    </row>
    <row r="773" spans="1:18" x14ac:dyDescent="0.35">
      <c r="A773" s="64" t="s">
        <v>77</v>
      </c>
      <c r="B773" s="14">
        <v>6.4749617214088229E-3</v>
      </c>
      <c r="C773" s="12">
        <v>2.8187210053438605E-3</v>
      </c>
      <c r="D773" s="12">
        <v>1.4092406927013856E-2</v>
      </c>
      <c r="E773" s="12">
        <v>2.3717055527556763E-3</v>
      </c>
      <c r="F773" s="12">
        <v>1.0509632257212242E-2</v>
      </c>
      <c r="G773" s="12">
        <v>8.9097463102767449E-3</v>
      </c>
      <c r="H773" s="12">
        <v>8.6665522567357378E-3</v>
      </c>
      <c r="I773" s="12">
        <v>1.9264326097578E-2</v>
      </c>
      <c r="J773" s="12">
        <v>2.451329860159035E-2</v>
      </c>
      <c r="K773" s="12">
        <v>2.3923444976075015E-3</v>
      </c>
      <c r="L773" s="12">
        <v>-6.652626362735381E-2</v>
      </c>
      <c r="M773" s="13">
        <f t="shared" si="79"/>
        <v>-2.8743464112130496E-3</v>
      </c>
      <c r="N773" s="32">
        <f t="shared" si="80"/>
        <v>145.22944150000993</v>
      </c>
      <c r="O773" s="32">
        <f t="shared" si="81"/>
        <v>123.3107909438402</v>
      </c>
      <c r="P773" s="12">
        <f t="shared" si="82"/>
        <v>-2.8743464112130496E-3</v>
      </c>
      <c r="Q773" s="13">
        <f t="shared" si="83"/>
        <v>-9.3493081326218724E-3</v>
      </c>
      <c r="R773" s="49" t="str">
        <f t="shared" si="84"/>
        <v/>
      </c>
    </row>
    <row r="774" spans="1:18" x14ac:dyDescent="0.35">
      <c r="A774" s="64" t="s">
        <v>77</v>
      </c>
      <c r="B774" s="14">
        <v>1.0505985025513809E-2</v>
      </c>
      <c r="C774" s="12">
        <v>1.8738654330385796E-2</v>
      </c>
      <c r="D774" s="12">
        <v>5.2544247787611464E-3</v>
      </c>
      <c r="E774" s="12">
        <v>2.354263405400614E-2</v>
      </c>
      <c r="F774" s="12">
        <v>-7.3941295092985193E-3</v>
      </c>
      <c r="G774" s="12">
        <v>2.3594445193473312E-3</v>
      </c>
      <c r="H774" s="12">
        <v>1.4802211824755496E-2</v>
      </c>
      <c r="I774" s="12">
        <v>2.8761213449290945E-3</v>
      </c>
      <c r="J774" s="12">
        <v>1.3703029654212662E-2</v>
      </c>
      <c r="K774" s="12">
        <v>8.9957774921975986E-3</v>
      </c>
      <c r="L774" s="12">
        <v>2.5569564255695676E-2</v>
      </c>
      <c r="M774" s="13">
        <f t="shared" si="79"/>
        <v>1.1630739022577944E-2</v>
      </c>
      <c r="N774" s="32">
        <f t="shared" si="80"/>
        <v>146.91856723249131</v>
      </c>
      <c r="O774" s="32">
        <f t="shared" si="81"/>
        <v>124.60629226698045</v>
      </c>
      <c r="P774" s="12" t="str">
        <f t="shared" si="82"/>
        <v/>
      </c>
      <c r="Q774" s="13">
        <f t="shared" si="83"/>
        <v>1.1247539970641353E-3</v>
      </c>
      <c r="R774" s="49">
        <f t="shared" si="84"/>
        <v>1</v>
      </c>
    </row>
    <row r="775" spans="1:18" x14ac:dyDescent="0.35">
      <c r="A775" s="64" t="s">
        <v>77</v>
      </c>
      <c r="B775" s="14">
        <v>1.8858574846738696E-2</v>
      </c>
      <c r="C775" s="12">
        <v>2.0693222969477398E-2</v>
      </c>
      <c r="D775" s="12">
        <v>1.1072902338376878E-2</v>
      </c>
      <c r="E775" s="12">
        <v>6.501574825902301E-3</v>
      </c>
      <c r="F775" s="12">
        <v>8.5214446952595058E-3</v>
      </c>
      <c r="G775" s="12">
        <v>1.0424372856278286E-2</v>
      </c>
      <c r="H775" s="12">
        <v>1.9574147036633294E-2</v>
      </c>
      <c r="I775" s="12">
        <v>3.004438374871965E-2</v>
      </c>
      <c r="J775" s="12">
        <v>1.3887422114267522E-2</v>
      </c>
      <c r="K775" s="12">
        <v>3.8209606986898681E-3</v>
      </c>
      <c r="L775" s="12">
        <v>3.1445455721865079E-2</v>
      </c>
      <c r="M775" s="13">
        <f t="shared" si="79"/>
        <v>1.5934102593803099E-2</v>
      </c>
      <c r="N775" s="32">
        <f t="shared" si="80"/>
        <v>149.25958275570838</v>
      </c>
      <c r="O775" s="32">
        <f t="shared" si="81"/>
        <v>126.95618935607189</v>
      </c>
      <c r="P775" s="12" t="str">
        <f t="shared" si="82"/>
        <v/>
      </c>
      <c r="Q775" s="13">
        <f t="shared" si="83"/>
        <v>-2.924472252935597E-3</v>
      </c>
      <c r="R775" s="49">
        <f t="shared" si="84"/>
        <v>1</v>
      </c>
    </row>
    <row r="776" spans="1:18" x14ac:dyDescent="0.35">
      <c r="A776" s="64">
        <v>11.05</v>
      </c>
      <c r="B776" s="14">
        <v>9.3937162152772924E-3</v>
      </c>
      <c r="C776" s="12">
        <v>-5.1810553584501484E-3</v>
      </c>
      <c r="D776" s="12">
        <v>6.0540099312973439E-3</v>
      </c>
      <c r="E776" s="12">
        <v>1.2861736334405238E-2</v>
      </c>
      <c r="F776" s="12">
        <v>-9.7550967116184495E-3</v>
      </c>
      <c r="G776" s="12">
        <v>7.3216187433440272E-3</v>
      </c>
      <c r="H776" s="12">
        <v>1.4388489208632116E-3</v>
      </c>
      <c r="I776" s="12">
        <v>1.2661584355319722E-2</v>
      </c>
      <c r="J776" s="12">
        <v>1.5832508723504057E-2</v>
      </c>
      <c r="K776" s="12">
        <v>-5.0752220409643334E-3</v>
      </c>
      <c r="L776" s="12">
        <v>6.8166610906656988E-3</v>
      </c>
      <c r="M776" s="13">
        <f t="shared" si="79"/>
        <v>5.9114041524901163E-3</v>
      </c>
      <c r="N776" s="32">
        <f t="shared" si="80"/>
        <v>150.14191647300942</v>
      </c>
      <c r="O776" s="32">
        <f t="shared" si="81"/>
        <v>128.14877977065584</v>
      </c>
      <c r="P776" s="12" t="str">
        <f t="shared" si="82"/>
        <v/>
      </c>
      <c r="Q776" s="13">
        <f t="shared" si="83"/>
        <v>-3.4823120627871761E-3</v>
      </c>
      <c r="R776" s="49">
        <f t="shared" si="84"/>
        <v>1</v>
      </c>
    </row>
    <row r="777" spans="1:18" x14ac:dyDescent="0.35">
      <c r="A777" s="64" t="s">
        <v>77</v>
      </c>
      <c r="B777" s="14">
        <v>1.7529609897344312E-3</v>
      </c>
      <c r="C777" s="12">
        <v>1.4605151429380125E-2</v>
      </c>
      <c r="D777" s="12">
        <v>7.2346179851250358E-3</v>
      </c>
      <c r="E777" s="12">
        <v>1.0572562358276638E-2</v>
      </c>
      <c r="F777" s="12">
        <v>4.8220003767189823E-3</v>
      </c>
      <c r="G777" s="12">
        <v>2.378749834808902E-3</v>
      </c>
      <c r="H777" s="12">
        <v>-4.5155993431844621E-4</v>
      </c>
      <c r="I777" s="12">
        <v>1.5056297460069867E-3</v>
      </c>
      <c r="J777" s="12">
        <v>-1.0766470135862738E-2</v>
      </c>
      <c r="K777" s="12">
        <v>1.2752778283839916E-3</v>
      </c>
      <c r="L777" s="12">
        <v>-1.0259605399792315E-2</v>
      </c>
      <c r="M777" s="13">
        <f t="shared" si="79"/>
        <v>2.2852935805881035E-3</v>
      </c>
      <c r="N777" s="32">
        <f t="shared" si="80"/>
        <v>150.48503483090238</v>
      </c>
      <c r="O777" s="32">
        <f t="shared" si="81"/>
        <v>128.37341958247586</v>
      </c>
      <c r="P777" s="12" t="str">
        <f t="shared" si="82"/>
        <v/>
      </c>
      <c r="Q777" s="13">
        <f t="shared" si="83"/>
        <v>5.3233259085367236E-4</v>
      </c>
      <c r="R777" s="49">
        <f t="shared" si="84"/>
        <v>1</v>
      </c>
    </row>
    <row r="778" spans="1:18" x14ac:dyDescent="0.35">
      <c r="A778" s="64" t="s">
        <v>77</v>
      </c>
      <c r="B778" s="14">
        <v>2.8401412741241305E-3</v>
      </c>
      <c r="C778" s="12">
        <v>1.445070579702068E-2</v>
      </c>
      <c r="D778" s="12">
        <v>-9.3978653420145886E-4</v>
      </c>
      <c r="E778" s="12">
        <v>1.1219252236838395E-2</v>
      </c>
      <c r="F778" s="12">
        <v>8.1918044464439621E-3</v>
      </c>
      <c r="G778" s="12">
        <v>-5.2735662491758539E-3</v>
      </c>
      <c r="H778" s="12">
        <v>5.256889399975373E-3</v>
      </c>
      <c r="I778" s="12">
        <v>-6.5363749264801818E-5</v>
      </c>
      <c r="J778" s="12">
        <v>-7.9813423166622544E-3</v>
      </c>
      <c r="K778" s="12">
        <v>4.7307132459970536E-3</v>
      </c>
      <c r="L778" s="12">
        <v>-1.4101057579318454E-2</v>
      </c>
      <c r="M778" s="13">
        <f t="shared" si="79"/>
        <v>-5.2515039021074506E-5</v>
      </c>
      <c r="N778" s="32">
        <f t="shared" si="80"/>
        <v>150.47713210342616</v>
      </c>
      <c r="O778" s="32">
        <f t="shared" si="81"/>
        <v>128.73801822993249</v>
      </c>
      <c r="P778" s="12">
        <f t="shared" si="82"/>
        <v>-5.2515039021074506E-5</v>
      </c>
      <c r="Q778" s="13">
        <f t="shared" si="83"/>
        <v>-2.892656313145205E-3</v>
      </c>
      <c r="R778" s="49" t="str">
        <f t="shared" si="84"/>
        <v/>
      </c>
    </row>
    <row r="779" spans="1:18" x14ac:dyDescent="0.35">
      <c r="A779" s="64" t="s">
        <v>77</v>
      </c>
      <c r="B779" s="14">
        <v>1.0049378994057001E-3</v>
      </c>
      <c r="C779" s="12">
        <v>5.884941150588352E-3</v>
      </c>
      <c r="D779" s="12">
        <v>-5.3752603641740171E-3</v>
      </c>
      <c r="E779" s="12">
        <v>7.4057637367210827E-3</v>
      </c>
      <c r="F779" s="12">
        <v>-2.0452559358905553E-3</v>
      </c>
      <c r="G779" s="12">
        <v>-3.6447978793904268E-3</v>
      </c>
      <c r="H779" s="12">
        <v>-3.5135024717082297E-3</v>
      </c>
      <c r="I779" s="12">
        <v>1.9610406589087859E-4</v>
      </c>
      <c r="J779" s="12">
        <v>2.1942427250405405E-3</v>
      </c>
      <c r="K779" s="12">
        <v>-8.1492212966315369E-3</v>
      </c>
      <c r="L779" s="12">
        <v>-4.2567682615357594E-4</v>
      </c>
      <c r="M779" s="13">
        <f t="shared" si="79"/>
        <v>-2.305513182773201E-3</v>
      </c>
      <c r="N779" s="32">
        <f t="shared" si="80"/>
        <v>150.1302050916558</v>
      </c>
      <c r="O779" s="32">
        <f t="shared" si="81"/>
        <v>128.86739194354612</v>
      </c>
      <c r="P779" s="12">
        <f t="shared" si="82"/>
        <v>-2.305513182773201E-3</v>
      </c>
      <c r="Q779" s="13">
        <f t="shared" si="83"/>
        <v>-3.3104510821789011E-3</v>
      </c>
      <c r="R779" s="49" t="str">
        <f t="shared" si="84"/>
        <v/>
      </c>
    </row>
    <row r="780" spans="1:18" x14ac:dyDescent="0.35">
      <c r="A780" s="64" t="s">
        <v>77</v>
      </c>
      <c r="B780" s="14">
        <v>-8.0839102122395312E-3</v>
      </c>
      <c r="C780" s="12">
        <v>-2.6245284050521178E-3</v>
      </c>
      <c r="D780" s="12">
        <v>-9.5250962642707826E-3</v>
      </c>
      <c r="E780" s="12">
        <v>-6.9107929515418443E-3</v>
      </c>
      <c r="F780" s="12">
        <v>4.2293145529408438E-3</v>
      </c>
      <c r="G780" s="12">
        <v>-1.9487861656135697E-2</v>
      </c>
      <c r="H780" s="12">
        <v>-9.3067114919438421E-3</v>
      </c>
      <c r="I780" s="12">
        <v>-4.1827331546956392E-3</v>
      </c>
      <c r="J780" s="12">
        <v>7.8194234478443647E-3</v>
      </c>
      <c r="K780" s="12">
        <v>-2.3735621690706976E-3</v>
      </c>
      <c r="L780" s="12">
        <v>-2.8532492973341039E-3</v>
      </c>
      <c r="M780" s="13">
        <f t="shared" si="79"/>
        <v>-5.3977910648469385E-3</v>
      </c>
      <c r="N780" s="32">
        <f t="shared" si="80"/>
        <v>149.31983361204843</v>
      </c>
      <c r="O780" s="32">
        <f t="shared" si="81"/>
        <v>127.82563951778901</v>
      </c>
      <c r="P780" s="12">
        <f t="shared" si="82"/>
        <v>-5.3977910648469385E-3</v>
      </c>
      <c r="Q780" s="13">
        <f t="shared" si="83"/>
        <v>2.6861191473925928E-3</v>
      </c>
      <c r="R780" s="49" t="str">
        <f t="shared" si="84"/>
        <v/>
      </c>
    </row>
    <row r="781" spans="1:18" x14ac:dyDescent="0.35">
      <c r="A781" s="64">
        <v>11.19</v>
      </c>
      <c r="B781" s="14">
        <v>1.5616409996894509E-2</v>
      </c>
      <c r="C781" s="12">
        <v>2.1873800778466235E-2</v>
      </c>
      <c r="D781" s="12">
        <v>1.6368844632383084E-2</v>
      </c>
      <c r="E781" s="12">
        <v>2.4896725720147561E-2</v>
      </c>
      <c r="F781" s="12">
        <v>4.1001855287570166E-3</v>
      </c>
      <c r="G781" s="12">
        <v>-1.1531678198344331E-3</v>
      </c>
      <c r="H781" s="12">
        <v>1.4939579539811287E-2</v>
      </c>
      <c r="I781" s="12">
        <v>1.3191573144319735E-2</v>
      </c>
      <c r="J781" s="12">
        <v>1.717270987430819E-2</v>
      </c>
      <c r="K781" s="12">
        <v>1.3909224011712906E-2</v>
      </c>
      <c r="L781" s="12">
        <v>2.3617339312406616E-2</v>
      </c>
      <c r="M781" s="13">
        <f t="shared" si="79"/>
        <v>1.7624639524245814E-2</v>
      </c>
      <c r="N781" s="32">
        <f t="shared" si="80"/>
        <v>151.95154185328116</v>
      </c>
      <c r="O781" s="32">
        <f t="shared" si="81"/>
        <v>129.82181711261404</v>
      </c>
      <c r="P781" s="12" t="str">
        <f t="shared" si="82"/>
        <v/>
      </c>
      <c r="Q781" s="13">
        <f t="shared" si="83"/>
        <v>2.0082295273513052E-3</v>
      </c>
      <c r="R781" s="49">
        <f t="shared" si="84"/>
        <v>1</v>
      </c>
    </row>
    <row r="782" spans="1:18" x14ac:dyDescent="0.35">
      <c r="A782" s="64" t="s">
        <v>77</v>
      </c>
      <c r="B782" s="14">
        <v>-8.3574165843747217E-4</v>
      </c>
      <c r="C782" s="12">
        <v>-8.5836909871244149E-3</v>
      </c>
      <c r="D782" s="12">
        <v>-6.1736679640317371E-3</v>
      </c>
      <c r="E782" s="12">
        <v>-8.0882949657803405E-3</v>
      </c>
      <c r="F782" s="12">
        <v>2.5128877884739165E-3</v>
      </c>
      <c r="G782" s="12">
        <v>2.5806451612901959E-3</v>
      </c>
      <c r="H782" s="12">
        <v>-2.3649337410805993E-3</v>
      </c>
      <c r="I782" s="12">
        <v>-2.5910091980818617E-4</v>
      </c>
      <c r="J782" s="12">
        <v>4.0122044241037269E-2</v>
      </c>
      <c r="K782" s="12">
        <v>8.8447653429604145E-3</v>
      </c>
      <c r="L782" s="12">
        <v>8.3027369826433883E-3</v>
      </c>
      <c r="M782" s="13">
        <f t="shared" si="79"/>
        <v>5.2286260197983232E-4</v>
      </c>
      <c r="N782" s="32">
        <f t="shared" si="80"/>
        <v>152.03099163182941</v>
      </c>
      <c r="O782" s="32">
        <f t="shared" si="81"/>
        <v>129.71331961187897</v>
      </c>
      <c r="P782" s="12" t="str">
        <f t="shared" si="82"/>
        <v/>
      </c>
      <c r="Q782" s="13">
        <f t="shared" si="83"/>
        <v>1.3586042604173045E-3</v>
      </c>
      <c r="R782" s="49">
        <f t="shared" si="84"/>
        <v>1</v>
      </c>
    </row>
    <row r="783" spans="1:18" x14ac:dyDescent="0.35">
      <c r="A783" s="64" t="s">
        <v>77</v>
      </c>
      <c r="B783" s="14">
        <v>1.9074928313177919E-2</v>
      </c>
      <c r="C783" s="12">
        <v>1.4285714285714235E-2</v>
      </c>
      <c r="D783" s="12">
        <v>1.5597569209993223E-2</v>
      </c>
      <c r="E783" s="12">
        <v>9.7905530707973476E-3</v>
      </c>
      <c r="F783" s="12">
        <v>-3.8888991282231E-3</v>
      </c>
      <c r="G783" s="12">
        <v>2.0321072952644847E-4</v>
      </c>
      <c r="H783" s="12">
        <v>9.2778027547308906E-3</v>
      </c>
      <c r="I783" s="12">
        <v>1.6651548529221127E-2</v>
      </c>
      <c r="J783" s="12">
        <v>1.4324826439816141E-2</v>
      </c>
      <c r="K783" s="12">
        <v>-1.7892288423682068E-4</v>
      </c>
      <c r="L783" s="12">
        <v>2.5613439814623273E-2</v>
      </c>
      <c r="M783" s="13">
        <f t="shared" si="79"/>
        <v>1.316748129544297E-2</v>
      </c>
      <c r="N783" s="32">
        <f t="shared" si="80"/>
        <v>154.03285687046917</v>
      </c>
      <c r="O783" s="32">
        <f t="shared" si="81"/>
        <v>132.1875918847399</v>
      </c>
      <c r="P783" s="12" t="str">
        <f t="shared" si="82"/>
        <v/>
      </c>
      <c r="Q783" s="13">
        <f t="shared" si="83"/>
        <v>-5.9074470177349486E-3</v>
      </c>
      <c r="R783" s="49">
        <f t="shared" si="84"/>
        <v>1</v>
      </c>
    </row>
    <row r="784" spans="1:18" x14ac:dyDescent="0.35">
      <c r="A784" s="64" t="s">
        <v>77</v>
      </c>
      <c r="B784" s="14">
        <v>1.597081655804411E-3</v>
      </c>
      <c r="C784" s="12">
        <v>3.0409731113956173E-3</v>
      </c>
      <c r="D784" s="12">
        <v>1.4427232231899678E-2</v>
      </c>
      <c r="E784" s="12">
        <v>-1.6204391390065576E-3</v>
      </c>
      <c r="F784" s="12">
        <v>-3.7930651667099635E-3</v>
      </c>
      <c r="G784" s="12">
        <v>7.7204388459977125E-3</v>
      </c>
      <c r="H784" s="12">
        <v>4.7379930347453136E-3</v>
      </c>
      <c r="I784" s="12">
        <v>1.6060161876234824E-2</v>
      </c>
      <c r="J784" s="12">
        <v>5.9767677254543017E-3</v>
      </c>
      <c r="K784" s="12">
        <v>1.2705798138868962E-2</v>
      </c>
      <c r="L784" s="12">
        <v>1.3031550068587139E-2</v>
      </c>
      <c r="M784" s="13">
        <f t="shared" si="79"/>
        <v>1.1889549332710525E-2</v>
      </c>
      <c r="N784" s="32">
        <f t="shared" si="80"/>
        <v>155.86423812108896</v>
      </c>
      <c r="O784" s="32">
        <f t="shared" si="81"/>
        <v>132.39870626286398</v>
      </c>
      <c r="P784" s="12" t="str">
        <f t="shared" si="82"/>
        <v/>
      </c>
      <c r="Q784" s="13">
        <f t="shared" si="83"/>
        <v>1.0292467676906114E-2</v>
      </c>
      <c r="R784" s="49">
        <f t="shared" si="84"/>
        <v>1</v>
      </c>
    </row>
    <row r="785" spans="1:18" x14ac:dyDescent="0.35">
      <c r="A785" s="64" t="s">
        <v>77</v>
      </c>
      <c r="B785" s="14">
        <v>1.1903492875668942E-3</v>
      </c>
      <c r="C785" s="12">
        <v>9.0420722302007039E-3</v>
      </c>
      <c r="D785" s="12">
        <v>3.1458906802988018E-3</v>
      </c>
      <c r="E785" s="12">
        <v>1.7583249925609223E-2</v>
      </c>
      <c r="F785" s="12">
        <v>2.6188220872571666E-3</v>
      </c>
      <c r="G785" s="12">
        <v>8.7365591397847719E-3</v>
      </c>
      <c r="H785" s="12">
        <v>1.8540163637095208E-3</v>
      </c>
      <c r="I785" s="12">
        <v>-2.3834911873549247E-3</v>
      </c>
      <c r="J785" s="12">
        <v>-1.0109721623305146E-2</v>
      </c>
      <c r="K785" s="12">
        <v>-8.0933027036579008E-2</v>
      </c>
      <c r="L785" s="12">
        <v>-1.1469990839937827E-2</v>
      </c>
      <c r="M785" s="13">
        <f t="shared" ref="M785:M848" si="85">SUMPRODUCT($C$2:$L$2,C785:L785)</f>
        <v>-1.7214316273584655E-2</v>
      </c>
      <c r="N785" s="32">
        <f t="shared" ref="N785:N848" si="86">+(N784*(1+M785))</f>
        <v>153.18114183033123</v>
      </c>
      <c r="O785" s="32">
        <f t="shared" ref="O785:O848" si="87">+(O784*(1+B785))</f>
        <v>132.55630696853876</v>
      </c>
      <c r="P785" s="12">
        <f t="shared" ref="P785:P848" si="88">+IF(M785&lt;0,M785,"")</f>
        <v>-1.7214316273584655E-2</v>
      </c>
      <c r="Q785" s="13">
        <f t="shared" ref="Q785:Q848" si="89">M785-B785</f>
        <v>-1.8404665561151549E-2</v>
      </c>
      <c r="R785" s="49" t="str">
        <f t="shared" ref="R785:R848" si="90">+IF(M785&gt;0,1,"")</f>
        <v/>
      </c>
    </row>
    <row r="786" spans="1:18" x14ac:dyDescent="0.35">
      <c r="A786" s="64">
        <v>11.3</v>
      </c>
      <c r="B786" s="14">
        <v>1.2820967827800178E-3</v>
      </c>
      <c r="C786" s="12">
        <v>-1.0542406831481888E-4</v>
      </c>
      <c r="D786" s="12">
        <v>-1.1106755520712275E-3</v>
      </c>
      <c r="E786" s="12">
        <v>-1.6800914480155194E-2</v>
      </c>
      <c r="F786" s="12">
        <v>-6.5392167759624753E-3</v>
      </c>
      <c r="G786" s="12">
        <v>-2.0652898067954339E-3</v>
      </c>
      <c r="H786" s="12">
        <v>3.9827815102386754E-3</v>
      </c>
      <c r="I786" s="12">
        <v>2.2068531908205014E-2</v>
      </c>
      <c r="J786" s="12">
        <v>6.969990319457775E-3</v>
      </c>
      <c r="K786" s="12">
        <v>-4.4222264949047574E-3</v>
      </c>
      <c r="L786" s="12">
        <v>1.9580194190403244E-2</v>
      </c>
      <c r="M786" s="13">
        <f t="shared" si="85"/>
        <v>3.9519256017111117E-3</v>
      </c>
      <c r="N786" s="32">
        <f t="shared" si="86"/>
        <v>153.78650230642984</v>
      </c>
      <c r="O786" s="32">
        <f t="shared" si="87"/>
        <v>132.72625698324032</v>
      </c>
      <c r="P786" s="12" t="str">
        <f t="shared" si="88"/>
        <v/>
      </c>
      <c r="Q786" s="13">
        <f t="shared" si="89"/>
        <v>2.6698288189310939E-3</v>
      </c>
      <c r="R786" s="49">
        <f t="shared" si="90"/>
        <v>1</v>
      </c>
    </row>
    <row r="787" spans="1:18" x14ac:dyDescent="0.35">
      <c r="A787" s="64" t="s">
        <v>77</v>
      </c>
      <c r="B787" s="14">
        <v>7.3903084168878141E-3</v>
      </c>
      <c r="C787" s="12">
        <v>9.2782961674309217E-3</v>
      </c>
      <c r="D787" s="12">
        <v>9.5493492053111417E-3</v>
      </c>
      <c r="E787" s="12">
        <v>2.0521833175611626E-2</v>
      </c>
      <c r="F787" s="12">
        <v>-2.2189487031268884E-3</v>
      </c>
      <c r="G787" s="12">
        <v>8.0112157019840424E-4</v>
      </c>
      <c r="H787" s="12">
        <v>1.642891489020748E-3</v>
      </c>
      <c r="I787" s="12">
        <v>7.9355314960629642E-3</v>
      </c>
      <c r="J787" s="12">
        <v>4.648144587579317E-2</v>
      </c>
      <c r="K787" s="12">
        <v>-1.931247585940099E-4</v>
      </c>
      <c r="L787" s="12">
        <v>-1.0352866795748206E-2</v>
      </c>
      <c r="M787" s="13">
        <f t="shared" si="85"/>
        <v>5.1967876207615381E-3</v>
      </c>
      <c r="N787" s="32">
        <f t="shared" si="86"/>
        <v>154.5856980978561</v>
      </c>
      <c r="O787" s="32">
        <f t="shared" si="87"/>
        <v>133.70714495736559</v>
      </c>
      <c r="P787" s="12" t="str">
        <f t="shared" si="88"/>
        <v/>
      </c>
      <c r="Q787" s="13">
        <f t="shared" si="89"/>
        <v>-2.193520796126276E-3</v>
      </c>
      <c r="R787" s="49">
        <f t="shared" si="90"/>
        <v>1</v>
      </c>
    </row>
    <row r="788" spans="1:18" x14ac:dyDescent="0.35">
      <c r="A788" s="64" t="s">
        <v>77</v>
      </c>
      <c r="B788" s="14">
        <v>-2.020943928152108E-3</v>
      </c>
      <c r="C788" s="12">
        <v>-4.2308696787672906E-3</v>
      </c>
      <c r="D788" s="12">
        <v>-2.8506640751538859E-3</v>
      </c>
      <c r="E788" s="12">
        <v>-1.157799915218316E-2</v>
      </c>
      <c r="F788" s="12">
        <v>8.3909549616894008E-3</v>
      </c>
      <c r="G788" s="12">
        <v>8.0715095724102071E-3</v>
      </c>
      <c r="H788" s="12">
        <v>9.041084930191623E-3</v>
      </c>
      <c r="I788" s="12">
        <v>-9.5209032651816239E-3</v>
      </c>
      <c r="J788" s="12">
        <v>2.5722291121217378E-3</v>
      </c>
      <c r="K788" s="12">
        <v>3.4769171334749771E-3</v>
      </c>
      <c r="L788" s="12">
        <v>-4.1525254541824319E-3</v>
      </c>
      <c r="M788" s="13">
        <f t="shared" si="85"/>
        <v>-4.1530249095576193E-3</v>
      </c>
      <c r="N788" s="32">
        <f t="shared" si="86"/>
        <v>153.94369984299433</v>
      </c>
      <c r="O788" s="32">
        <f t="shared" si="87"/>
        <v>133.43693031461345</v>
      </c>
      <c r="P788" s="12">
        <f t="shared" si="88"/>
        <v>-4.1530249095576193E-3</v>
      </c>
      <c r="Q788" s="13">
        <f t="shared" si="89"/>
        <v>-2.1320809814055113E-3</v>
      </c>
      <c r="R788" s="49" t="str">
        <f t="shared" si="90"/>
        <v/>
      </c>
    </row>
    <row r="789" spans="1:18" x14ac:dyDescent="0.35">
      <c r="A789" s="64" t="s">
        <v>77</v>
      </c>
      <c r="B789" s="14">
        <v>4.0610904347329058E-3</v>
      </c>
      <c r="C789" s="12">
        <v>3.5144775493076708E-3</v>
      </c>
      <c r="D789" s="12">
        <v>7.9267104151776735E-3</v>
      </c>
      <c r="E789" s="12">
        <v>1.2812608893773447E-2</v>
      </c>
      <c r="F789" s="12">
        <v>7.7280898459941572E-3</v>
      </c>
      <c r="G789" s="12">
        <v>-1.9851773425093588E-3</v>
      </c>
      <c r="H789" s="12">
        <v>5.9073068231376702E-3</v>
      </c>
      <c r="I789" s="12">
        <v>9.2427136607307059E-3</v>
      </c>
      <c r="J789" s="12">
        <v>7.513629907912156E-3</v>
      </c>
      <c r="K789" s="12">
        <v>-7.5072184793070207E-3</v>
      </c>
      <c r="L789" s="12">
        <v>-1.3632171925744729E-2</v>
      </c>
      <c r="M789" s="13">
        <f t="shared" si="85"/>
        <v>1.7372505308638629E-3</v>
      </c>
      <c r="N789" s="32">
        <f t="shared" si="86"/>
        <v>154.21113861726974</v>
      </c>
      <c r="O789" s="32">
        <f t="shared" si="87"/>
        <v>133.97882975595425</v>
      </c>
      <c r="P789" s="12" t="str">
        <f t="shared" si="88"/>
        <v/>
      </c>
      <c r="Q789" s="13">
        <f t="shared" si="89"/>
        <v>-2.3238399038690428E-3</v>
      </c>
      <c r="R789" s="49">
        <f t="shared" si="90"/>
        <v>1</v>
      </c>
    </row>
    <row r="790" spans="1:18" x14ac:dyDescent="0.35">
      <c r="A790" s="64">
        <v>11.28</v>
      </c>
      <c r="B790" s="14">
        <v>5.9693369207880487E-4</v>
      </c>
      <c r="C790" s="12">
        <v>-7.0043385081804965E-3</v>
      </c>
      <c r="D790" s="12">
        <v>3.2231032037643992E-4</v>
      </c>
      <c r="E790" s="12">
        <v>-1.1115522032553171E-3</v>
      </c>
      <c r="F790" s="12">
        <v>6.1424157716640782E-3</v>
      </c>
      <c r="G790" s="12">
        <v>1.1139106219334449E-2</v>
      </c>
      <c r="H790" s="12">
        <v>2.2859845498974796E-3</v>
      </c>
      <c r="I790" s="12">
        <v>3.8463886684168003E-3</v>
      </c>
      <c r="J790" s="12">
        <v>4.0925833295446523E-4</v>
      </c>
      <c r="K790" s="12">
        <v>8.9216446858029208E-3</v>
      </c>
      <c r="L790" s="12">
        <v>5.4875818056177028E-3</v>
      </c>
      <c r="M790" s="13">
        <f t="shared" si="85"/>
        <v>3.604765032413432E-3</v>
      </c>
      <c r="N790" s="32">
        <f t="shared" si="86"/>
        <v>154.76703353736593</v>
      </c>
      <c r="O790" s="32">
        <f t="shared" si="87"/>
        <v>134.05880623346087</v>
      </c>
      <c r="P790" s="12" t="str">
        <f t="shared" si="88"/>
        <v/>
      </c>
      <c r="Q790" s="13">
        <f t="shared" si="89"/>
        <v>3.0078313403346271E-3</v>
      </c>
      <c r="R790" s="49">
        <f t="shared" si="90"/>
        <v>1</v>
      </c>
    </row>
    <row r="791" spans="1:18" x14ac:dyDescent="0.35">
      <c r="A791" s="64" t="s">
        <v>77</v>
      </c>
      <c r="B791" s="14">
        <v>-1.9542302175314941E-3</v>
      </c>
      <c r="C791" s="12">
        <v>-9.4751802916248629E-4</v>
      </c>
      <c r="D791" s="12">
        <v>2.5132104652660914E-3</v>
      </c>
      <c r="E791" s="12">
        <v>3.1264075457702045E-3</v>
      </c>
      <c r="F791" s="12">
        <v>-6.4156461341619009E-3</v>
      </c>
      <c r="G791" s="12">
        <v>-8.0000000000000071E-3</v>
      </c>
      <c r="H791" s="12">
        <v>-6.2917813605989359E-4</v>
      </c>
      <c r="I791" s="12">
        <v>-2.3111543607833296E-3</v>
      </c>
      <c r="J791" s="12">
        <v>-3.1818181818181746E-3</v>
      </c>
      <c r="K791" s="12">
        <v>4.6136101499423265E-3</v>
      </c>
      <c r="L791" s="12">
        <v>1.2128072445016791E-4</v>
      </c>
      <c r="M791" s="13">
        <f t="shared" si="85"/>
        <v>1.7325270321005262E-3</v>
      </c>
      <c r="N791" s="32">
        <f t="shared" si="86"/>
        <v>155.03517160664742</v>
      </c>
      <c r="O791" s="32">
        <f t="shared" si="87"/>
        <v>133.79682446339325</v>
      </c>
      <c r="P791" s="12" t="str">
        <f t="shared" si="88"/>
        <v/>
      </c>
      <c r="Q791" s="13">
        <f t="shared" si="89"/>
        <v>3.6867572496320205E-3</v>
      </c>
      <c r="R791" s="49">
        <f t="shared" si="90"/>
        <v>1</v>
      </c>
    </row>
    <row r="792" spans="1:18" x14ac:dyDescent="0.35">
      <c r="A792" s="64" t="s">
        <v>77</v>
      </c>
      <c r="B792" s="14">
        <v>9.801271528184774E-4</v>
      </c>
      <c r="C792" s="12">
        <v>3.2140787185837016E-3</v>
      </c>
      <c r="D792" s="12">
        <v>5.1423796361782514E-4</v>
      </c>
      <c r="E792" s="12">
        <v>1.08026729352102E-2</v>
      </c>
      <c r="F792" s="12">
        <v>-5.6292426277158025E-3</v>
      </c>
      <c r="G792" s="12">
        <v>2.313590692755163E-3</v>
      </c>
      <c r="H792" s="12">
        <v>-4.7218068780986444E-3</v>
      </c>
      <c r="I792" s="12">
        <v>9.8756400877835215E-3</v>
      </c>
      <c r="J792" s="12">
        <v>1.399908800729599E-2</v>
      </c>
      <c r="K792" s="12">
        <v>1.1863758132415025E-2</v>
      </c>
      <c r="L792" s="12">
        <v>4.4464206313921117E-4</v>
      </c>
      <c r="M792" s="13">
        <f t="shared" si="85"/>
        <v>6.2739761744085264E-3</v>
      </c>
      <c r="N792" s="32">
        <f t="shared" si="86"/>
        <v>156.00785857950288</v>
      </c>
      <c r="O792" s="32">
        <f t="shared" si="87"/>
        <v>133.92796236401071</v>
      </c>
      <c r="P792" s="12" t="str">
        <f t="shared" si="88"/>
        <v/>
      </c>
      <c r="Q792" s="13">
        <f t="shared" si="89"/>
        <v>5.293849021590049E-3</v>
      </c>
      <c r="R792" s="49">
        <f t="shared" si="90"/>
        <v>1</v>
      </c>
    </row>
    <row r="793" spans="1:18" x14ac:dyDescent="0.35">
      <c r="A793" s="64" t="s">
        <v>77</v>
      </c>
      <c r="B793" s="14">
        <v>-9.4623580371877569E-4</v>
      </c>
      <c r="C793" s="12">
        <v>-5.4096638655461993E-3</v>
      </c>
      <c r="D793" s="12">
        <v>4.8827497590748781E-3</v>
      </c>
      <c r="E793" s="12">
        <v>-1.006009929448648E-2</v>
      </c>
      <c r="F793" s="12">
        <v>-1.0267700220154219E-2</v>
      </c>
      <c r="G793" s="12">
        <v>3.1656004748401578E-3</v>
      </c>
      <c r="H793" s="12">
        <v>5.1000237210405697E-3</v>
      </c>
      <c r="I793" s="12">
        <v>1.068453458891705E-2</v>
      </c>
      <c r="J793" s="12">
        <v>9.2638395467015133E-3</v>
      </c>
      <c r="K793" s="12">
        <v>-1.6074130105900197E-2</v>
      </c>
      <c r="L793" s="12">
        <v>7.8787878787878185E-3</v>
      </c>
      <c r="M793" s="13">
        <f t="shared" si="85"/>
        <v>-2.5590828097501453E-4</v>
      </c>
      <c r="N793" s="32">
        <f t="shared" si="86"/>
        <v>155.96793487659522</v>
      </c>
      <c r="O793" s="32">
        <f t="shared" si="87"/>
        <v>133.80123493090278</v>
      </c>
      <c r="P793" s="12">
        <f t="shared" si="88"/>
        <v>-2.5590828097501453E-4</v>
      </c>
      <c r="Q793" s="13">
        <f t="shared" si="89"/>
        <v>6.9032752274376117E-4</v>
      </c>
      <c r="R793" s="49" t="str">
        <f t="shared" si="90"/>
        <v/>
      </c>
    </row>
    <row r="794" spans="1:18" x14ac:dyDescent="0.35">
      <c r="A794" s="64" t="s">
        <v>77</v>
      </c>
      <c r="B794" s="14">
        <v>3.7841330116161753E-3</v>
      </c>
      <c r="C794" s="12">
        <v>3.0627871362940429E-3</v>
      </c>
      <c r="D794" s="12">
        <v>1.3745924173646173E-2</v>
      </c>
      <c r="E794" s="12">
        <v>1.583740266595246E-4</v>
      </c>
      <c r="F794" s="12">
        <v>3.3627425324311178E-2</v>
      </c>
      <c r="G794" s="12">
        <v>1.6764183814344857E-2</v>
      </c>
      <c r="H794" s="12">
        <v>9.6369429256972783E-3</v>
      </c>
      <c r="I794" s="12">
        <v>1.994863525055246E-2</v>
      </c>
      <c r="J794" s="12">
        <v>3.2081272557144658E-2</v>
      </c>
      <c r="K794" s="12">
        <v>-2.4985585239285513E-3</v>
      </c>
      <c r="L794" s="12">
        <v>5.0912006414112199E-3</v>
      </c>
      <c r="M794" s="13">
        <f t="shared" si="85"/>
        <v>7.9450413371960904E-3</v>
      </c>
      <c r="N794" s="32">
        <f t="shared" si="86"/>
        <v>157.2071065664669</v>
      </c>
      <c r="O794" s="32">
        <f t="shared" si="87"/>
        <v>134.30755660099982</v>
      </c>
      <c r="P794" s="12" t="str">
        <f t="shared" si="88"/>
        <v/>
      </c>
      <c r="Q794" s="13">
        <f t="shared" si="89"/>
        <v>4.1609083255799151E-3</v>
      </c>
      <c r="R794" s="49">
        <f t="shared" si="90"/>
        <v>1</v>
      </c>
    </row>
    <row r="795" spans="1:18" x14ac:dyDescent="0.35">
      <c r="A795" s="64">
        <v>11.34</v>
      </c>
      <c r="B795" s="14">
        <v>5.873724769035471E-3</v>
      </c>
      <c r="C795" s="12">
        <v>6.7912608581206513E-3</v>
      </c>
      <c r="D795" s="12">
        <v>1.2550454086781127E-2</v>
      </c>
      <c r="E795" s="12">
        <v>-1.1612256208598404E-2</v>
      </c>
      <c r="F795" s="12">
        <v>-1.0506899108450818E-2</v>
      </c>
      <c r="G795" s="12">
        <v>2.4052760894866188E-2</v>
      </c>
      <c r="H795" s="12">
        <v>-8.9605734767028711E-4</v>
      </c>
      <c r="I795" s="12">
        <v>1.7508930139954249E-2</v>
      </c>
      <c r="J795" s="12">
        <v>9.6705953460261007E-3</v>
      </c>
      <c r="K795" s="12">
        <v>-8.6705202312138407E-3</v>
      </c>
      <c r="L795" s="12">
        <v>2.4090619017230308E-2</v>
      </c>
      <c r="M795" s="13">
        <f t="shared" si="85"/>
        <v>7.3631062264308258E-3</v>
      </c>
      <c r="N795" s="32">
        <f t="shared" si="86"/>
        <v>158.36463919166562</v>
      </c>
      <c r="O795" s="32">
        <f t="shared" si="87"/>
        <v>135.09644222287574</v>
      </c>
      <c r="P795" s="12" t="str">
        <f t="shared" si="88"/>
        <v/>
      </c>
      <c r="Q795" s="13">
        <f t="shared" si="89"/>
        <v>1.4893814573953548E-3</v>
      </c>
      <c r="R795" s="49">
        <f t="shared" si="90"/>
        <v>1</v>
      </c>
    </row>
    <row r="796" spans="1:18" x14ac:dyDescent="0.35">
      <c r="A796" s="64" t="s">
        <v>77</v>
      </c>
      <c r="B796" s="14">
        <v>-5.4084877345945692E-3</v>
      </c>
      <c r="C796" s="12">
        <v>-9.4645471658648672E-3</v>
      </c>
      <c r="D796" s="12">
        <v>3.4257240734971717E-3</v>
      </c>
      <c r="E796" s="12">
        <v>-1.4338735948305814E-2</v>
      </c>
      <c r="F796" s="12">
        <v>2.0469332553549879E-3</v>
      </c>
      <c r="G796" s="12">
        <v>3.1569642631645856E-3</v>
      </c>
      <c r="H796" s="12">
        <v>-7.8377851433028001E-3</v>
      </c>
      <c r="I796" s="12">
        <v>-2.9350828729280964E-3</v>
      </c>
      <c r="J796" s="12">
        <v>4.27587976226107E-3</v>
      </c>
      <c r="K796" s="12">
        <v>-3.8872691933922177E-4</v>
      </c>
      <c r="L796" s="12">
        <v>-7.8283221685619964E-3</v>
      </c>
      <c r="M796" s="13">
        <f t="shared" si="85"/>
        <v>-3.0352812141741931E-3</v>
      </c>
      <c r="N796" s="32">
        <f t="shared" si="86"/>
        <v>157.88395797733767</v>
      </c>
      <c r="O796" s="32">
        <f t="shared" si="87"/>
        <v>134.36577477212595</v>
      </c>
      <c r="P796" s="12">
        <f t="shared" si="88"/>
        <v>-3.0352812141741931E-3</v>
      </c>
      <c r="Q796" s="13">
        <f t="shared" si="89"/>
        <v>2.3732065204203762E-3</v>
      </c>
      <c r="R796" s="49" t="str">
        <f t="shared" si="90"/>
        <v/>
      </c>
    </row>
    <row r="797" spans="1:18" x14ac:dyDescent="0.35">
      <c r="A797" s="64" t="s">
        <v>77</v>
      </c>
      <c r="B797" s="14">
        <v>-5.6895517946142782E-4</v>
      </c>
      <c r="C797" s="12">
        <v>2.106318956870612E-2</v>
      </c>
      <c r="D797" s="12">
        <v>1.8001241464928874E-3</v>
      </c>
      <c r="E797" s="12">
        <v>9.1564176193315028E-3</v>
      </c>
      <c r="F797" s="12">
        <v>3.6112934996717083E-3</v>
      </c>
      <c r="G797" s="12">
        <v>-2.0770392749244193E-3</v>
      </c>
      <c r="H797" s="12">
        <v>6.6813394120424086E-4</v>
      </c>
      <c r="I797" s="12">
        <v>-1.4834054834054755E-2</v>
      </c>
      <c r="J797" s="12">
        <v>-3.0229488653298331E-3</v>
      </c>
      <c r="K797" s="12">
        <v>9.3330740812753721E-3</v>
      </c>
      <c r="L797" s="12">
        <v>1.7271835132481872E-3</v>
      </c>
      <c r="M797" s="13">
        <f t="shared" si="85"/>
        <v>1.2924530531446159E-3</v>
      </c>
      <c r="N797" s="32">
        <f t="shared" si="86"/>
        <v>158.08801558086805</v>
      </c>
      <c r="O797" s="32">
        <f t="shared" si="87"/>
        <v>134.28932666862698</v>
      </c>
      <c r="P797" s="12" t="str">
        <f t="shared" si="88"/>
        <v/>
      </c>
      <c r="Q797" s="13">
        <f t="shared" si="89"/>
        <v>1.8614082326060437E-3</v>
      </c>
      <c r="R797" s="49">
        <f t="shared" si="90"/>
        <v>1</v>
      </c>
    </row>
    <row r="798" spans="1:18" x14ac:dyDescent="0.35">
      <c r="A798" s="64" t="s">
        <v>77</v>
      </c>
      <c r="B798" s="14">
        <v>-3.9061302598102365E-3</v>
      </c>
      <c r="C798" s="12">
        <v>-5.6871057801675118E-3</v>
      </c>
      <c r="D798" s="12">
        <v>-6.8777495507775788E-3</v>
      </c>
      <c r="E798" s="12">
        <v>-9.9860410179318793E-3</v>
      </c>
      <c r="F798" s="12">
        <v>-1.3266455857231518E-3</v>
      </c>
      <c r="G798" s="12">
        <v>-1.2172816146326149E-2</v>
      </c>
      <c r="H798" s="12">
        <v>-1.2568241624446586E-3</v>
      </c>
      <c r="I798" s="12">
        <v>-1.8572767752519481E-2</v>
      </c>
      <c r="J798" s="12">
        <v>1.1658694909463474E-2</v>
      </c>
      <c r="K798" s="12">
        <v>-1.0787902138316263E-2</v>
      </c>
      <c r="L798" s="12">
        <v>3.0565461029037344E-3</v>
      </c>
      <c r="M798" s="13">
        <f t="shared" si="85"/>
        <v>-8.7462492276133216E-3</v>
      </c>
      <c r="N798" s="32">
        <f t="shared" si="86"/>
        <v>156.70533839669895</v>
      </c>
      <c r="O798" s="32">
        <f t="shared" si="87"/>
        <v>133.76477506615711</v>
      </c>
      <c r="P798" s="12">
        <f t="shared" si="88"/>
        <v>-8.7462492276133216E-3</v>
      </c>
      <c r="Q798" s="13">
        <f t="shared" si="89"/>
        <v>-4.8401189678030851E-3</v>
      </c>
      <c r="R798" s="49" t="str">
        <f t="shared" si="90"/>
        <v/>
      </c>
    </row>
    <row r="799" spans="1:18" x14ac:dyDescent="0.35">
      <c r="A799" s="64" t="s">
        <v>77</v>
      </c>
      <c r="B799" s="14">
        <v>7.9681887922204986E-3</v>
      </c>
      <c r="C799" s="12">
        <v>1.0139351081530856E-2</v>
      </c>
      <c r="D799" s="12">
        <v>-3.7434489643128899E-4</v>
      </c>
      <c r="E799" s="12">
        <v>5.8297180043382912E-3</v>
      </c>
      <c r="F799" s="12">
        <v>-2.2928684512218966E-3</v>
      </c>
      <c r="G799" s="12">
        <v>-7.7895543353339036E-3</v>
      </c>
      <c r="H799" s="12">
        <v>6.016752526642799E-3</v>
      </c>
      <c r="I799" s="12">
        <v>6.626470061488865E-3</v>
      </c>
      <c r="J799" s="12">
        <v>1.8574021697834731E-3</v>
      </c>
      <c r="K799" s="12">
        <v>-1.0321324245374908E-2</v>
      </c>
      <c r="L799" s="12">
        <v>5.6256592569443598E-3</v>
      </c>
      <c r="M799" s="13">
        <f t="shared" si="85"/>
        <v>6.3052164741012029E-4</v>
      </c>
      <c r="N799" s="32">
        <f t="shared" si="86"/>
        <v>156.80414450482277</v>
      </c>
      <c r="O799" s="32">
        <f t="shared" si="87"/>
        <v>134.83063804763316</v>
      </c>
      <c r="P799" s="12" t="str">
        <f t="shared" si="88"/>
        <v/>
      </c>
      <c r="Q799" s="13">
        <f t="shared" si="89"/>
        <v>-7.3376671448103781E-3</v>
      </c>
      <c r="R799" s="49">
        <f t="shared" si="90"/>
        <v>1</v>
      </c>
    </row>
    <row r="800" spans="1:18" x14ac:dyDescent="0.35">
      <c r="A800" s="64">
        <v>11.28</v>
      </c>
      <c r="B800" s="14">
        <v>4.0954381006588214E-3</v>
      </c>
      <c r="C800" s="12">
        <v>7.4123642353425279E-3</v>
      </c>
      <c r="D800" s="12">
        <v>1.0860067407314933E-2</v>
      </c>
      <c r="E800" s="12">
        <v>8.8421620164442771E-3</v>
      </c>
      <c r="F800" s="12">
        <v>2.735878308132822E-3</v>
      </c>
      <c r="G800" s="12">
        <v>-6.3063063063064639E-3</v>
      </c>
      <c r="H800" s="12">
        <v>-3.1271988116643445E-4</v>
      </c>
      <c r="I800" s="12">
        <v>-1.1267939746174571E-3</v>
      </c>
      <c r="J800" s="12">
        <v>3.1053806935490647E-2</v>
      </c>
      <c r="K800" s="12">
        <v>-1.0428964974419586E-2</v>
      </c>
      <c r="L800" s="12">
        <v>8.1193426828793935E-3</v>
      </c>
      <c r="M800" s="13">
        <f t="shared" si="85"/>
        <v>3.0414605656923508E-3</v>
      </c>
      <c r="N800" s="32">
        <f t="shared" si="86"/>
        <v>157.2810581268713</v>
      </c>
      <c r="O800" s="32">
        <f t="shared" si="87"/>
        <v>135.38282857982958</v>
      </c>
      <c r="P800" s="12" t="str">
        <f t="shared" si="88"/>
        <v/>
      </c>
      <c r="Q800" s="13">
        <f t="shared" si="89"/>
        <v>-1.0539775349664706E-3</v>
      </c>
      <c r="R800" s="49">
        <f t="shared" si="90"/>
        <v>1</v>
      </c>
    </row>
    <row r="801" spans="1:18" x14ac:dyDescent="0.35">
      <c r="A801" s="64" t="s">
        <v>77</v>
      </c>
      <c r="B801" s="14">
        <v>3.9245325636296791E-3</v>
      </c>
      <c r="C801" s="12">
        <v>-1.2927290378621392E-2</v>
      </c>
      <c r="D801" s="12">
        <v>9.5702642627808476E-3</v>
      </c>
      <c r="E801" s="12">
        <v>-7.8294097212944225E-3</v>
      </c>
      <c r="F801" s="12">
        <v>-1.1077359623115179E-2</v>
      </c>
      <c r="G801" s="12">
        <v>4.1445408625826463E-3</v>
      </c>
      <c r="H801" s="12">
        <v>3.0499726284507478E-3</v>
      </c>
      <c r="I801" s="12">
        <v>-2.3748738348283727E-4</v>
      </c>
      <c r="J801" s="12">
        <v>1.3812832039231893E-2</v>
      </c>
      <c r="K801" s="12">
        <v>2.38616027043137E-3</v>
      </c>
      <c r="L801" s="12">
        <v>5.4720616570327341E-3</v>
      </c>
      <c r="M801" s="13">
        <f t="shared" si="85"/>
        <v>2.9596593166623416E-3</v>
      </c>
      <c r="N801" s="32">
        <f t="shared" si="86"/>
        <v>157.746556475891</v>
      </c>
      <c r="O801" s="32">
        <f t="shared" si="87"/>
        <v>135.91414289914741</v>
      </c>
      <c r="P801" s="12" t="str">
        <f t="shared" si="88"/>
        <v/>
      </c>
      <c r="Q801" s="13">
        <f t="shared" si="89"/>
        <v>-9.6487324696733741E-4</v>
      </c>
      <c r="R801" s="49">
        <f t="shared" si="90"/>
        <v>1</v>
      </c>
    </row>
    <row r="802" spans="1:18" x14ac:dyDescent="0.35">
      <c r="A802" s="64" t="s">
        <v>77</v>
      </c>
      <c r="B802" s="14">
        <v>4.599302532861449E-3</v>
      </c>
      <c r="C802" s="12">
        <v>7.9200745418781526E-3</v>
      </c>
      <c r="D802" s="12">
        <v>7.3390006727418466E-3</v>
      </c>
      <c r="E802" s="12">
        <v>8.2951791004577391E-3</v>
      </c>
      <c r="F802" s="12">
        <v>3.7522071806945778E-3</v>
      </c>
      <c r="G802" s="12">
        <v>6.4491164710300808E-5</v>
      </c>
      <c r="H802" s="12">
        <v>1.1850927802900424E-2</v>
      </c>
      <c r="I802" s="12">
        <v>1.5737276560365832E-2</v>
      </c>
      <c r="J802" s="12">
        <v>2.21702676555946E-3</v>
      </c>
      <c r="K802" s="12">
        <v>7.9349335449330205E-4</v>
      </c>
      <c r="L802" s="12">
        <v>1.9546221063926339E-3</v>
      </c>
      <c r="M802" s="13">
        <f t="shared" si="85"/>
        <v>6.7081432428415036E-3</v>
      </c>
      <c r="N802" s="32">
        <f t="shared" si="86"/>
        <v>158.80474297279628</v>
      </c>
      <c r="O802" s="32">
        <f t="shared" si="87"/>
        <v>136.53925316083516</v>
      </c>
      <c r="P802" s="12" t="str">
        <f t="shared" si="88"/>
        <v/>
      </c>
      <c r="Q802" s="13">
        <f t="shared" si="89"/>
        <v>2.1088407099800546E-3</v>
      </c>
      <c r="R802" s="49">
        <f t="shared" si="90"/>
        <v>1</v>
      </c>
    </row>
    <row r="803" spans="1:18" x14ac:dyDescent="0.35">
      <c r="A803" s="64">
        <v>11.3</v>
      </c>
      <c r="B803" s="14">
        <v>1.3650752632599072E-2</v>
      </c>
      <c r="C803" s="12">
        <v>1.6691489908068347E-2</v>
      </c>
      <c r="D803" s="12">
        <v>-6.6176917005646985E-3</v>
      </c>
      <c r="E803" s="12">
        <v>-2.6710828569864731E-5</v>
      </c>
      <c r="F803" s="12">
        <v>6.0287326834274069E-3</v>
      </c>
      <c r="G803" s="12">
        <v>4.6430644225188278E-3</v>
      </c>
      <c r="H803" s="12">
        <v>1.0864539990753652E-2</v>
      </c>
      <c r="I803" s="12">
        <v>2.0579981290926197E-2</v>
      </c>
      <c r="J803" s="12">
        <v>9.1702529863653126E-3</v>
      </c>
      <c r="K803" s="12">
        <v>1.7839444995044529E-2</v>
      </c>
      <c r="L803" s="12">
        <v>2.5016256741766441E-2</v>
      </c>
      <c r="M803" s="13">
        <f t="shared" si="85"/>
        <v>1.0389787831993201E-2</v>
      </c>
      <c r="N803" s="32">
        <f t="shared" si="86"/>
        <v>160.45469055899784</v>
      </c>
      <c r="O803" s="32">
        <f t="shared" si="87"/>
        <v>138.40311673037354</v>
      </c>
      <c r="P803" s="12" t="str">
        <f t="shared" si="88"/>
        <v/>
      </c>
      <c r="Q803" s="13">
        <f t="shared" si="89"/>
        <v>-3.2609648006058714E-3</v>
      </c>
      <c r="R803" s="49">
        <f t="shared" si="90"/>
        <v>1</v>
      </c>
    </row>
    <row r="804" spans="1:18" x14ac:dyDescent="0.35">
      <c r="A804" s="64" t="s">
        <v>77</v>
      </c>
      <c r="B804" s="14">
        <v>2.6470706954828671E-3</v>
      </c>
      <c r="C804" s="12">
        <v>7.5772883410785141E-4</v>
      </c>
      <c r="D804" s="12">
        <v>-4.3393228211711099E-3</v>
      </c>
      <c r="E804" s="12">
        <v>-2.2544541496380632E-2</v>
      </c>
      <c r="F804" s="12">
        <v>-2.6902970801989001E-2</v>
      </c>
      <c r="G804" s="12">
        <v>6.9324090121318793E-3</v>
      </c>
      <c r="H804" s="12">
        <v>-1.3911121274487348E-2</v>
      </c>
      <c r="I804" s="12">
        <v>2.4633363886342963E-2</v>
      </c>
      <c r="J804" s="12">
        <v>2.1242676656968662E-2</v>
      </c>
      <c r="K804" s="12">
        <v>-1.226874391431354E-2</v>
      </c>
      <c r="L804" s="12">
        <v>6.4186289510019812E-2</v>
      </c>
      <c r="M804" s="13">
        <f t="shared" si="85"/>
        <v>8.5944777420478811E-3</v>
      </c>
      <c r="N804" s="32">
        <f t="shared" si="86"/>
        <v>161.83371482561432</v>
      </c>
      <c r="O804" s="32">
        <f t="shared" si="87"/>
        <v>138.769479564834</v>
      </c>
      <c r="P804" s="12" t="str">
        <f t="shared" si="88"/>
        <v/>
      </c>
      <c r="Q804" s="13">
        <f t="shared" si="89"/>
        <v>5.947407046565014E-3</v>
      </c>
      <c r="R804" s="49">
        <f t="shared" si="90"/>
        <v>1</v>
      </c>
    </row>
    <row r="805" spans="1:18" x14ac:dyDescent="0.35">
      <c r="A805" s="64" t="s">
        <v>77</v>
      </c>
      <c r="B805" s="14">
        <v>-7.6278458751466438E-5</v>
      </c>
      <c r="C805" s="12">
        <v>-2.7257584170411464E-3</v>
      </c>
      <c r="D805" s="12">
        <v>-4.1740838499785271E-3</v>
      </c>
      <c r="E805" s="12">
        <v>1.3117262864482226E-2</v>
      </c>
      <c r="F805" s="12">
        <v>-5.8400718778077731E-3</v>
      </c>
      <c r="G805" s="12">
        <v>-1.0900745840504933E-2</v>
      </c>
      <c r="H805" s="12">
        <v>-2.7055231322229423E-3</v>
      </c>
      <c r="I805" s="12">
        <v>9.2250922509222733E-3</v>
      </c>
      <c r="J805" s="12">
        <v>3.1337808304714221E-2</v>
      </c>
      <c r="K805" s="12">
        <v>3.7460567823344171E-3</v>
      </c>
      <c r="L805" s="12">
        <v>1.9988077287231842E-3</v>
      </c>
      <c r="M805" s="13">
        <f t="shared" si="85"/>
        <v>3.6306841592485444E-3</v>
      </c>
      <c r="N805" s="32">
        <f t="shared" si="86"/>
        <v>162.42128193046403</v>
      </c>
      <c r="O805" s="32">
        <f t="shared" si="87"/>
        <v>138.75889444281106</v>
      </c>
      <c r="P805" s="12" t="str">
        <f t="shared" si="88"/>
        <v/>
      </c>
      <c r="Q805" s="13">
        <f t="shared" si="89"/>
        <v>3.7069626180000108E-3</v>
      </c>
      <c r="R805" s="49">
        <f t="shared" si="90"/>
        <v>1</v>
      </c>
    </row>
    <row r="806" spans="1:18" x14ac:dyDescent="0.35">
      <c r="A806" s="64" t="s">
        <v>77</v>
      </c>
      <c r="B806" s="14">
        <v>4.5283194785548098E-3</v>
      </c>
      <c r="C806" s="12">
        <v>-8.503315280660062E-3</v>
      </c>
      <c r="D806" s="12">
        <v>3.1436848918202642E-3</v>
      </c>
      <c r="E806" s="12">
        <v>5.1789712189462822E-3</v>
      </c>
      <c r="F806" s="12">
        <v>-8.6044585027866827E-3</v>
      </c>
      <c r="G806" s="12">
        <v>1.8045888115494346E-3</v>
      </c>
      <c r="H806" s="12">
        <v>1.3176762391970964E-3</v>
      </c>
      <c r="I806" s="12">
        <v>1.2464683397041654E-2</v>
      </c>
      <c r="J806" s="12">
        <v>-1.4606273886555221E-2</v>
      </c>
      <c r="K806" s="12">
        <v>1.4731879787860835E-2</v>
      </c>
      <c r="L806" s="12">
        <v>-1.0499055085055886E-4</v>
      </c>
      <c r="M806" s="13">
        <f t="shared" si="85"/>
        <v>7.2615999243122306E-3</v>
      </c>
      <c r="N806" s="32">
        <f t="shared" si="86"/>
        <v>163.60072029903699</v>
      </c>
      <c r="O806" s="32">
        <f t="shared" si="87"/>
        <v>139.38723904733916</v>
      </c>
      <c r="P806" s="12" t="str">
        <f t="shared" si="88"/>
        <v/>
      </c>
      <c r="Q806" s="13">
        <f t="shared" si="89"/>
        <v>2.7332804457574208E-3</v>
      </c>
      <c r="R806" s="49">
        <f t="shared" si="90"/>
        <v>1</v>
      </c>
    </row>
    <row r="807" spans="1:18" x14ac:dyDescent="0.35">
      <c r="A807" s="64" t="s">
        <v>77</v>
      </c>
      <c r="B807" s="14">
        <v>5.8663955313296157E-3</v>
      </c>
      <c r="C807" s="12">
        <v>5.360151105212152E-3</v>
      </c>
      <c r="D807" s="12">
        <v>-7.2508295440580905E-3</v>
      </c>
      <c r="E807" s="12">
        <v>1.6369247282974619E-3</v>
      </c>
      <c r="F807" s="12">
        <v>-4.7668787389612E-3</v>
      </c>
      <c r="G807" s="12">
        <v>6.562017498713324E-3</v>
      </c>
      <c r="H807" s="12">
        <v>6.2700777954096676E-3</v>
      </c>
      <c r="I807" s="12">
        <v>1.6360253884876386E-2</v>
      </c>
      <c r="J807" s="12">
        <v>1.1904304750201433E-2</v>
      </c>
      <c r="K807" s="12">
        <v>3.4843205574914826E-3</v>
      </c>
      <c r="L807" s="12">
        <v>2.5375380630709543E-2</v>
      </c>
      <c r="M807" s="13">
        <f t="shared" si="85"/>
        <v>6.4833485258896876E-3</v>
      </c>
      <c r="N807" s="32">
        <f t="shared" si="86"/>
        <v>164.66140078782226</v>
      </c>
      <c r="O807" s="32">
        <f t="shared" si="87"/>
        <v>140.20493972361083</v>
      </c>
      <c r="P807" s="12" t="str">
        <f t="shared" si="88"/>
        <v/>
      </c>
      <c r="Q807" s="13">
        <f t="shared" si="89"/>
        <v>6.1695299456007192E-4</v>
      </c>
      <c r="R807" s="49">
        <f t="shared" si="90"/>
        <v>1</v>
      </c>
    </row>
    <row r="808" spans="1:18" x14ac:dyDescent="0.35">
      <c r="A808" s="64">
        <v>11.3</v>
      </c>
      <c r="B808" s="14">
        <v>-1.4684263175886003E-2</v>
      </c>
      <c r="C808" s="12">
        <v>-1.0713923022240168E-2</v>
      </c>
      <c r="D808" s="12">
        <v>-9.3463728645704069E-3</v>
      </c>
      <c r="E808" s="12">
        <v>-7.0728178749396298E-3</v>
      </c>
      <c r="F808" s="12">
        <v>-1.5475917868865041E-2</v>
      </c>
      <c r="G808" s="12">
        <v>-2.0388597724658064E-2</v>
      </c>
      <c r="H808" s="12">
        <v>-1.1077349128812641E-2</v>
      </c>
      <c r="I808" s="12">
        <v>-2.7456258411843848E-2</v>
      </c>
      <c r="J808" s="12">
        <v>-1.2371447003908687E-2</v>
      </c>
      <c r="K808" s="12">
        <v>-1.157407407407407E-2</v>
      </c>
      <c r="L808" s="12">
        <v>-1.1093664664117986E-2</v>
      </c>
      <c r="M808" s="13">
        <f t="shared" si="85"/>
        <v>-1.3313349117141075E-2</v>
      </c>
      <c r="N808" s="32">
        <f t="shared" si="86"/>
        <v>162.46920607301649</v>
      </c>
      <c r="O808" s="32">
        <f t="shared" si="87"/>
        <v>138.14613349015011</v>
      </c>
      <c r="P808" s="12">
        <f t="shared" si="88"/>
        <v>-1.3313349117141075E-2</v>
      </c>
      <c r="Q808" s="13">
        <f t="shared" si="89"/>
        <v>1.3709140587449282E-3</v>
      </c>
      <c r="R808" s="49" t="str">
        <f t="shared" si="90"/>
        <v/>
      </c>
    </row>
    <row r="809" spans="1:18" x14ac:dyDescent="0.35">
      <c r="A809" s="64" t="s">
        <v>77</v>
      </c>
      <c r="B809" s="14">
        <v>1.030148882054327E-2</v>
      </c>
      <c r="C809" s="12">
        <v>-7.6990196581638859E-4</v>
      </c>
      <c r="D809" s="12">
        <v>4.5610746641673305E-3</v>
      </c>
      <c r="E809" s="12">
        <v>7.8786897630997998E-3</v>
      </c>
      <c r="F809" s="12">
        <v>7.6560773748377553E-3</v>
      </c>
      <c r="G809" s="12">
        <v>1.024336138839943E-2</v>
      </c>
      <c r="H809" s="12">
        <v>9.4512076543113999E-3</v>
      </c>
      <c r="I809" s="12">
        <v>2.2917243288126166E-2</v>
      </c>
      <c r="J809" s="12">
        <v>6.8011527377520586E-3</v>
      </c>
      <c r="K809" s="12">
        <v>7.0257611241217877E-3</v>
      </c>
      <c r="L809" s="12">
        <v>1.2426219322771992E-3</v>
      </c>
      <c r="M809" s="13">
        <f t="shared" si="85"/>
        <v>8.54339618551315E-3</v>
      </c>
      <c r="N809" s="32">
        <f t="shared" si="86"/>
        <v>163.85724486844407</v>
      </c>
      <c r="O809" s="32">
        <f t="shared" si="87"/>
        <v>139.56924433990017</v>
      </c>
      <c r="P809" s="12" t="str">
        <f t="shared" si="88"/>
        <v/>
      </c>
      <c r="Q809" s="13">
        <f t="shared" si="89"/>
        <v>-1.7580926350301198E-3</v>
      </c>
      <c r="R809" s="49">
        <f t="shared" si="90"/>
        <v>1</v>
      </c>
    </row>
    <row r="810" spans="1:18" x14ac:dyDescent="0.35">
      <c r="A810" s="64" t="s">
        <v>77</v>
      </c>
      <c r="B810" s="14">
        <v>1.6600832148312428E-3</v>
      </c>
      <c r="C810" s="12">
        <v>-5.5475652352579008E-3</v>
      </c>
      <c r="D810" s="12">
        <v>8.4587635278019491E-3</v>
      </c>
      <c r="E810" s="12">
        <v>2.7841730470632431E-3</v>
      </c>
      <c r="F810" s="12">
        <v>8.2711394937273752E-4</v>
      </c>
      <c r="G810" s="12">
        <v>4.0041332988891565E-3</v>
      </c>
      <c r="H810" s="12">
        <v>-4.2767974108037787E-3</v>
      </c>
      <c r="I810" s="12">
        <v>4.2210076302831023E-3</v>
      </c>
      <c r="J810" s="12">
        <v>-6.0300740401495467E-3</v>
      </c>
      <c r="K810" s="12">
        <v>1.2015503875968836E-2</v>
      </c>
      <c r="L810" s="12">
        <v>9.9975867893964399E-4</v>
      </c>
      <c r="M810" s="13">
        <f t="shared" si="85"/>
        <v>6.381291849788904E-3</v>
      </c>
      <c r="N810" s="32">
        <f t="shared" si="86"/>
        <v>164.90286576965195</v>
      </c>
      <c r="O810" s="32">
        <f t="shared" si="87"/>
        <v>139.80094089973551</v>
      </c>
      <c r="P810" s="12" t="str">
        <f t="shared" si="88"/>
        <v/>
      </c>
      <c r="Q810" s="13">
        <f t="shared" si="89"/>
        <v>4.7212086349576613E-3</v>
      </c>
      <c r="R810" s="49">
        <f t="shared" si="90"/>
        <v>1</v>
      </c>
    </row>
    <row r="811" spans="1:18" x14ac:dyDescent="0.35">
      <c r="A811" s="64" t="s">
        <v>77</v>
      </c>
      <c r="B811" s="14">
        <v>4.2316647141837915E-3</v>
      </c>
      <c r="C811" s="12">
        <v>-2.8409090909089496E-3</v>
      </c>
      <c r="D811" s="12">
        <v>6.5992352288146705E-3</v>
      </c>
      <c r="E811" s="12">
        <v>2.1357253457221503E-4</v>
      </c>
      <c r="F811" s="12">
        <v>-5.3814072379920752E-4</v>
      </c>
      <c r="G811" s="12">
        <v>4.3741155281100674E-3</v>
      </c>
      <c r="H811" s="12">
        <v>2.8247494485935665E-3</v>
      </c>
      <c r="I811" s="12">
        <v>2.1016328070271317E-3</v>
      </c>
      <c r="J811" s="12">
        <v>9.0231915220397862E-3</v>
      </c>
      <c r="K811" s="12">
        <v>-1.5319800842589215E-3</v>
      </c>
      <c r="L811" s="12">
        <v>1.8149882903981229E-2</v>
      </c>
      <c r="M811" s="13">
        <f t="shared" si="85"/>
        <v>4.9917265978184381E-3</v>
      </c>
      <c r="N811" s="32">
        <f t="shared" si="86"/>
        <v>165.72601579077082</v>
      </c>
      <c r="O811" s="32">
        <f t="shared" si="87"/>
        <v>140.39253160835062</v>
      </c>
      <c r="P811" s="12" t="str">
        <f t="shared" si="88"/>
        <v/>
      </c>
      <c r="Q811" s="13">
        <f t="shared" si="89"/>
        <v>7.600618836346466E-4</v>
      </c>
      <c r="R811" s="49">
        <f t="shared" si="90"/>
        <v>1</v>
      </c>
    </row>
    <row r="812" spans="1:18" x14ac:dyDescent="0.35">
      <c r="A812" s="64" t="s">
        <v>77</v>
      </c>
      <c r="B812" s="14">
        <v>1.430441384365766E-3</v>
      </c>
      <c r="C812" s="12">
        <v>5.180005180005498E-4</v>
      </c>
      <c r="D812" s="12">
        <v>1.5317688867104717E-3</v>
      </c>
      <c r="E812" s="12">
        <v>-1.5747611167459263E-3</v>
      </c>
      <c r="F812" s="12">
        <v>5.3073861123396071E-3</v>
      </c>
      <c r="G812" s="12">
        <v>1.3449468425772437E-3</v>
      </c>
      <c r="H812" s="12">
        <v>-8.8748263620941348E-4</v>
      </c>
      <c r="I812" s="12">
        <v>5.9152505915249787E-3</v>
      </c>
      <c r="J812" s="12">
        <v>-2.6256706876213176E-3</v>
      </c>
      <c r="K812" s="12">
        <v>9.3977752205600673E-3</v>
      </c>
      <c r="L812" s="12">
        <v>8.4226905253188544E-3</v>
      </c>
      <c r="M812" s="13">
        <f t="shared" si="85"/>
        <v>4.8768213037674417E-3</v>
      </c>
      <c r="N812" s="32">
        <f t="shared" si="86"/>
        <v>166.53423195516777</v>
      </c>
      <c r="O812" s="32">
        <f t="shared" si="87"/>
        <v>140.59335489561909</v>
      </c>
      <c r="P812" s="12" t="str">
        <f t="shared" si="88"/>
        <v/>
      </c>
      <c r="Q812" s="13">
        <f t="shared" si="89"/>
        <v>3.4463799194016757E-3</v>
      </c>
      <c r="R812" s="49">
        <f t="shared" si="90"/>
        <v>1</v>
      </c>
    </row>
    <row r="813" spans="1:18" x14ac:dyDescent="0.35">
      <c r="A813" s="64">
        <v>11.27</v>
      </c>
      <c r="B813" s="14">
        <v>3.7017052940679918E-4</v>
      </c>
      <c r="C813" s="12">
        <v>2.2262490292519477E-3</v>
      </c>
      <c r="D813" s="12">
        <v>1.7741343447936764E-3</v>
      </c>
      <c r="E813" s="12">
        <v>3.2346886946292841E-3</v>
      </c>
      <c r="F813" s="12">
        <v>4.0360374146406475E-3</v>
      </c>
      <c r="G813" s="12">
        <v>1.4710585225456985E-3</v>
      </c>
      <c r="H813" s="12">
        <v>5.6772100567719086E-3</v>
      </c>
      <c r="I813" s="12">
        <v>3.9559499625789751E-3</v>
      </c>
      <c r="J813" s="12">
        <v>-6.676840900419645E-3</v>
      </c>
      <c r="K813" s="12">
        <v>-2.0900627018810569E-3</v>
      </c>
      <c r="L813" s="12">
        <v>-4.1593988997719045E-3</v>
      </c>
      <c r="M813" s="13">
        <f t="shared" si="85"/>
        <v>5.2294204008633994E-4</v>
      </c>
      <c r="N813" s="32">
        <f t="shared" si="86"/>
        <v>166.6213197061706</v>
      </c>
      <c r="O813" s="32">
        <f t="shared" si="87"/>
        <v>140.64539841223188</v>
      </c>
      <c r="P813" s="12" t="str">
        <f t="shared" si="88"/>
        <v/>
      </c>
      <c r="Q813" s="13">
        <f t="shared" si="89"/>
        <v>1.5277151067954076E-4</v>
      </c>
      <c r="R813" s="49">
        <f t="shared" si="90"/>
        <v>1</v>
      </c>
    </row>
    <row r="814" spans="1:18" x14ac:dyDescent="0.35">
      <c r="A814" s="64" t="s">
        <v>77</v>
      </c>
      <c r="B814" s="14">
        <v>-2.8264709879060046E-3</v>
      </c>
      <c r="C814" s="12">
        <v>-5.4241140613700001E-3</v>
      </c>
      <c r="D814" s="12">
        <v>-1.221374045801471E-3</v>
      </c>
      <c r="E814" s="12">
        <v>2.0251545512686153E-3</v>
      </c>
      <c r="F814" s="12">
        <v>2.9910459135074063E-3</v>
      </c>
      <c r="G814" s="12">
        <v>1.0218418699705634E-3</v>
      </c>
      <c r="H814" s="12">
        <v>-1.9201228878629184E-4</v>
      </c>
      <c r="I814" s="12">
        <v>-2.449414270500605E-3</v>
      </c>
      <c r="J814" s="12">
        <v>1.1907048204340409E-3</v>
      </c>
      <c r="K814" s="12">
        <v>5.7121096725043508E-4</v>
      </c>
      <c r="L814" s="12">
        <v>-4.0757208299648795E-3</v>
      </c>
      <c r="M814" s="13">
        <f t="shared" si="85"/>
        <v>-1.0913019106328391E-3</v>
      </c>
      <c r="N814" s="32">
        <f t="shared" si="86"/>
        <v>166.43948554162307</v>
      </c>
      <c r="O814" s="32">
        <f t="shared" si="87"/>
        <v>140.24786827403722</v>
      </c>
      <c r="P814" s="12">
        <f t="shared" si="88"/>
        <v>-1.0913019106328391E-3</v>
      </c>
      <c r="Q814" s="13">
        <f t="shared" si="89"/>
        <v>1.7351690772731655E-3</v>
      </c>
      <c r="R814" s="49" t="str">
        <f t="shared" si="90"/>
        <v/>
      </c>
    </row>
    <row r="815" spans="1:18" x14ac:dyDescent="0.35">
      <c r="A815" s="64" t="s">
        <v>77</v>
      </c>
      <c r="B815" s="14">
        <v>-5.6605790982068305E-3</v>
      </c>
      <c r="C815" s="12">
        <v>-3.5786630654962903E-2</v>
      </c>
      <c r="D815" s="12">
        <v>-1.2534393151941381E-2</v>
      </c>
      <c r="E815" s="12">
        <v>-1.3748537389639437E-2</v>
      </c>
      <c r="F815" s="12">
        <v>2.444583736965078E-2</v>
      </c>
      <c r="G815" s="12">
        <v>2.0607375271149531E-2</v>
      </c>
      <c r="H815" s="12">
        <v>-5.6846552717496612E-3</v>
      </c>
      <c r="I815" s="12">
        <v>5.1777516814348612E-3</v>
      </c>
      <c r="J815" s="12">
        <v>-3.4144095756924897E-2</v>
      </c>
      <c r="K815" s="12">
        <v>1.0466222645099998E-2</v>
      </c>
      <c r="L815" s="12">
        <v>-1.0011161091757814E-2</v>
      </c>
      <c r="M815" s="13">
        <f t="shared" si="85"/>
        <v>-3.7163969883178749E-3</v>
      </c>
      <c r="N815" s="32">
        <f t="shared" si="86"/>
        <v>165.82093033881901</v>
      </c>
      <c r="O815" s="32">
        <f t="shared" si="87"/>
        <v>139.45398412231714</v>
      </c>
      <c r="P815" s="12">
        <f t="shared" si="88"/>
        <v>-3.7163969883178749E-3</v>
      </c>
      <c r="Q815" s="13">
        <f t="shared" si="89"/>
        <v>1.9441821098889556E-3</v>
      </c>
      <c r="R815" s="49" t="str">
        <f t="shared" si="90"/>
        <v/>
      </c>
    </row>
    <row r="816" spans="1:18" x14ac:dyDescent="0.35">
      <c r="A816" s="64" t="s">
        <v>77</v>
      </c>
      <c r="B816" s="14">
        <v>-8.0163109367190621E-3</v>
      </c>
      <c r="C816" s="12">
        <v>-7.4876104287868728E-3</v>
      </c>
      <c r="D816" s="12">
        <v>-8.6687306501548322E-3</v>
      </c>
      <c r="E816" s="12">
        <v>-7.2801790384768861E-4</v>
      </c>
      <c r="F816" s="12">
        <v>4.9875774094261249E-3</v>
      </c>
      <c r="G816" s="12">
        <v>6.2511720947677762E-3</v>
      </c>
      <c r="H816" s="12">
        <v>-3.4380190829372825E-3</v>
      </c>
      <c r="I816" s="12">
        <v>-1.0567680951622416E-2</v>
      </c>
      <c r="J816" s="12">
        <v>-3.1180489354941221E-2</v>
      </c>
      <c r="K816" s="12">
        <v>0</v>
      </c>
      <c r="L816" s="12">
        <v>-2.8731509002083877E-2</v>
      </c>
      <c r="M816" s="13">
        <f t="shared" si="85"/>
        <v>-9.4047797905793609E-3</v>
      </c>
      <c r="N816" s="32">
        <f t="shared" si="86"/>
        <v>164.26142100431341</v>
      </c>
      <c r="O816" s="32">
        <f t="shared" si="87"/>
        <v>138.33607762422835</v>
      </c>
      <c r="P816" s="12">
        <f t="shared" si="88"/>
        <v>-9.4047797905793609E-3</v>
      </c>
      <c r="Q816" s="13">
        <f t="shared" si="89"/>
        <v>-1.3884688538602988E-3</v>
      </c>
      <c r="R816" s="49" t="str">
        <f t="shared" si="90"/>
        <v/>
      </c>
    </row>
    <row r="817" spans="1:18" x14ac:dyDescent="0.35">
      <c r="A817" s="64">
        <v>11.4</v>
      </c>
      <c r="B817" s="14">
        <v>-3.4284062480738342E-3</v>
      </c>
      <c r="C817" s="12">
        <v>-1.2700135685210334E-2</v>
      </c>
      <c r="D817" s="12">
        <v>4.7470331043100167E-3</v>
      </c>
      <c r="E817" s="12">
        <v>-7.1775499190502856E-3</v>
      </c>
      <c r="F817" s="12">
        <v>6.2542663690201561E-3</v>
      </c>
      <c r="G817" s="12">
        <v>-2.1121948189103401E-3</v>
      </c>
      <c r="H817" s="12">
        <v>6.3183192495541718E-3</v>
      </c>
      <c r="I817" s="12">
        <v>4.4010304851866966E-3</v>
      </c>
      <c r="J817" s="12">
        <v>4.222869091058179E-3</v>
      </c>
      <c r="K817" s="12">
        <v>-9.604519774011222E-3</v>
      </c>
      <c r="L817" s="12">
        <v>6.331340133661767E-3</v>
      </c>
      <c r="M817" s="13">
        <f t="shared" si="85"/>
        <v>8.1839748296537148E-5</v>
      </c>
      <c r="N817" s="32">
        <f t="shared" si="86"/>
        <v>164.27486411766321</v>
      </c>
      <c r="O817" s="32">
        <f t="shared" si="87"/>
        <v>137.86180535136742</v>
      </c>
      <c r="P817" s="12" t="str">
        <f t="shared" si="88"/>
        <v/>
      </c>
      <c r="Q817" s="13">
        <f t="shared" si="89"/>
        <v>3.5102459963703711E-3</v>
      </c>
      <c r="R817" s="49">
        <f t="shared" si="90"/>
        <v>1</v>
      </c>
    </row>
    <row r="818" spans="1:18" x14ac:dyDescent="0.35">
      <c r="A818" s="64" t="s">
        <v>77</v>
      </c>
      <c r="B818" s="14">
        <v>1.8256737503945519E-3</v>
      </c>
      <c r="C818" s="12">
        <v>-4.0129734484084523E-3</v>
      </c>
      <c r="D818" s="12">
        <v>-1.0568195946786152E-2</v>
      </c>
      <c r="E818" s="12">
        <v>-5.1638854161006886E-4</v>
      </c>
      <c r="F818" s="12">
        <v>-1.4740933592460759E-2</v>
      </c>
      <c r="G818" s="12">
        <v>3.1127435721844954E-3</v>
      </c>
      <c r="H818" s="12">
        <v>3.0815453950139293E-4</v>
      </c>
      <c r="I818" s="12">
        <v>1.0259698621353008E-2</v>
      </c>
      <c r="J818" s="12">
        <v>1.6575487874581629E-2</v>
      </c>
      <c r="K818" s="12">
        <v>-6.6552576535463537E-3</v>
      </c>
      <c r="L818" s="12">
        <v>9.8916462775253677E-3</v>
      </c>
      <c r="M818" s="13">
        <f t="shared" si="85"/>
        <v>-8.0476547089842272E-4</v>
      </c>
      <c r="N818" s="32">
        <f t="shared" si="86"/>
        <v>164.14266137928479</v>
      </c>
      <c r="O818" s="32">
        <f t="shared" si="87"/>
        <v>138.11349603057943</v>
      </c>
      <c r="P818" s="12">
        <f t="shared" si="88"/>
        <v>-8.0476547089842272E-4</v>
      </c>
      <c r="Q818" s="13">
        <f t="shared" si="89"/>
        <v>-2.6304392212929744E-3</v>
      </c>
      <c r="R818" s="49" t="str">
        <f t="shared" si="90"/>
        <v/>
      </c>
    </row>
    <row r="819" spans="1:18" x14ac:dyDescent="0.35">
      <c r="A819" s="64" t="s">
        <v>77</v>
      </c>
      <c r="B819" s="14">
        <v>1.4114671594383177E-2</v>
      </c>
      <c r="C819" s="12">
        <v>2.4174853736615542E-2</v>
      </c>
      <c r="D819" s="12">
        <v>1.2440311636089385E-2</v>
      </c>
      <c r="E819" s="12">
        <v>1.8871515975526831E-2</v>
      </c>
      <c r="F819" s="12">
        <v>-1.6003572890692652E-3</v>
      </c>
      <c r="G819" s="12">
        <v>2.4824675727672663E-3</v>
      </c>
      <c r="H819" s="12">
        <v>1.0974623589664612E-2</v>
      </c>
      <c r="I819" s="12">
        <v>7.9339892097740616E-4</v>
      </c>
      <c r="J819" s="12">
        <v>-8.0321285140562249E-2</v>
      </c>
      <c r="K819" s="12">
        <v>9.76263399693722E-3</v>
      </c>
      <c r="L819" s="12">
        <v>1.1490672481223818E-2</v>
      </c>
      <c r="M819" s="13">
        <f t="shared" si="85"/>
        <v>1.0330402119371298E-2</v>
      </c>
      <c r="N819" s="32">
        <f t="shared" si="86"/>
        <v>165.8383210762766</v>
      </c>
      <c r="O819" s="32">
        <f t="shared" si="87"/>
        <v>140.06292266980319</v>
      </c>
      <c r="P819" s="12" t="str">
        <f t="shared" si="88"/>
        <v/>
      </c>
      <c r="Q819" s="13">
        <f t="shared" si="89"/>
        <v>-3.7842694750118786E-3</v>
      </c>
      <c r="R819" s="49">
        <f t="shared" si="90"/>
        <v>1</v>
      </c>
    </row>
    <row r="820" spans="1:18" x14ac:dyDescent="0.35">
      <c r="A820" s="64" t="s">
        <v>77</v>
      </c>
      <c r="B820" s="14">
        <v>-1.4778924917183689E-3</v>
      </c>
      <c r="C820" s="12">
        <v>-2.2634188402673727E-3</v>
      </c>
      <c r="D820" s="12">
        <v>-6.5781308179221343E-3</v>
      </c>
      <c r="E820" s="12">
        <v>2.9357602284556528E-3</v>
      </c>
      <c r="F820" s="12">
        <v>3.4481473197645052E-3</v>
      </c>
      <c r="G820" s="12">
        <v>6.1908004705002462E-4</v>
      </c>
      <c r="H820" s="12">
        <v>3.0090652852896582E-3</v>
      </c>
      <c r="I820" s="12">
        <v>-1.2895724327466773E-2</v>
      </c>
      <c r="J820" s="12">
        <v>-1.4148471615720526E-2</v>
      </c>
      <c r="K820" s="12">
        <v>6.6350710900473509E-3</v>
      </c>
      <c r="L820" s="12">
        <v>1.3686911890520292E-4</v>
      </c>
      <c r="M820" s="13">
        <f t="shared" si="85"/>
        <v>-2.3736400555625136E-3</v>
      </c>
      <c r="N820" s="32">
        <f t="shared" si="86"/>
        <v>165.44468059462272</v>
      </c>
      <c r="O820" s="32">
        <f t="shared" si="87"/>
        <v>139.85592472802136</v>
      </c>
      <c r="P820" s="12">
        <f t="shared" si="88"/>
        <v>-2.3736400555625136E-3</v>
      </c>
      <c r="Q820" s="13">
        <f t="shared" si="89"/>
        <v>-8.9574756384414467E-4</v>
      </c>
      <c r="R820" s="49" t="str">
        <f t="shared" si="90"/>
        <v/>
      </c>
    </row>
    <row r="821" spans="1:18" x14ac:dyDescent="0.35">
      <c r="A821" s="64" t="s">
        <v>77</v>
      </c>
      <c r="B821" s="14">
        <v>5.6659308314936929E-3</v>
      </c>
      <c r="C821" s="12">
        <v>5.6713838176516429E-3</v>
      </c>
      <c r="D821" s="12">
        <v>7.1839080459767946E-3</v>
      </c>
      <c r="E821" s="12">
        <v>1.8574203677585777E-2</v>
      </c>
      <c r="F821" s="12">
        <v>-1.3559447963297222E-3</v>
      </c>
      <c r="G821" s="12">
        <v>1.4848728577616654E-3</v>
      </c>
      <c r="H821" s="12">
        <v>4.6709452018380837E-3</v>
      </c>
      <c r="I821" s="12">
        <v>-9.637522085988226E-3</v>
      </c>
      <c r="J821" s="12">
        <v>9.2133238837703857E-3</v>
      </c>
      <c r="K821" s="12">
        <v>1.2429378531073398E-2</v>
      </c>
      <c r="L821" s="12">
        <v>3.6265352902939973E-3</v>
      </c>
      <c r="M821" s="13">
        <f t="shared" si="85"/>
        <v>6.0959063545018358E-3</v>
      </c>
      <c r="N821" s="32">
        <f t="shared" si="86"/>
        <v>166.453215874378</v>
      </c>
      <c r="O821" s="32">
        <f t="shared" si="87"/>
        <v>140.64833872390491</v>
      </c>
      <c r="P821" s="12" t="str">
        <f t="shared" si="88"/>
        <v/>
      </c>
      <c r="Q821" s="13">
        <f t="shared" si="89"/>
        <v>4.2997552300814285E-4</v>
      </c>
      <c r="R821" s="49">
        <f t="shared" si="90"/>
        <v>1</v>
      </c>
    </row>
    <row r="822" spans="1:18" x14ac:dyDescent="0.35">
      <c r="A822" s="64">
        <v>11.39</v>
      </c>
      <c r="B822" s="14">
        <v>-6.7106377196379796E-4</v>
      </c>
      <c r="C822" s="12">
        <v>-3.2225146355873147E-3</v>
      </c>
      <c r="D822" s="12">
        <v>5.7681572908268031E-3</v>
      </c>
      <c r="E822" s="12">
        <v>4.8593149933380264E-3</v>
      </c>
      <c r="F822" s="12">
        <v>3.7943605386503432E-3</v>
      </c>
      <c r="G822" s="12">
        <v>-4.4480138382653189E-3</v>
      </c>
      <c r="H822" s="12">
        <v>-2.0033262775931426E-3</v>
      </c>
      <c r="I822" s="12">
        <v>3.2437692598796808E-4</v>
      </c>
      <c r="J822" s="12">
        <v>-2.2735252808988804E-2</v>
      </c>
      <c r="K822" s="12">
        <v>-1.1160714285712858E-3</v>
      </c>
      <c r="L822" s="12">
        <v>-4.3974774160560059E-3</v>
      </c>
      <c r="M822" s="13">
        <f t="shared" si="85"/>
        <v>1.3236533382493042E-3</v>
      </c>
      <c r="N822" s="32">
        <f t="shared" si="86"/>
        <v>166.67354222923245</v>
      </c>
      <c r="O822" s="32">
        <f t="shared" si="87"/>
        <v>140.55395471920042</v>
      </c>
      <c r="P822" s="12" t="str">
        <f t="shared" si="88"/>
        <v/>
      </c>
      <c r="Q822" s="13">
        <f t="shared" si="89"/>
        <v>1.9947171102131021E-3</v>
      </c>
      <c r="R822" s="49">
        <f t="shared" si="90"/>
        <v>1</v>
      </c>
    </row>
    <row r="823" spans="1:18" x14ac:dyDescent="0.35">
      <c r="A823" s="64" t="s">
        <v>77</v>
      </c>
      <c r="B823" s="14">
        <v>7.5100831757413111E-4</v>
      </c>
      <c r="C823" s="12">
        <v>1.7781130448837335E-3</v>
      </c>
      <c r="D823" s="12">
        <v>2.2446965959546317E-2</v>
      </c>
      <c r="E823" s="12">
        <v>9.9836206224164226E-3</v>
      </c>
      <c r="F823" s="12">
        <v>-3.3668099614586389E-2</v>
      </c>
      <c r="G823" s="12">
        <v>7.6946943841140758E-3</v>
      </c>
      <c r="H823" s="12">
        <v>5.3024277544233556E-4</v>
      </c>
      <c r="I823" s="12">
        <v>-1.6159541695941249E-2</v>
      </c>
      <c r="J823" s="12">
        <v>-2.2276116051378803E-2</v>
      </c>
      <c r="K823" s="12">
        <v>1.3035381750465813E-3</v>
      </c>
      <c r="L823" s="12">
        <v>-5.6495240703964278E-3</v>
      </c>
      <c r="M823" s="13">
        <f t="shared" si="85"/>
        <v>3.7702595621608745E-3</v>
      </c>
      <c r="N823" s="32">
        <f t="shared" si="86"/>
        <v>167.30194474558144</v>
      </c>
      <c r="O823" s="32">
        <f t="shared" si="87"/>
        <v>140.65951190826249</v>
      </c>
      <c r="P823" s="12" t="str">
        <f t="shared" si="88"/>
        <v/>
      </c>
      <c r="Q823" s="13">
        <f t="shared" si="89"/>
        <v>3.0192512445867434E-3</v>
      </c>
      <c r="R823" s="49">
        <f t="shared" si="90"/>
        <v>1</v>
      </c>
    </row>
    <row r="824" spans="1:18" x14ac:dyDescent="0.35">
      <c r="A824" s="64" t="s">
        <v>77</v>
      </c>
      <c r="B824" s="14">
        <v>-3.7313198838587747E-3</v>
      </c>
      <c r="C824" s="12">
        <v>-1.2317125645438853E-2</v>
      </c>
      <c r="D824" s="12">
        <v>6.9963811821471822E-3</v>
      </c>
      <c r="E824" s="12">
        <v>4.6335624372537687E-3</v>
      </c>
      <c r="F824" s="12">
        <v>-4.5253207033422171E-3</v>
      </c>
      <c r="G824" s="12">
        <v>-1.1515487406859926E-2</v>
      </c>
      <c r="H824" s="12">
        <v>4.0504220766930388E-3</v>
      </c>
      <c r="I824" s="12">
        <v>-5.8778290485607121E-3</v>
      </c>
      <c r="J824" s="12">
        <v>-7.8915939366100085E-2</v>
      </c>
      <c r="K824" s="12">
        <v>3.1616142830572791E-3</v>
      </c>
      <c r="L824" s="12">
        <v>-1.095003615577983E-2</v>
      </c>
      <c r="M824" s="13">
        <f t="shared" si="85"/>
        <v>2.7774827694209293E-4</v>
      </c>
      <c r="N824" s="32">
        <f t="shared" si="86"/>
        <v>167.34841257246359</v>
      </c>
      <c r="O824" s="32">
        <f t="shared" si="87"/>
        <v>140.13466627462532</v>
      </c>
      <c r="P824" s="12" t="str">
        <f t="shared" si="88"/>
        <v/>
      </c>
      <c r="Q824" s="13">
        <f t="shared" si="89"/>
        <v>4.0090681608008676E-3</v>
      </c>
      <c r="R824" s="49">
        <f t="shared" si="90"/>
        <v>1</v>
      </c>
    </row>
    <row r="825" spans="1:18" x14ac:dyDescent="0.35">
      <c r="A825" s="64" t="s">
        <v>77</v>
      </c>
      <c r="B825" s="14">
        <v>-5.6168930629166836E-3</v>
      </c>
      <c r="C825" s="12">
        <v>-5.1734466045852967E-3</v>
      </c>
      <c r="D825" s="12">
        <v>-5.2707235265931907E-3</v>
      </c>
      <c r="E825" s="12">
        <v>-2.0498629154174219E-3</v>
      </c>
      <c r="F825" s="12">
        <v>1.1152845998266603E-2</v>
      </c>
      <c r="G825" s="12">
        <v>-5.6067779715929245E-4</v>
      </c>
      <c r="H825" s="12">
        <v>5.2405368722665546E-3</v>
      </c>
      <c r="I825" s="12">
        <v>1.657733325965971E-4</v>
      </c>
      <c r="J825" s="12">
        <v>1.2667065629363705E-2</v>
      </c>
      <c r="K825" s="12">
        <v>-4.6347793845012975E-3</v>
      </c>
      <c r="L825" s="12">
        <v>-2.9941162134874522E-2</v>
      </c>
      <c r="M825" s="13">
        <f t="shared" si="85"/>
        <v>-7.8314899367894555E-3</v>
      </c>
      <c r="N825" s="32">
        <f t="shared" si="86"/>
        <v>166.03782516346465</v>
      </c>
      <c r="O825" s="32">
        <f t="shared" si="87"/>
        <v>139.34754483975323</v>
      </c>
      <c r="P825" s="12">
        <f t="shared" si="88"/>
        <v>-7.8314899367894555E-3</v>
      </c>
      <c r="Q825" s="13">
        <f t="shared" si="89"/>
        <v>-2.214596873872772E-3</v>
      </c>
      <c r="R825" s="49" t="str">
        <f t="shared" si="90"/>
        <v/>
      </c>
    </row>
    <row r="826" spans="1:18" x14ac:dyDescent="0.35">
      <c r="A826" s="64" t="s">
        <v>77</v>
      </c>
      <c r="B826" s="14">
        <v>8.8052650125229892E-3</v>
      </c>
      <c r="C826" s="12">
        <v>3.257061528355587E-2</v>
      </c>
      <c r="D826" s="12">
        <v>4.5761078998072247E-3</v>
      </c>
      <c r="E826" s="12">
        <v>1.1297404164633873E-2</v>
      </c>
      <c r="F826" s="12">
        <v>-1.6382824703775722E-2</v>
      </c>
      <c r="G826" s="12">
        <v>4.8619335535746711E-3</v>
      </c>
      <c r="H826" s="12">
        <v>5.6632787008212837E-3</v>
      </c>
      <c r="I826" s="12">
        <v>-6.6850828729282386E-3</v>
      </c>
      <c r="J826" s="12">
        <v>4.2105781542401299E-2</v>
      </c>
      <c r="K826" s="12">
        <v>1.3410318495064244E-2</v>
      </c>
      <c r="L826" s="12">
        <v>1.1735993970498404E-2</v>
      </c>
      <c r="M826" s="13">
        <f t="shared" si="85"/>
        <v>6.5365385384278047E-3</v>
      </c>
      <c r="N826" s="32">
        <f t="shared" si="86"/>
        <v>167.12313780648236</v>
      </c>
      <c r="O826" s="32">
        <f t="shared" si="87"/>
        <v>140.57453690091168</v>
      </c>
      <c r="P826" s="12" t="str">
        <f t="shared" si="88"/>
        <v/>
      </c>
      <c r="Q826" s="13">
        <f t="shared" si="89"/>
        <v>-2.2687264740951845E-3</v>
      </c>
      <c r="R826" s="49">
        <f t="shared" si="90"/>
        <v>1</v>
      </c>
    </row>
    <row r="827" spans="1:18" x14ac:dyDescent="0.35">
      <c r="A827" s="64">
        <v>11.25</v>
      </c>
      <c r="B827" s="14">
        <v>1.2313478102632613E-2</v>
      </c>
      <c r="C827" s="12">
        <v>1.5533054127127244E-2</v>
      </c>
      <c r="D827" s="12">
        <v>2.7811076480460217E-2</v>
      </c>
      <c r="E827" s="12">
        <v>1.2186762129636763E-2</v>
      </c>
      <c r="F827" s="12">
        <v>-2.4751132974396794E-2</v>
      </c>
      <c r="G827" s="12">
        <v>2.9154518950438302E-3</v>
      </c>
      <c r="H827" s="12">
        <v>1.0293130454240185E-2</v>
      </c>
      <c r="I827" s="12">
        <v>1.8799710773680367E-2</v>
      </c>
      <c r="J827" s="12">
        <v>1.6114550352062773E-2</v>
      </c>
      <c r="K827" s="12">
        <v>-5.1461128469030282E-3</v>
      </c>
      <c r="L827" s="12">
        <v>1.1990067399787252E-2</v>
      </c>
      <c r="M827" s="13">
        <f t="shared" si="85"/>
        <v>1.3838675837734168E-2</v>
      </c>
      <c r="N827" s="32">
        <f t="shared" si="86"/>
        <v>169.43590073557127</v>
      </c>
      <c r="O827" s="32">
        <f t="shared" si="87"/>
        <v>142.30549838282877</v>
      </c>
      <c r="P827" s="12" t="str">
        <f t="shared" si="88"/>
        <v/>
      </c>
      <c r="Q827" s="13">
        <f t="shared" si="89"/>
        <v>1.525197735101555E-3</v>
      </c>
      <c r="R827" s="49">
        <f t="shared" si="90"/>
        <v>1</v>
      </c>
    </row>
    <row r="828" spans="1:18" x14ac:dyDescent="0.35">
      <c r="A828" s="64" t="s">
        <v>77</v>
      </c>
      <c r="B828" s="14">
        <v>2.194301015948863E-3</v>
      </c>
      <c r="C828" s="12">
        <v>1.2163290874921628E-2</v>
      </c>
      <c r="D828" s="12">
        <v>7.8726382085376745E-3</v>
      </c>
      <c r="E828" s="12">
        <v>-5.4180148995410793E-3</v>
      </c>
      <c r="F828" s="12">
        <v>1.8726666137103942E-2</v>
      </c>
      <c r="G828" s="12">
        <v>4.8861949529934723E-3</v>
      </c>
      <c r="H828" s="12">
        <v>1.1074197120708451E-3</v>
      </c>
      <c r="I828" s="12">
        <v>1.0045313097122976E-2</v>
      </c>
      <c r="J828" s="12">
        <v>-4.1856571481724281E-4</v>
      </c>
      <c r="K828" s="12">
        <v>0</v>
      </c>
      <c r="L828" s="12">
        <v>1.1883062254627097E-2</v>
      </c>
      <c r="M828" s="13">
        <f t="shared" si="85"/>
        <v>5.3652070421161997E-3</v>
      </c>
      <c r="N828" s="32">
        <f t="shared" si="86"/>
        <v>170.34495942338506</v>
      </c>
      <c r="O828" s="32">
        <f t="shared" si="87"/>
        <v>142.61775948250533</v>
      </c>
      <c r="P828" s="12" t="str">
        <f t="shared" si="88"/>
        <v/>
      </c>
      <c r="Q828" s="13">
        <f t="shared" si="89"/>
        <v>3.1709060261673368E-3</v>
      </c>
      <c r="R828" s="49">
        <f t="shared" si="90"/>
        <v>1</v>
      </c>
    </row>
    <row r="829" spans="1:18" x14ac:dyDescent="0.35">
      <c r="A829" s="64" t="s">
        <v>77</v>
      </c>
      <c r="B829" s="14">
        <v>2.9213904746590025E-3</v>
      </c>
      <c r="C829" s="12">
        <v>6.6532570013926318E-3</v>
      </c>
      <c r="D829" s="12">
        <v>6.4224960944279097E-3</v>
      </c>
      <c r="E829" s="12">
        <v>6.0275907291114095E-3</v>
      </c>
      <c r="F829" s="12">
        <v>4.9318700169593832E-3</v>
      </c>
      <c r="G829" s="12">
        <v>-1.6372253339077991E-2</v>
      </c>
      <c r="H829" s="12">
        <v>2.2123893805314765E-4</v>
      </c>
      <c r="I829" s="12">
        <v>2.4863520890763269E-3</v>
      </c>
      <c r="J829" s="12">
        <v>-1.5958684222770247E-2</v>
      </c>
      <c r="K829" s="12">
        <v>2.5863661555514117E-3</v>
      </c>
      <c r="L829" s="12">
        <v>5.542661170192531E-4</v>
      </c>
      <c r="M829" s="13">
        <f t="shared" si="85"/>
        <v>3.7529110459444161E-3</v>
      </c>
      <c r="N829" s="32">
        <f t="shared" si="86"/>
        <v>170.98424890322605</v>
      </c>
      <c r="O829" s="32">
        <f t="shared" si="87"/>
        <v>143.03440164657474</v>
      </c>
      <c r="P829" s="12" t="str">
        <f t="shared" si="88"/>
        <v/>
      </c>
      <c r="Q829" s="13">
        <f t="shared" si="89"/>
        <v>8.315205712854136E-4</v>
      </c>
      <c r="R829" s="49">
        <f t="shared" si="90"/>
        <v>1</v>
      </c>
    </row>
    <row r="830" spans="1:18" x14ac:dyDescent="0.35">
      <c r="A830" s="64" t="s">
        <v>77</v>
      </c>
      <c r="B830" s="14">
        <v>8.1198865271558951E-4</v>
      </c>
      <c r="C830" s="12">
        <v>-3.4839635208525621E-3</v>
      </c>
      <c r="D830" s="12">
        <v>-5.7491088881200803E-5</v>
      </c>
      <c r="E830" s="12">
        <v>9.1752318876912042E-3</v>
      </c>
      <c r="F830" s="12">
        <v>-4.4421166977032245E-3</v>
      </c>
      <c r="G830" s="12">
        <v>-5.3188160941116669E-3</v>
      </c>
      <c r="H830" s="12">
        <v>1.4377350143772727E-3</v>
      </c>
      <c r="I830" s="12">
        <v>1.8870976438236653E-3</v>
      </c>
      <c r="J830" s="12">
        <v>1.2434988179669038E-2</v>
      </c>
      <c r="K830" s="12">
        <v>-1.4188317670904782E-2</v>
      </c>
      <c r="L830" s="12">
        <v>6.4051518194094825E-3</v>
      </c>
      <c r="M830" s="13">
        <f t="shared" si="85"/>
        <v>-4.6295982593360101E-4</v>
      </c>
      <c r="N830" s="32">
        <f t="shared" si="86"/>
        <v>170.90509006511641</v>
      </c>
      <c r="O830" s="32">
        <f t="shared" si="87"/>
        <v>143.15054395765972</v>
      </c>
      <c r="P830" s="12">
        <f t="shared" si="88"/>
        <v>-4.6295982593360101E-4</v>
      </c>
      <c r="Q830" s="13">
        <f t="shared" si="89"/>
        <v>-1.2749484786491905E-3</v>
      </c>
      <c r="R830" s="49" t="str">
        <f t="shared" si="90"/>
        <v/>
      </c>
    </row>
    <row r="831" spans="1:18" x14ac:dyDescent="0.35">
      <c r="A831" s="64" t="s">
        <v>77</v>
      </c>
      <c r="B831" s="14">
        <v>5.2602931057501578E-3</v>
      </c>
      <c r="C831" s="12">
        <v>-1.6966580976864876E-3</v>
      </c>
      <c r="D831" s="12">
        <v>9.4865750589317566E-2</v>
      </c>
      <c r="E831" s="12">
        <v>5.7382750397456661E-3</v>
      </c>
      <c r="F831" s="12">
        <v>-3.8637647838201228E-2</v>
      </c>
      <c r="G831" s="12">
        <v>3.7745344740816034E-3</v>
      </c>
      <c r="H831" s="12">
        <v>3.5339591385976643E-3</v>
      </c>
      <c r="I831" s="12">
        <v>1.2108492089118572E-2</v>
      </c>
      <c r="J831" s="12">
        <v>-5.7208237986270061E-2</v>
      </c>
      <c r="K831" s="12">
        <v>1.4579439252336401E-2</v>
      </c>
      <c r="L831" s="12">
        <v>3.4711710471996504E-2</v>
      </c>
      <c r="M831" s="13">
        <f t="shared" si="85"/>
        <v>3.834848393908237E-2</v>
      </c>
      <c r="N831" s="32">
        <f t="shared" si="86"/>
        <v>177.45904116658596</v>
      </c>
      <c r="O831" s="32">
        <f t="shared" si="87"/>
        <v>143.90355777712458</v>
      </c>
      <c r="P831" s="12" t="str">
        <f t="shared" si="88"/>
        <v/>
      </c>
      <c r="Q831" s="13">
        <f t="shared" si="89"/>
        <v>3.3088190833332212E-2</v>
      </c>
      <c r="R831" s="49">
        <f t="shared" si="90"/>
        <v>1</v>
      </c>
    </row>
    <row r="832" spans="1:18" x14ac:dyDescent="0.35">
      <c r="A832" s="64">
        <v>11.25</v>
      </c>
      <c r="B832" s="14">
        <v>-6.517972440622799E-4</v>
      </c>
      <c r="C832" s="12">
        <v>-9.0127208116599355E-3</v>
      </c>
      <c r="D832" s="12">
        <v>-1.5806333035761289E-2</v>
      </c>
      <c r="E832" s="12">
        <v>-2.3217329019191713E-3</v>
      </c>
      <c r="F832" s="12">
        <v>1.9862180786380135E-2</v>
      </c>
      <c r="G832" s="12">
        <v>-3.760340937578599E-4</v>
      </c>
      <c r="H832" s="12">
        <v>-1.7130699534133043E-2</v>
      </c>
      <c r="I832" s="12">
        <v>7.103737969904822E-2</v>
      </c>
      <c r="J832" s="12">
        <v>1.7782841291856588E-2</v>
      </c>
      <c r="K832" s="12">
        <v>8.8430361090641174E-3</v>
      </c>
      <c r="L832" s="12">
        <v>-4.4552315722976576E-3</v>
      </c>
      <c r="M832" s="13">
        <f t="shared" si="85"/>
        <v>1.0235859103433925E-2</v>
      </c>
      <c r="N832" s="32">
        <f t="shared" si="86"/>
        <v>179.27548690859763</v>
      </c>
      <c r="O832" s="32">
        <f t="shared" si="87"/>
        <v>143.80976183475468</v>
      </c>
      <c r="P832" s="12" t="str">
        <f t="shared" si="88"/>
        <v/>
      </c>
      <c r="Q832" s="13">
        <f t="shared" si="89"/>
        <v>1.0887656347496204E-2</v>
      </c>
      <c r="R832" s="49">
        <f t="shared" si="90"/>
        <v>1</v>
      </c>
    </row>
    <row r="833" spans="1:18" x14ac:dyDescent="0.35">
      <c r="A833" s="64" t="s">
        <v>77</v>
      </c>
      <c r="B833" s="14">
        <v>7.5567832147815928E-3</v>
      </c>
      <c r="C833" s="12">
        <v>-3.5859058309947178E-3</v>
      </c>
      <c r="D833" s="12">
        <v>-1.4939707608579988E-3</v>
      </c>
      <c r="E833" s="12">
        <v>1.4334166811081239E-2</v>
      </c>
      <c r="F833" s="12">
        <v>2.6629570747218612E-3</v>
      </c>
      <c r="G833" s="12">
        <v>-8.7774294670839303E-4</v>
      </c>
      <c r="H833" s="12">
        <v>2.1348062999179129E-2</v>
      </c>
      <c r="I833" s="12">
        <v>-2.8297671647719014E-3</v>
      </c>
      <c r="J833" s="12">
        <v>-1.3627293522169293E-3</v>
      </c>
      <c r="K833" s="12">
        <v>4.565376186997705E-3</v>
      </c>
      <c r="L833" s="12">
        <v>1.2757572721504129E-2</v>
      </c>
      <c r="M833" s="13">
        <f t="shared" si="85"/>
        <v>4.2283777572423176E-3</v>
      </c>
      <c r="N833" s="32">
        <f t="shared" si="86"/>
        <v>180.03353138986071</v>
      </c>
      <c r="O833" s="32">
        <f t="shared" si="87"/>
        <v>144.89650102910929</v>
      </c>
      <c r="P833" s="12" t="str">
        <f t="shared" si="88"/>
        <v/>
      </c>
      <c r="Q833" s="13">
        <f t="shared" si="89"/>
        <v>-3.3284054575392751E-3</v>
      </c>
      <c r="R833" s="49">
        <f t="shared" si="90"/>
        <v>1</v>
      </c>
    </row>
    <row r="834" spans="1:18" x14ac:dyDescent="0.35">
      <c r="A834" s="64" t="s">
        <v>77</v>
      </c>
      <c r="B834" s="14">
        <v>-6.0065788272156695E-4</v>
      </c>
      <c r="C834" s="12">
        <v>-1.9245814426537278E-2</v>
      </c>
      <c r="D834" s="12">
        <v>3.9008229133270511E-3</v>
      </c>
      <c r="E834" s="12">
        <v>-2.7579810602363919E-3</v>
      </c>
      <c r="F834" s="12">
        <v>-1.8432631704126123E-3</v>
      </c>
      <c r="G834" s="12">
        <v>-3.7023092369478094E-3</v>
      </c>
      <c r="H834" s="12">
        <v>1.2753051231454871E-2</v>
      </c>
      <c r="I834" s="12">
        <v>1.6379567858209709E-2</v>
      </c>
      <c r="J834" s="12">
        <v>-2.3149276280520548E-2</v>
      </c>
      <c r="K834" s="12">
        <v>3.4539174695511488E-3</v>
      </c>
      <c r="L834" s="12">
        <v>4.9793899422918564E-3</v>
      </c>
      <c r="M834" s="13">
        <f t="shared" si="85"/>
        <v>5.462021114484167E-3</v>
      </c>
      <c r="N834" s="32">
        <f t="shared" si="86"/>
        <v>181.01687833962728</v>
      </c>
      <c r="O834" s="32">
        <f t="shared" si="87"/>
        <v>144.80946780358738</v>
      </c>
      <c r="P834" s="12" t="str">
        <f t="shared" si="88"/>
        <v/>
      </c>
      <c r="Q834" s="13">
        <f t="shared" si="89"/>
        <v>6.062678997205734E-3</v>
      </c>
      <c r="R834" s="49">
        <f t="shared" si="90"/>
        <v>1</v>
      </c>
    </row>
    <row r="835" spans="1:18" x14ac:dyDescent="0.35">
      <c r="A835" s="64" t="s">
        <v>77</v>
      </c>
      <c r="B835" s="14">
        <v>-1.6105681862021659E-2</v>
      </c>
      <c r="C835" s="12">
        <v>-1.9357583492873753E-2</v>
      </c>
      <c r="D835" s="12">
        <v>-2.2409112684303012E-2</v>
      </c>
      <c r="E835" s="12">
        <v>-2.6946327614479015E-2</v>
      </c>
      <c r="F835" s="12">
        <v>1.6143444331923495E-2</v>
      </c>
      <c r="G835" s="12">
        <v>8.1879448258481702E-4</v>
      </c>
      <c r="H835" s="12">
        <v>-1.4035720728847179E-2</v>
      </c>
      <c r="I835" s="12">
        <v>-1.6703404359539542E-2</v>
      </c>
      <c r="J835" s="12">
        <v>5.2883655956894815E-2</v>
      </c>
      <c r="K835" s="12">
        <v>-2.1739130434783593E-3</v>
      </c>
      <c r="L835" s="12">
        <v>-1.4601653760335953E-2</v>
      </c>
      <c r="M835" s="13">
        <f t="shared" si="85"/>
        <v>-1.6084401820505977E-2</v>
      </c>
      <c r="N835" s="32">
        <f t="shared" si="86"/>
        <v>178.10533013211906</v>
      </c>
      <c r="O835" s="32">
        <f t="shared" si="87"/>
        <v>142.47721258453413</v>
      </c>
      <c r="P835" s="12">
        <f t="shared" si="88"/>
        <v>-1.6084401820505977E-2</v>
      </c>
      <c r="Q835" s="13">
        <f t="shared" si="89"/>
        <v>2.1280041515681775E-5</v>
      </c>
      <c r="R835" s="49" t="str">
        <f t="shared" si="90"/>
        <v/>
      </c>
    </row>
    <row r="836" spans="1:18" x14ac:dyDescent="0.35">
      <c r="A836" s="64" t="s">
        <v>77</v>
      </c>
      <c r="B836" s="14">
        <v>1.2493679898465615E-2</v>
      </c>
      <c r="C836" s="12">
        <v>1.3340563991323329E-2</v>
      </c>
      <c r="D836" s="12">
        <v>1.7641293694871107E-2</v>
      </c>
      <c r="E836" s="12">
        <v>1.5594345792041775E-2</v>
      </c>
      <c r="F836" s="12">
        <v>-8.9889396959393908E-3</v>
      </c>
      <c r="G836" s="12">
        <v>-3.3983637507866149E-3</v>
      </c>
      <c r="H836" s="12">
        <v>1.3869574763961223E-2</v>
      </c>
      <c r="I836" s="12">
        <v>1.2354289130218188E-2</v>
      </c>
      <c r="J836" s="12">
        <v>-5.828278999241765E-3</v>
      </c>
      <c r="K836" s="12">
        <v>1.8518518518518601E-2</v>
      </c>
      <c r="L836" s="12">
        <v>2.4574606240218344E-2</v>
      </c>
      <c r="M836" s="13">
        <f t="shared" si="85"/>
        <v>1.7714812725864271E-2</v>
      </c>
      <c r="N836" s="32">
        <f t="shared" si="86"/>
        <v>181.26043270088778</v>
      </c>
      <c r="O836" s="32">
        <f t="shared" si="87"/>
        <v>144.25727727139093</v>
      </c>
      <c r="P836" s="12" t="str">
        <f t="shared" si="88"/>
        <v/>
      </c>
      <c r="Q836" s="13">
        <f t="shared" si="89"/>
        <v>5.2211328273986564E-3</v>
      </c>
      <c r="R836" s="49">
        <f t="shared" si="90"/>
        <v>1</v>
      </c>
    </row>
    <row r="837" spans="1:18" x14ac:dyDescent="0.35">
      <c r="A837" s="64">
        <v>11.2</v>
      </c>
      <c r="B837" s="14">
        <v>1.0684461873673889E-2</v>
      </c>
      <c r="C837" s="12">
        <v>-5.4051161297229422E-3</v>
      </c>
      <c r="D837" s="12">
        <v>-5.9390048154094321E-3</v>
      </c>
      <c r="E837" s="12">
        <v>1.8425875476744791E-2</v>
      </c>
      <c r="F837" s="12">
        <v>6.0929920731949139E-3</v>
      </c>
      <c r="G837" s="12">
        <v>-1.1050770396564769E-2</v>
      </c>
      <c r="H837" s="12">
        <v>4.6922938097804234E-4</v>
      </c>
      <c r="I837" s="12">
        <v>1.5697273890365127E-2</v>
      </c>
      <c r="J837" s="12">
        <v>-2.0494733330156389E-3</v>
      </c>
      <c r="K837" s="12">
        <v>7.4866310160428551E-3</v>
      </c>
      <c r="L837" s="12">
        <v>2.4050180376352648E-2</v>
      </c>
      <c r="M837" s="13">
        <f t="shared" si="85"/>
        <v>9.7185028145509236E-3</v>
      </c>
      <c r="N837" s="32">
        <f t="shared" si="86"/>
        <v>183.02201272625808</v>
      </c>
      <c r="O837" s="32">
        <f t="shared" si="87"/>
        <v>145.79858865039711</v>
      </c>
      <c r="P837" s="12" t="str">
        <f t="shared" si="88"/>
        <v/>
      </c>
      <c r="Q837" s="13">
        <f t="shared" si="89"/>
        <v>-9.6595905912296581E-4</v>
      </c>
      <c r="R837" s="49">
        <f t="shared" si="90"/>
        <v>1</v>
      </c>
    </row>
    <row r="838" spans="1:18" x14ac:dyDescent="0.35">
      <c r="A838" s="64" t="s">
        <v>77</v>
      </c>
      <c r="B838" s="14">
        <v>-3.18637682737688E-3</v>
      </c>
      <c r="C838" s="12">
        <v>9.8466505246166403E-3</v>
      </c>
      <c r="D838" s="12">
        <v>-1.2756337800742812E-2</v>
      </c>
      <c r="E838" s="12">
        <v>-1.3545061037887329E-2</v>
      </c>
      <c r="F838" s="12">
        <v>-1.4248476177410208E-2</v>
      </c>
      <c r="G838" s="12">
        <v>-5.1720835195708803E-3</v>
      </c>
      <c r="H838" s="12">
        <v>-5.7724222526878144E-3</v>
      </c>
      <c r="I838" s="12">
        <v>-2.2770214621384843E-3</v>
      </c>
      <c r="J838" s="12">
        <v>-1.3134014710096453E-2</v>
      </c>
      <c r="K838" s="12">
        <v>-5.3078556263270738E-3</v>
      </c>
      <c r="L838" s="12">
        <v>2.0026024310514368E-2</v>
      </c>
      <c r="M838" s="13">
        <f t="shared" si="85"/>
        <v>-3.6038925311011188E-3</v>
      </c>
      <c r="N838" s="32">
        <f t="shared" si="86"/>
        <v>182.36242106156681</v>
      </c>
      <c r="O838" s="32">
        <f t="shared" si="87"/>
        <v>145.33401940605722</v>
      </c>
      <c r="P838" s="12">
        <f t="shared" si="88"/>
        <v>-3.6038925311011188E-3</v>
      </c>
      <c r="Q838" s="13">
        <f t="shared" si="89"/>
        <v>-4.1751570372423885E-4</v>
      </c>
      <c r="R838" s="49" t="str">
        <f t="shared" si="90"/>
        <v/>
      </c>
    </row>
    <row r="839" spans="1:18" x14ac:dyDescent="0.35">
      <c r="A839" s="64" t="s">
        <v>77</v>
      </c>
      <c r="B839" s="14">
        <v>2.310426660138587E-3</v>
      </c>
      <c r="C839" s="12">
        <v>8.6317135549871526E-3</v>
      </c>
      <c r="D839" s="12">
        <v>-5.4519681604969783E-5</v>
      </c>
      <c r="E839" s="12">
        <v>-3.9442869468742092E-4</v>
      </c>
      <c r="F839" s="12">
        <v>1.5329250835056429E-2</v>
      </c>
      <c r="G839" s="12">
        <v>1.4505776636713597E-2</v>
      </c>
      <c r="H839" s="12">
        <v>4.2818782204805395E-3</v>
      </c>
      <c r="I839" s="12">
        <v>-1.4081771389724551E-3</v>
      </c>
      <c r="J839" s="12">
        <v>9.4371582054881831E-3</v>
      </c>
      <c r="K839" s="12">
        <v>6.7591604411241235E-3</v>
      </c>
      <c r="L839" s="12">
        <v>4.1070317361544539E-3</v>
      </c>
      <c r="M839" s="13">
        <f t="shared" si="85"/>
        <v>1.8703566084062669E-3</v>
      </c>
      <c r="N839" s="32">
        <f t="shared" si="86"/>
        <v>182.70350382092425</v>
      </c>
      <c r="O839" s="32">
        <f t="shared" si="87"/>
        <v>145.66980299911808</v>
      </c>
      <c r="P839" s="12" t="str">
        <f t="shared" si="88"/>
        <v/>
      </c>
      <c r="Q839" s="13">
        <f t="shared" si="89"/>
        <v>-4.4007005173232012E-4</v>
      </c>
      <c r="R839" s="49">
        <f t="shared" si="90"/>
        <v>1</v>
      </c>
    </row>
    <row r="840" spans="1:18" x14ac:dyDescent="0.35">
      <c r="A840" s="64" t="s">
        <v>77</v>
      </c>
      <c r="B840" s="14">
        <v>8.2414421615468747E-3</v>
      </c>
      <c r="C840" s="12">
        <v>5.8108821975699776E-4</v>
      </c>
      <c r="D840" s="12">
        <v>1.7992475873727098E-3</v>
      </c>
      <c r="E840" s="12">
        <v>2.1110261658733975E-2</v>
      </c>
      <c r="F840" s="12">
        <v>1.7075606556092859E-2</v>
      </c>
      <c r="G840" s="12">
        <v>-5.0613691003420502E-4</v>
      </c>
      <c r="H840" s="12">
        <v>9.5028183263476951E-3</v>
      </c>
      <c r="I840" s="12">
        <v>1.6678823243374774E-2</v>
      </c>
      <c r="J840" s="12">
        <v>1.6013040559976766E-2</v>
      </c>
      <c r="K840" s="12">
        <v>-2.4734982332155209E-3</v>
      </c>
      <c r="L840" s="12">
        <v>2.695835399107338E-3</v>
      </c>
      <c r="M840" s="13">
        <f t="shared" si="85"/>
        <v>6.5435267133971521E-3</v>
      </c>
      <c r="N840" s="32">
        <f t="shared" si="86"/>
        <v>183.89902907880773</v>
      </c>
      <c r="O840" s="32">
        <f t="shared" si="87"/>
        <v>146.87033225521924</v>
      </c>
      <c r="P840" s="12" t="str">
        <f t="shared" si="88"/>
        <v/>
      </c>
      <c r="Q840" s="13">
        <f t="shared" si="89"/>
        <v>-1.6979154481497226E-3</v>
      </c>
      <c r="R840" s="49">
        <f t="shared" si="90"/>
        <v>1</v>
      </c>
    </row>
    <row r="841" spans="1:18" x14ac:dyDescent="0.35">
      <c r="A841" s="64" t="s">
        <v>77</v>
      </c>
      <c r="B841" s="14">
        <v>5.7056371695218822E-4</v>
      </c>
      <c r="C841" s="12">
        <v>-5.754712000422435E-3</v>
      </c>
      <c r="D841" s="12">
        <v>3.3743332970501694E-3</v>
      </c>
      <c r="E841" s="12">
        <v>1.449100350199295E-4</v>
      </c>
      <c r="F841" s="12">
        <v>1.3477348427963776E-3</v>
      </c>
      <c r="G841" s="12">
        <v>-1.0001265983035745E-2</v>
      </c>
      <c r="H841" s="12">
        <v>-1.2921006478399444E-2</v>
      </c>
      <c r="I841" s="12">
        <v>1.0187488042854298E-2</v>
      </c>
      <c r="J841" s="12">
        <v>-1.2740656851642052E-2</v>
      </c>
      <c r="K841" s="12">
        <v>0</v>
      </c>
      <c r="L841" s="12">
        <v>-4.913625266540933E-3</v>
      </c>
      <c r="M841" s="13">
        <f t="shared" si="85"/>
        <v>2.0723907494777294E-3</v>
      </c>
      <c r="N841" s="32">
        <f t="shared" si="86"/>
        <v>184.28013972550858</v>
      </c>
      <c r="O841" s="32">
        <f t="shared" si="87"/>
        <v>146.95413113790079</v>
      </c>
      <c r="P841" s="12" t="str">
        <f t="shared" si="88"/>
        <v/>
      </c>
      <c r="Q841" s="13">
        <f t="shared" si="89"/>
        <v>1.5018270325255411E-3</v>
      </c>
      <c r="R841" s="49">
        <f t="shared" si="90"/>
        <v>1</v>
      </c>
    </row>
    <row r="842" spans="1:18" x14ac:dyDescent="0.35">
      <c r="A842" s="64">
        <v>11.32</v>
      </c>
      <c r="B842" s="14">
        <v>5.7424003233350618E-3</v>
      </c>
      <c r="C842" s="12">
        <v>2.8143585386575243E-3</v>
      </c>
      <c r="D842" s="12">
        <v>1.0739856801909253E-2</v>
      </c>
      <c r="E842" s="12">
        <v>1.5551423534809539E-2</v>
      </c>
      <c r="F842" s="12">
        <v>-3.5955315426176027E-3</v>
      </c>
      <c r="G842" s="12">
        <v>2.3017902813298186E-3</v>
      </c>
      <c r="H842" s="12">
        <v>2.3569511929799614E-3</v>
      </c>
      <c r="I842" s="12">
        <v>5.9656266275269765E-3</v>
      </c>
      <c r="J842" s="12">
        <v>-9.5593155530093732E-5</v>
      </c>
      <c r="K842" s="12">
        <v>-5.3134962805523323E-4</v>
      </c>
      <c r="L842" s="12">
        <v>-1.5031055900621038E-2</v>
      </c>
      <c r="M842" s="13">
        <f t="shared" si="85"/>
        <v>3.5822817096640754E-3</v>
      </c>
      <c r="N842" s="32">
        <f t="shared" si="86"/>
        <v>184.94028309950158</v>
      </c>
      <c r="O842" s="32">
        <f t="shared" si="87"/>
        <v>147.79800058806248</v>
      </c>
      <c r="P842" s="12" t="str">
        <f t="shared" si="88"/>
        <v/>
      </c>
      <c r="Q842" s="13">
        <f t="shared" si="89"/>
        <v>-2.1601186136709864E-3</v>
      </c>
      <c r="R842" s="49">
        <f t="shared" si="90"/>
        <v>1</v>
      </c>
    </row>
    <row r="843" spans="1:18" x14ac:dyDescent="0.35">
      <c r="A843" s="64" t="s">
        <v>77</v>
      </c>
      <c r="B843" s="14">
        <v>-9.4894968975101079E-4</v>
      </c>
      <c r="C843" s="12">
        <v>-9.0018533227428366E-3</v>
      </c>
      <c r="D843" s="12">
        <v>-9.6597617258775692E-4</v>
      </c>
      <c r="E843" s="12">
        <v>-1.2578765901795297E-2</v>
      </c>
      <c r="F843" s="12">
        <v>-1.1192157770831823E-3</v>
      </c>
      <c r="G843" s="12">
        <v>6.9533044143914591E-3</v>
      </c>
      <c r="H843" s="12">
        <v>-4.9198712151359292E-3</v>
      </c>
      <c r="I843" s="12">
        <v>-9.8837482938773924E-4</v>
      </c>
      <c r="J843" s="12">
        <v>6.214149139580627E-4</v>
      </c>
      <c r="K843" s="12">
        <v>6.0251639199009333E-3</v>
      </c>
      <c r="L843" s="12">
        <v>1.4093832765796455E-2</v>
      </c>
      <c r="M843" s="13">
        <f t="shared" si="85"/>
        <v>1.5430357739439785E-3</v>
      </c>
      <c r="N843" s="32">
        <f t="shared" si="86"/>
        <v>185.22565257236744</v>
      </c>
      <c r="O843" s="32">
        <f t="shared" si="87"/>
        <v>147.65774772125863</v>
      </c>
      <c r="P843" s="12" t="str">
        <f t="shared" si="88"/>
        <v/>
      </c>
      <c r="Q843" s="13">
        <f t="shared" si="89"/>
        <v>2.491985463694989E-3</v>
      </c>
      <c r="R843" s="49">
        <f t="shared" si="90"/>
        <v>1</v>
      </c>
    </row>
    <row r="844" spans="1:18" x14ac:dyDescent="0.35">
      <c r="A844" s="64" t="s">
        <v>77</v>
      </c>
      <c r="B844" s="14">
        <v>-1.3674270785210219E-2</v>
      </c>
      <c r="C844" s="12">
        <v>-1.1274378840502308E-2</v>
      </c>
      <c r="D844" s="12">
        <v>-1.3214439192092864E-2</v>
      </c>
      <c r="E844" s="12">
        <v>-2.1528680826470192E-2</v>
      </c>
      <c r="F844" s="12">
        <v>-1.5261571748704794E-3</v>
      </c>
      <c r="G844" s="12">
        <v>-8.7424770351599568E-3</v>
      </c>
      <c r="H844" s="12">
        <v>2.6902243065400899E-3</v>
      </c>
      <c r="I844" s="12">
        <v>-1.2202016394987303E-2</v>
      </c>
      <c r="J844" s="12">
        <v>-2.3264701667224053E-2</v>
      </c>
      <c r="K844" s="12">
        <v>-6.8698256121191292E-3</v>
      </c>
      <c r="L844" s="12">
        <v>-2.7329540154836351E-2</v>
      </c>
      <c r="M844" s="13">
        <f t="shared" si="85"/>
        <v>-1.5156297639948087E-2</v>
      </c>
      <c r="N844" s="32">
        <f t="shared" si="86"/>
        <v>182.41831745142701</v>
      </c>
      <c r="O844" s="32">
        <f t="shared" si="87"/>
        <v>145.63863569538387</v>
      </c>
      <c r="P844" s="12">
        <f t="shared" si="88"/>
        <v>-1.5156297639948087E-2</v>
      </c>
      <c r="Q844" s="13">
        <f t="shared" si="89"/>
        <v>-1.4820268547378682E-3</v>
      </c>
      <c r="R844" s="49" t="str">
        <f t="shared" si="90"/>
        <v/>
      </c>
    </row>
    <row r="845" spans="1:18" x14ac:dyDescent="0.35">
      <c r="A845" s="64" t="s">
        <v>77</v>
      </c>
      <c r="B845" s="14">
        <v>9.5797236921002504E-3</v>
      </c>
      <c r="C845" s="12">
        <v>-4.8097708603543898E-3</v>
      </c>
      <c r="D845" s="12">
        <v>-7.0767555797490722E-4</v>
      </c>
      <c r="E845" s="12">
        <v>7.8017326245323204E-3</v>
      </c>
      <c r="F845" s="12">
        <v>1.7413175969815953E-4</v>
      </c>
      <c r="G845" s="12">
        <v>-4.6654310730490645E-3</v>
      </c>
      <c r="H845" s="12">
        <v>6.3449476088610623E-3</v>
      </c>
      <c r="I845" s="12">
        <v>5.8663614250966667E-3</v>
      </c>
      <c r="J845" s="12">
        <v>-5.2822067886140189E-3</v>
      </c>
      <c r="K845" s="12">
        <v>-3.1926214969847377E-3</v>
      </c>
      <c r="L845" s="12">
        <v>1.2370540851553535E-2</v>
      </c>
      <c r="M845" s="13">
        <f t="shared" si="85"/>
        <v>3.4093450787197558E-3</v>
      </c>
      <c r="N845" s="32">
        <f t="shared" si="86"/>
        <v>183.04024444429839</v>
      </c>
      <c r="O845" s="32">
        <f t="shared" si="87"/>
        <v>147.03381358424011</v>
      </c>
      <c r="P845" s="12" t="str">
        <f t="shared" si="88"/>
        <v/>
      </c>
      <c r="Q845" s="13">
        <f t="shared" si="89"/>
        <v>-6.1703786133804946E-3</v>
      </c>
      <c r="R845" s="49">
        <f t="shared" si="90"/>
        <v>1</v>
      </c>
    </row>
    <row r="846" spans="1:18" x14ac:dyDescent="0.35">
      <c r="A846" s="64" t="s">
        <v>77</v>
      </c>
      <c r="B846" s="14">
        <v>5.8212781615079034E-3</v>
      </c>
      <c r="C846" s="12">
        <v>-1.5748031496062298E-3</v>
      </c>
      <c r="D846" s="12">
        <v>1.7976793593724505E-2</v>
      </c>
      <c r="E846" s="12">
        <v>-7.1552418862487199E-3</v>
      </c>
      <c r="F846" s="12">
        <v>7.6217742871511618E-3</v>
      </c>
      <c r="G846" s="12">
        <v>1.3997688455117396E-2</v>
      </c>
      <c r="H846" s="12">
        <v>1.2321660181582317E-2</v>
      </c>
      <c r="I846" s="12">
        <v>7.7287814129918253E-3</v>
      </c>
      <c r="J846" s="12">
        <v>9.5879634182318707E-3</v>
      </c>
      <c r="K846" s="12">
        <v>4.092526690391507E-3</v>
      </c>
      <c r="L846" s="12">
        <v>2.0081462536705619E-2</v>
      </c>
      <c r="M846" s="13">
        <f t="shared" si="85"/>
        <v>9.7632101078465022E-3</v>
      </c>
      <c r="N846" s="32">
        <f t="shared" si="86"/>
        <v>184.82730480899966</v>
      </c>
      <c r="O846" s="32">
        <f t="shared" si="87"/>
        <v>147.88973831226127</v>
      </c>
      <c r="P846" s="12" t="str">
        <f t="shared" si="88"/>
        <v/>
      </c>
      <c r="Q846" s="13">
        <f t="shared" si="89"/>
        <v>3.9419319463385987E-3</v>
      </c>
      <c r="R846" s="49">
        <f t="shared" si="90"/>
        <v>1</v>
      </c>
    </row>
    <row r="847" spans="1:18" x14ac:dyDescent="0.35">
      <c r="A847" s="64">
        <v>11.15</v>
      </c>
      <c r="B847" s="14">
        <v>-4.8034387531735723E-3</v>
      </c>
      <c r="C847" s="12">
        <v>-8.4303274230392855E-3</v>
      </c>
      <c r="D847" s="12">
        <v>4.1205115855942331E-3</v>
      </c>
      <c r="E847" s="12">
        <v>-6.1491538764265607E-3</v>
      </c>
      <c r="F847" s="12">
        <v>1.2862847488863682E-3</v>
      </c>
      <c r="G847" s="12">
        <v>-8.675278622086946E-3</v>
      </c>
      <c r="H847" s="12">
        <v>-8.6127126485870953E-3</v>
      </c>
      <c r="I847" s="12">
        <v>1.4115654260571375E-4</v>
      </c>
      <c r="J847" s="12">
        <v>-7.0131008620271107E-3</v>
      </c>
      <c r="K847" s="12">
        <v>6.3795853269537073E-3</v>
      </c>
      <c r="L847" s="12">
        <v>-3.5905531309002869E-3</v>
      </c>
      <c r="M847" s="13">
        <f t="shared" si="85"/>
        <v>1.1211532494146716E-3</v>
      </c>
      <c r="N847" s="32">
        <f t="shared" si="86"/>
        <v>185.03452454236682</v>
      </c>
      <c r="O847" s="32">
        <f t="shared" si="87"/>
        <v>147.17935901205547</v>
      </c>
      <c r="P847" s="12" t="str">
        <f t="shared" si="88"/>
        <v/>
      </c>
      <c r="Q847" s="13">
        <f t="shared" si="89"/>
        <v>5.9245920025882441E-3</v>
      </c>
      <c r="R847" s="49">
        <f t="shared" si="90"/>
        <v>1</v>
      </c>
    </row>
    <row r="848" spans="1:18" x14ac:dyDescent="0.35">
      <c r="A848" s="64" t="s">
        <v>77</v>
      </c>
      <c r="B848" s="14">
        <v>-6.0053100845657292E-3</v>
      </c>
      <c r="C848" s="12">
        <v>-4.1138719763040843E-3</v>
      </c>
      <c r="D848" s="12">
        <v>-2.2383287145597897E-2</v>
      </c>
      <c r="E848" s="12">
        <v>-3.1430975597682709E-3</v>
      </c>
      <c r="F848" s="12">
        <v>-9.3950723804048231E-4</v>
      </c>
      <c r="G848" s="12">
        <v>8.3679335675503896E-3</v>
      </c>
      <c r="H848" s="12">
        <v>-1.2241527857553169E-2</v>
      </c>
      <c r="I848" s="12">
        <v>-3.2931878057962383E-4</v>
      </c>
      <c r="J848" s="12">
        <v>-2.5503948207366012E-3</v>
      </c>
      <c r="K848" s="12">
        <v>3.2223983095615472E-2</v>
      </c>
      <c r="L848" s="12">
        <v>-2.537976453045887E-2</v>
      </c>
      <c r="M848" s="13">
        <f t="shared" si="85"/>
        <v>-3.7540337901421856E-3</v>
      </c>
      <c r="N848" s="32">
        <f t="shared" si="86"/>
        <v>184.33989868489189</v>
      </c>
      <c r="O848" s="32">
        <f t="shared" si="87"/>
        <v>146.29550132314046</v>
      </c>
      <c r="P848" s="12">
        <f t="shared" si="88"/>
        <v>-3.7540337901421856E-3</v>
      </c>
      <c r="Q848" s="13">
        <f t="shared" si="89"/>
        <v>2.2512762944235437E-3</v>
      </c>
      <c r="R848" s="49" t="str">
        <f t="shared" si="90"/>
        <v/>
      </c>
    </row>
    <row r="849" spans="1:18" x14ac:dyDescent="0.35">
      <c r="A849" s="64" t="s">
        <v>77</v>
      </c>
      <c r="B849" s="14">
        <v>1.2641920124771833E-3</v>
      </c>
      <c r="C849" s="12">
        <v>4.1859440405374038E-3</v>
      </c>
      <c r="D849" s="12">
        <v>-2.0388137810728346E-2</v>
      </c>
      <c r="E849" s="12">
        <v>-1.5144368032969924E-3</v>
      </c>
      <c r="F849" s="12">
        <v>1.7464399493340999E-3</v>
      </c>
      <c r="G849" s="12">
        <v>5.1944761180793275E-3</v>
      </c>
      <c r="H849" s="12">
        <v>5.8513538070144033E-3</v>
      </c>
      <c r="I849" s="12">
        <v>-7.5297661066404675E-3</v>
      </c>
      <c r="J849" s="12">
        <v>-8.8508629591386168E-3</v>
      </c>
      <c r="K849" s="12">
        <v>-1.2282497441146401E-2</v>
      </c>
      <c r="L849" s="12">
        <v>1.0836998788805952E-2</v>
      </c>
      <c r="M849" s="13">
        <f t="shared" ref="M849:M912" si="91">SUMPRODUCT($C$2:$L$2,C849:L849)</f>
        <v>-8.1638715111955959E-3</v>
      </c>
      <c r="N849" s="32">
        <f t="shared" ref="N849:N912" si="92">+(N848*(1+M849))</f>
        <v>182.83497143764163</v>
      </c>
      <c r="O849" s="32">
        <f t="shared" ref="O849:O912" si="93">+(O848*(1+B849))</f>
        <v>146.48044692737452</v>
      </c>
      <c r="P849" s="12">
        <f t="shared" ref="P849:P912" si="94">+IF(M849&lt;0,M849,"")</f>
        <v>-8.1638715111955959E-3</v>
      </c>
      <c r="Q849" s="13">
        <f t="shared" ref="Q849:Q912" si="95">M849-B849</f>
        <v>-9.4280635236727792E-3</v>
      </c>
      <c r="R849" s="49" t="str">
        <f t="shared" ref="R849:R912" si="96">+IF(M849&gt;0,1,"")</f>
        <v/>
      </c>
    </row>
    <row r="850" spans="1:18" x14ac:dyDescent="0.35">
      <c r="A850" s="64" t="s">
        <v>77</v>
      </c>
      <c r="B850" s="14">
        <v>2.1122887309807714E-2</v>
      </c>
      <c r="C850" s="12">
        <v>1.1243966652040527E-2</v>
      </c>
      <c r="D850" s="12">
        <v>2.5097384529771949E-2</v>
      </c>
      <c r="E850" s="12">
        <v>2.3546670644984724E-2</v>
      </c>
      <c r="F850" s="12">
        <v>8.6786596930856774E-3</v>
      </c>
      <c r="G850" s="12">
        <v>1.1154524829846135E-2</v>
      </c>
      <c r="H850" s="12">
        <v>2.5256539962422275E-2</v>
      </c>
      <c r="I850" s="12">
        <v>1.4699606429892542E-2</v>
      </c>
      <c r="J850" s="12">
        <v>-3.4727389988586932E-4</v>
      </c>
      <c r="K850" s="12">
        <v>9.8445595854921297E-3</v>
      </c>
      <c r="L850" s="12">
        <v>1.5608248722961404E-2</v>
      </c>
      <c r="M850" s="13">
        <f t="shared" si="91"/>
        <v>1.7852250289286314E-2</v>
      </c>
      <c r="N850" s="32">
        <f t="shared" si="92"/>
        <v>186.09898710938094</v>
      </c>
      <c r="O850" s="32">
        <f t="shared" si="93"/>
        <v>149.57453690091171</v>
      </c>
      <c r="P850" s="12" t="str">
        <f t="shared" si="94"/>
        <v/>
      </c>
      <c r="Q850" s="13">
        <f t="shared" si="95"/>
        <v>-3.2706370205214004E-3</v>
      </c>
      <c r="R850" s="49">
        <f t="shared" si="96"/>
        <v>1</v>
      </c>
    </row>
    <row r="851" spans="1:18" x14ac:dyDescent="0.35">
      <c r="A851" s="64" t="s">
        <v>77</v>
      </c>
      <c r="B851" s="14">
        <v>3.4794369209545373E-4</v>
      </c>
      <c r="C851" s="12">
        <v>-1.0034170418180777E-2</v>
      </c>
      <c r="D851" s="12">
        <v>8.1971662776179066E-3</v>
      </c>
      <c r="E851" s="12">
        <v>-3.1823150734847649E-3</v>
      </c>
      <c r="F851" s="12">
        <v>1.4055080721746549E-3</v>
      </c>
      <c r="G851" s="12">
        <v>8.6631349330010821E-3</v>
      </c>
      <c r="H851" s="12">
        <v>-5.2863436123340435E-4</v>
      </c>
      <c r="I851" s="12">
        <v>2.6636758727043297E-3</v>
      </c>
      <c r="J851" s="12">
        <v>-3.3250620347393678E-3</v>
      </c>
      <c r="K851" s="12">
        <v>8.5513938772030507E-4</v>
      </c>
      <c r="L851" s="12">
        <v>5.5574528858395311E-3</v>
      </c>
      <c r="M851" s="13">
        <f t="shared" si="91"/>
        <v>3.4587333770969104E-3</v>
      </c>
      <c r="N851" s="32">
        <f t="shared" si="92"/>
        <v>186.74265388754011</v>
      </c>
      <c r="O851" s="32">
        <f t="shared" si="93"/>
        <v>149.62658041752448</v>
      </c>
      <c r="P851" s="12" t="str">
        <f t="shared" si="94"/>
        <v/>
      </c>
      <c r="Q851" s="13">
        <f t="shared" si="95"/>
        <v>3.1107896850014567E-3</v>
      </c>
      <c r="R851" s="49">
        <f t="shared" si="96"/>
        <v>1</v>
      </c>
    </row>
    <row r="852" spans="1:18" x14ac:dyDescent="0.35">
      <c r="A852" s="64">
        <v>11.09</v>
      </c>
      <c r="B852" s="14">
        <v>-3.7867473667663187E-3</v>
      </c>
      <c r="C852" s="12">
        <v>-7.4512382204691141E-3</v>
      </c>
      <c r="D852" s="12">
        <v>-8.5612750376912183E-3</v>
      </c>
      <c r="E852" s="12">
        <v>-6.823609689525667E-3</v>
      </c>
      <c r="F852" s="12">
        <v>-3.6416053410210925E-3</v>
      </c>
      <c r="G852" s="12">
        <v>-6.4878892733564175E-3</v>
      </c>
      <c r="H852" s="12">
        <v>1.9393511988714529E-3</v>
      </c>
      <c r="I852" s="12">
        <v>1.1185682326621871E-2</v>
      </c>
      <c r="J852" s="12">
        <v>-1.4440073694169664E-3</v>
      </c>
      <c r="K852" s="12">
        <v>1.8455228981544725E-2</v>
      </c>
      <c r="L852" s="12">
        <v>4.631344942571225E-3</v>
      </c>
      <c r="M852" s="13">
        <f t="shared" si="91"/>
        <v>3.7725002818884746E-3</v>
      </c>
      <c r="N852" s="32">
        <f t="shared" si="92"/>
        <v>187.44714060197145</v>
      </c>
      <c r="O852" s="32">
        <f t="shared" si="93"/>
        <v>149.05998235813016</v>
      </c>
      <c r="P852" s="12" t="str">
        <f t="shared" si="94"/>
        <v/>
      </c>
      <c r="Q852" s="13">
        <f t="shared" si="95"/>
        <v>7.5592476486547929E-3</v>
      </c>
      <c r="R852" s="49">
        <f t="shared" si="96"/>
        <v>1</v>
      </c>
    </row>
    <row r="853" spans="1:18" x14ac:dyDescent="0.35">
      <c r="A853" s="64" t="s">
        <v>77</v>
      </c>
      <c r="B853" s="14">
        <v>1.7062725735916828E-3</v>
      </c>
      <c r="C853" s="12">
        <v>8.1143740340030579E-3</v>
      </c>
      <c r="D853" s="12">
        <v>4.0188996904362284E-3</v>
      </c>
      <c r="E853" s="12">
        <v>-1.4722481228834905E-4</v>
      </c>
      <c r="F853" s="12">
        <v>-2.2652859209624787E-2</v>
      </c>
      <c r="G853" s="12">
        <v>1.1816655264631493E-3</v>
      </c>
      <c r="H853" s="12">
        <v>-3.4488826324122757E-3</v>
      </c>
      <c r="I853" s="12">
        <v>4.7013274336282773E-3</v>
      </c>
      <c r="J853" s="12">
        <v>4.2884212625911022E-3</v>
      </c>
      <c r="K853" s="12">
        <v>-1.6778523489924257E-4</v>
      </c>
      <c r="L853" s="12">
        <v>6.9149917020099316E-3</v>
      </c>
      <c r="M853" s="13">
        <f t="shared" si="91"/>
        <v>3.1273825585583113E-3</v>
      </c>
      <c r="N853" s="32">
        <f t="shared" si="92"/>
        <v>188.03335952014169</v>
      </c>
      <c r="O853" s="32">
        <f t="shared" si="93"/>
        <v>149.31431931784789</v>
      </c>
      <c r="P853" s="12" t="str">
        <f t="shared" si="94"/>
        <v/>
      </c>
      <c r="Q853" s="13">
        <f t="shared" si="95"/>
        <v>1.4211099849666285E-3</v>
      </c>
      <c r="R853" s="49">
        <f t="shared" si="96"/>
        <v>1</v>
      </c>
    </row>
    <row r="854" spans="1:18" x14ac:dyDescent="0.35">
      <c r="A854" s="64" t="s">
        <v>77</v>
      </c>
      <c r="B854" s="14">
        <v>-1.6580743494716277E-3</v>
      </c>
      <c r="C854" s="12">
        <v>-6.6254175108142466E-3</v>
      </c>
      <c r="D854" s="12">
        <v>2.3259587818467153E-3</v>
      </c>
      <c r="E854" s="12">
        <v>5.889859625012317E-4</v>
      </c>
      <c r="F854" s="12">
        <v>-2.9488527910872198E-2</v>
      </c>
      <c r="G854" s="12">
        <v>3.5408125232949672E-3</v>
      </c>
      <c r="H854" s="12">
        <v>8.6873609492530424E-3</v>
      </c>
      <c r="I854" s="12">
        <v>2.2937884209572879E-4</v>
      </c>
      <c r="J854" s="12">
        <v>2.7805362462760552E-2</v>
      </c>
      <c r="K854" s="12">
        <v>5.0344017452585987E-4</v>
      </c>
      <c r="L854" s="12">
        <v>5.8907914415651241E-3</v>
      </c>
      <c r="M854" s="13">
        <f t="shared" si="91"/>
        <v>1.8796288156852207E-3</v>
      </c>
      <c r="N854" s="32">
        <f t="shared" si="92"/>
        <v>188.38679244100587</v>
      </c>
      <c r="O854" s="32">
        <f t="shared" si="93"/>
        <v>149.06674507497814</v>
      </c>
      <c r="P854" s="12" t="str">
        <f t="shared" si="94"/>
        <v/>
      </c>
      <c r="Q854" s="13">
        <f t="shared" si="95"/>
        <v>3.5377031651568484E-3</v>
      </c>
      <c r="R854" s="49">
        <f t="shared" si="96"/>
        <v>1</v>
      </c>
    </row>
    <row r="855" spans="1:18" x14ac:dyDescent="0.35">
      <c r="A855" s="64" t="s">
        <v>77</v>
      </c>
      <c r="B855" s="14">
        <v>5.229044372909275E-3</v>
      </c>
      <c r="C855" s="12">
        <v>-3.6930878624186203E-3</v>
      </c>
      <c r="D855" s="12">
        <v>-1.4570966001079544E-3</v>
      </c>
      <c r="E855" s="12">
        <v>1.4519768468556737E-2</v>
      </c>
      <c r="F855" s="12">
        <v>-9.3923095448341654E-3</v>
      </c>
      <c r="G855" s="12">
        <v>-1.0523057876818953E-3</v>
      </c>
      <c r="H855" s="12">
        <v>-1.0468088085985428E-2</v>
      </c>
      <c r="I855" s="12">
        <v>6.3752694583314451E-3</v>
      </c>
      <c r="J855" s="12">
        <v>-1.5845410628019363E-2</v>
      </c>
      <c r="K855" s="12">
        <v>-1.6940623951694045E-2</v>
      </c>
      <c r="L855" s="12">
        <v>1.3351134846461887E-2</v>
      </c>
      <c r="M855" s="13">
        <f t="shared" si="91"/>
        <v>1.3252497112919088E-3</v>
      </c>
      <c r="N855" s="32">
        <f t="shared" si="92"/>
        <v>188.63645198329951</v>
      </c>
      <c r="O855" s="32">
        <f t="shared" si="93"/>
        <v>149.84622169950035</v>
      </c>
      <c r="P855" s="12" t="str">
        <f t="shared" si="94"/>
        <v/>
      </c>
      <c r="Q855" s="13">
        <f t="shared" si="95"/>
        <v>-3.9037946616173663E-3</v>
      </c>
      <c r="R855" s="49">
        <f t="shared" si="96"/>
        <v>1</v>
      </c>
    </row>
    <row r="856" spans="1:18" x14ac:dyDescent="0.35">
      <c r="A856" s="64" t="s">
        <v>77</v>
      </c>
      <c r="B856" s="14">
        <v>8.0078174821975878E-3</v>
      </c>
      <c r="C856" s="12">
        <v>-6.030428769018048E-3</v>
      </c>
      <c r="D856" s="12">
        <v>1.7132356915094737E-2</v>
      </c>
      <c r="E856" s="12">
        <v>4.4966637655932118E-3</v>
      </c>
      <c r="F856" s="12">
        <v>-8.2455429497569899E-3</v>
      </c>
      <c r="G856" s="12">
        <v>4.5854504895279646E-3</v>
      </c>
      <c r="H856" s="12">
        <v>1.8397962071894369E-3</v>
      </c>
      <c r="I856" s="12">
        <v>1.0937927262784086E-3</v>
      </c>
      <c r="J856" s="12">
        <v>-1.826035735322995E-2</v>
      </c>
      <c r="K856" s="12">
        <v>2.5592902235114234E-3</v>
      </c>
      <c r="L856" s="12">
        <v>8.2045753982513681E-3</v>
      </c>
      <c r="M856" s="13">
        <f t="shared" si="91"/>
        <v>7.5087170641826087E-3</v>
      </c>
      <c r="N856" s="32">
        <f t="shared" si="92"/>
        <v>190.05286972923335</v>
      </c>
      <c r="O856" s="32">
        <f t="shared" si="93"/>
        <v>151.04616289326685</v>
      </c>
      <c r="P856" s="12" t="str">
        <f t="shared" si="94"/>
        <v/>
      </c>
      <c r="Q856" s="13">
        <f t="shared" si="95"/>
        <v>-4.9910041801497912E-4</v>
      </c>
      <c r="R856" s="49">
        <f t="shared" si="96"/>
        <v>1</v>
      </c>
    </row>
    <row r="857" spans="1:18" x14ac:dyDescent="0.35">
      <c r="A857" s="64">
        <v>11.02</v>
      </c>
      <c r="B857" s="14">
        <v>-1.1932849011501157E-3</v>
      </c>
      <c r="C857" s="12">
        <v>-2.5381275743070253E-2</v>
      </c>
      <c r="D857" s="12">
        <v>2.5823591923485711E-2</v>
      </c>
      <c r="E857" s="12">
        <v>-1.395908543922908E-3</v>
      </c>
      <c r="F857" s="12">
        <v>-1.5647662043184241E-2</v>
      </c>
      <c r="G857" s="12">
        <v>-1.4063656550703185E-2</v>
      </c>
      <c r="H857" s="12">
        <v>-9.288035033196973E-3</v>
      </c>
      <c r="I857" s="12">
        <v>-3.4143676591095184E-3</v>
      </c>
      <c r="J857" s="12">
        <v>2.6999999999999247E-3</v>
      </c>
      <c r="K857" s="12">
        <v>9.1899251191287501E-3</v>
      </c>
      <c r="L857" s="12">
        <v>5.7915057915056689E-3</v>
      </c>
      <c r="M857" s="13">
        <f t="shared" si="91"/>
        <v>9.2819927648770603E-3</v>
      </c>
      <c r="N857" s="32">
        <f t="shared" si="92"/>
        <v>191.81693909100423</v>
      </c>
      <c r="O857" s="32">
        <f t="shared" si="93"/>
        <v>150.86592178770965</v>
      </c>
      <c r="P857" s="12" t="str">
        <f t="shared" si="94"/>
        <v/>
      </c>
      <c r="Q857" s="13">
        <f t="shared" si="95"/>
        <v>1.0475277666027176E-2</v>
      </c>
      <c r="R857" s="49">
        <f t="shared" si="96"/>
        <v>1</v>
      </c>
    </row>
    <row r="858" spans="1:18" x14ac:dyDescent="0.35">
      <c r="A858" s="64" t="s">
        <v>77</v>
      </c>
      <c r="B858" s="14">
        <v>-1.0193044173106403E-2</v>
      </c>
      <c r="C858" s="12">
        <v>-2.8440890919474549E-2</v>
      </c>
      <c r="D858" s="12">
        <v>-5.7495079249975101E-3</v>
      </c>
      <c r="E858" s="12">
        <v>-2.9571965680131207E-2</v>
      </c>
      <c r="F858" s="12">
        <v>-1.8096167016000253E-2</v>
      </c>
      <c r="G858" s="12">
        <v>8.1331331331324641E-4</v>
      </c>
      <c r="H858" s="12">
        <v>-4.0993833101627963E-3</v>
      </c>
      <c r="I858" s="12">
        <v>-7.8114293545292757E-3</v>
      </c>
      <c r="J858" s="12">
        <v>2.9919218111100765E-3</v>
      </c>
      <c r="K858" s="12">
        <v>1.2478920741989974E-2</v>
      </c>
      <c r="L858" s="12">
        <v>-1.5118854274324578E-2</v>
      </c>
      <c r="M858" s="13">
        <f t="shared" si="91"/>
        <v>-6.9711277282552397E-3</v>
      </c>
      <c r="N858" s="32">
        <f t="shared" si="92"/>
        <v>190.47975870815787</v>
      </c>
      <c r="O858" s="32">
        <f t="shared" si="93"/>
        <v>149.32813878271111</v>
      </c>
      <c r="P858" s="12">
        <f t="shared" si="94"/>
        <v>-6.9711277282552397E-3</v>
      </c>
      <c r="Q858" s="13">
        <f t="shared" si="95"/>
        <v>3.2219164448511629E-3</v>
      </c>
      <c r="R858" s="49" t="str">
        <f t="shared" si="96"/>
        <v/>
      </c>
    </row>
    <row r="859" spans="1:18" x14ac:dyDescent="0.35">
      <c r="A859" s="64" t="s">
        <v>77</v>
      </c>
      <c r="B859" s="14">
        <v>5.1411300247115044E-3</v>
      </c>
      <c r="C859" s="12">
        <v>-5.8782036209734656E-3</v>
      </c>
      <c r="D859" s="12">
        <v>2.1932794998697602E-2</v>
      </c>
      <c r="E859" s="12">
        <v>-1.3907860424686724E-3</v>
      </c>
      <c r="F859" s="12">
        <v>-1.1624220648841499E-3</v>
      </c>
      <c r="G859" s="12">
        <v>-3.9382384197036435E-3</v>
      </c>
      <c r="H859" s="12">
        <v>3.7583219987114003E-3</v>
      </c>
      <c r="I859" s="12">
        <v>5.7550644567219145E-3</v>
      </c>
      <c r="J859" s="12">
        <v>-6.9603261409956207E-4</v>
      </c>
      <c r="K859" s="12">
        <v>8.8274483677548421E-3</v>
      </c>
      <c r="L859" s="12">
        <v>6.2962851917369722E-3</v>
      </c>
      <c r="M859" s="13">
        <f t="shared" si="91"/>
        <v>9.9845729926441966E-3</v>
      </c>
      <c r="N859" s="32">
        <f t="shared" si="92"/>
        <v>192.38161776260074</v>
      </c>
      <c r="O859" s="32">
        <f t="shared" si="93"/>
        <v>150.09585416054119</v>
      </c>
      <c r="P859" s="12" t="str">
        <f t="shared" si="94"/>
        <v/>
      </c>
      <c r="Q859" s="13">
        <f t="shared" si="95"/>
        <v>4.8434429679326922E-3</v>
      </c>
      <c r="R859" s="49">
        <f t="shared" si="96"/>
        <v>1</v>
      </c>
    </row>
    <row r="860" spans="1:18" x14ac:dyDescent="0.35">
      <c r="A860" s="64" t="s">
        <v>77</v>
      </c>
      <c r="B860" s="14">
        <v>1.0304108322428451E-2</v>
      </c>
      <c r="C860" s="12">
        <v>-7.0955534531691455E-4</v>
      </c>
      <c r="D860" s="12">
        <v>1.9371941272430249E-3</v>
      </c>
      <c r="E860" s="12">
        <v>1.7533388047452192E-2</v>
      </c>
      <c r="F860" s="12">
        <v>1.3076597545492952E-2</v>
      </c>
      <c r="G860" s="12">
        <v>-2.9496673779340066E-3</v>
      </c>
      <c r="H860" s="12">
        <v>-7.7381164640017985E-3</v>
      </c>
      <c r="I860" s="12">
        <v>2.2751201647974284E-2</v>
      </c>
      <c r="J860" s="12">
        <v>1.0099502487562084E-2</v>
      </c>
      <c r="K860" s="12">
        <v>-3.4670629024269317E-3</v>
      </c>
      <c r="L860" s="12">
        <v>1.3675773917707135E-2</v>
      </c>
      <c r="M860" s="13">
        <f t="shared" si="91"/>
        <v>8.8994750832111329E-3</v>
      </c>
      <c r="N860" s="32">
        <f t="shared" si="92"/>
        <v>194.09371317634688</v>
      </c>
      <c r="O860" s="32">
        <f t="shared" si="93"/>
        <v>151.64245810055883</v>
      </c>
      <c r="P860" s="12" t="str">
        <f t="shared" si="94"/>
        <v/>
      </c>
      <c r="Q860" s="13">
        <f t="shared" si="95"/>
        <v>-1.4046332392173184E-3</v>
      </c>
      <c r="R860" s="49">
        <f t="shared" si="96"/>
        <v>1</v>
      </c>
    </row>
    <row r="861" spans="1:18" x14ac:dyDescent="0.35">
      <c r="A861" s="64" t="s">
        <v>77</v>
      </c>
      <c r="B861" s="14">
        <v>-6.5285339786247398E-3</v>
      </c>
      <c r="C861" s="12">
        <v>1.0236686390532546E-2</v>
      </c>
      <c r="D861" s="12">
        <v>-3.0019334486618421E-3</v>
      </c>
      <c r="E861" s="12">
        <v>-7.1369213472159965E-3</v>
      </c>
      <c r="F861" s="12">
        <v>-4.6158987426374587E-3</v>
      </c>
      <c r="G861" s="12">
        <v>4.0913954805816832E-3</v>
      </c>
      <c r="H861" s="12">
        <v>6.3968949902970529E-3</v>
      </c>
      <c r="I861" s="12">
        <v>-2.2379375167835835E-4</v>
      </c>
      <c r="J861" s="12">
        <v>-2.2361227404816941E-2</v>
      </c>
      <c r="K861" s="12">
        <v>-3.9761431411531323E-3</v>
      </c>
      <c r="L861" s="12">
        <v>-3.0274528246430066E-3</v>
      </c>
      <c r="M861" s="13">
        <f t="shared" si="91"/>
        <v>-3.2638031946139118E-3</v>
      </c>
      <c r="N861" s="32">
        <f t="shared" si="92"/>
        <v>193.46022949522742</v>
      </c>
      <c r="O861" s="32">
        <f t="shared" si="93"/>
        <v>150.65245516024714</v>
      </c>
      <c r="P861" s="12">
        <f t="shared" si="94"/>
        <v>-3.2638031946139118E-3</v>
      </c>
      <c r="Q861" s="13">
        <f t="shared" si="95"/>
        <v>3.264730784010828E-3</v>
      </c>
      <c r="R861" s="49" t="str">
        <f t="shared" si="96"/>
        <v/>
      </c>
    </row>
    <row r="862" spans="1:18" x14ac:dyDescent="0.35">
      <c r="A862" s="64">
        <v>11.3</v>
      </c>
      <c r="B862" s="14">
        <v>-1.1222380745127269E-3</v>
      </c>
      <c r="C862" s="12">
        <v>1.183154688689747E-2</v>
      </c>
      <c r="D862" s="12">
        <v>-2.1536106149527945E-2</v>
      </c>
      <c r="E862" s="12">
        <v>-4.1849244251884743E-3</v>
      </c>
      <c r="F862" s="12">
        <v>2.6396961621587556E-2</v>
      </c>
      <c r="G862" s="12">
        <v>1.0719658976930724E-2</v>
      </c>
      <c r="H862" s="12">
        <v>1.8568775889158395E-3</v>
      </c>
      <c r="I862" s="12">
        <v>-1.423646863947714E-2</v>
      </c>
      <c r="J862" s="12">
        <v>-3.022822308428641E-2</v>
      </c>
      <c r="K862" s="12">
        <v>8.9820359281436168E-3</v>
      </c>
      <c r="L862" s="12">
        <v>-1.2441404522538946E-2</v>
      </c>
      <c r="M862" s="13">
        <f t="shared" si="91"/>
        <v>-9.3435714035525128E-3</v>
      </c>
      <c r="N862" s="32">
        <f t="shared" si="92"/>
        <v>191.65262002719112</v>
      </c>
      <c r="O862" s="32">
        <f t="shared" si="93"/>
        <v>150.48338723904749</v>
      </c>
      <c r="P862" s="12">
        <f t="shared" si="94"/>
        <v>-9.3435714035525128E-3</v>
      </c>
      <c r="Q862" s="13">
        <f t="shared" si="95"/>
        <v>-8.2213333290397858E-3</v>
      </c>
      <c r="R862" s="49" t="str">
        <f t="shared" si="96"/>
        <v/>
      </c>
    </row>
    <row r="863" spans="1:18" x14ac:dyDescent="0.35">
      <c r="A863" s="64" t="s">
        <v>77</v>
      </c>
      <c r="B863" s="14">
        <v>1.1201772588189884E-2</v>
      </c>
      <c r="C863" s="12">
        <v>2.7785817655570089E-3</v>
      </c>
      <c r="D863" s="12">
        <v>3.1554790590935244E-2</v>
      </c>
      <c r="E863" s="12">
        <v>2.6599426480767407E-2</v>
      </c>
      <c r="F863" s="12">
        <v>4.0887253398769197E-4</v>
      </c>
      <c r="G863" s="12">
        <v>9.365502698009065E-3</v>
      </c>
      <c r="H863" s="12">
        <v>1.1976047904191711E-2</v>
      </c>
      <c r="I863" s="12">
        <v>1.1172169489986006E-2</v>
      </c>
      <c r="J863" s="12">
        <v>-4.2859369317886586E-2</v>
      </c>
      <c r="K863" s="12">
        <v>1.2363996043521341E-2</v>
      </c>
      <c r="L863" s="12">
        <v>6.7767262739946155E-3</v>
      </c>
      <c r="M863" s="13">
        <f t="shared" si="91"/>
        <v>1.8431674078217691E-2</v>
      </c>
      <c r="N863" s="32">
        <f t="shared" si="92"/>
        <v>195.18509865576883</v>
      </c>
      <c r="O863" s="32">
        <f t="shared" si="93"/>
        <v>152.16906792119983</v>
      </c>
      <c r="P863" s="12" t="str">
        <f t="shared" si="94"/>
        <v/>
      </c>
      <c r="Q863" s="13">
        <f t="shared" si="95"/>
        <v>7.2299014900278069E-3</v>
      </c>
      <c r="R863" s="49">
        <f t="shared" si="96"/>
        <v>1</v>
      </c>
    </row>
    <row r="864" spans="1:18" x14ac:dyDescent="0.35">
      <c r="A864" s="64" t="s">
        <v>77</v>
      </c>
      <c r="B864" s="14">
        <v>-1.9245372705192221E-3</v>
      </c>
      <c r="C864" s="12">
        <v>-1.2122611556889651E-2</v>
      </c>
      <c r="D864" s="12">
        <v>-5.460612802103415E-3</v>
      </c>
      <c r="E864" s="12">
        <v>-4.3344249662868872E-4</v>
      </c>
      <c r="F864" s="12">
        <v>-2.7587616225606126E-3</v>
      </c>
      <c r="G864" s="12">
        <v>-1.007742411208068E-2</v>
      </c>
      <c r="H864" s="12">
        <v>4.296985066215786E-3</v>
      </c>
      <c r="I864" s="12">
        <v>7.1861666292383219E-4</v>
      </c>
      <c r="J864" s="12">
        <v>-1.0258358662614042E-2</v>
      </c>
      <c r="K864" s="12">
        <v>-2.1169190685554895E-3</v>
      </c>
      <c r="L864" s="12">
        <v>1.2691258450954646E-2</v>
      </c>
      <c r="M864" s="13">
        <f t="shared" si="91"/>
        <v>2.6411626858985717E-4</v>
      </c>
      <c r="N864" s="32">
        <f t="shared" si="92"/>
        <v>195.23665021571014</v>
      </c>
      <c r="O864" s="32">
        <f t="shared" si="93"/>
        <v>151.8762128785653</v>
      </c>
      <c r="P864" s="12" t="str">
        <f t="shared" si="94"/>
        <v/>
      </c>
      <c r="Q864" s="13">
        <f t="shared" si="95"/>
        <v>2.188653539109079E-3</v>
      </c>
      <c r="R864" s="49">
        <f t="shared" si="96"/>
        <v>1</v>
      </c>
    </row>
    <row r="865" spans="1:18" x14ac:dyDescent="0.35">
      <c r="A865" s="64" t="s">
        <v>77</v>
      </c>
      <c r="B865" s="14">
        <v>-2.871076469757039E-3</v>
      </c>
      <c r="C865" s="12">
        <v>1.0927365160988689E-2</v>
      </c>
      <c r="D865" s="12">
        <v>-1.6624300965937922E-2</v>
      </c>
      <c r="E865" s="12">
        <v>2.4379667549987882E-2</v>
      </c>
      <c r="F865" s="12">
        <v>2.049180327868827E-3</v>
      </c>
      <c r="G865" s="12">
        <v>-1.1731843575418899E-2</v>
      </c>
      <c r="H865" s="12">
        <v>4.4539524444133782E-3</v>
      </c>
      <c r="I865" s="12">
        <v>-1.0502221623805097E-2</v>
      </c>
      <c r="J865" s="12">
        <v>-6.5807513024402908E-3</v>
      </c>
      <c r="K865" s="12">
        <v>-4.2428198433419606E-3</v>
      </c>
      <c r="L865" s="12">
        <v>1.1712344811432018E-3</v>
      </c>
      <c r="M865" s="13">
        <f t="shared" si="91"/>
        <v>-3.9506824734095126E-3</v>
      </c>
      <c r="N865" s="32">
        <f t="shared" si="92"/>
        <v>194.46533220353575</v>
      </c>
      <c r="O865" s="32">
        <f t="shared" si="93"/>
        <v>151.44016465745383</v>
      </c>
      <c r="P865" s="12">
        <f t="shared" si="94"/>
        <v>-3.9506824734095126E-3</v>
      </c>
      <c r="Q865" s="13">
        <f t="shared" si="95"/>
        <v>-1.0796060036524736E-3</v>
      </c>
      <c r="R865" s="49" t="str">
        <f t="shared" si="96"/>
        <v/>
      </c>
    </row>
    <row r="866" spans="1:18" x14ac:dyDescent="0.35">
      <c r="A866" s="64" t="s">
        <v>77</v>
      </c>
      <c r="B866" s="14">
        <v>-6.4828909150214109E-3</v>
      </c>
      <c r="C866" s="12">
        <v>-2.1965317919074856E-3</v>
      </c>
      <c r="D866" s="12">
        <v>-1.2200796153647331E-2</v>
      </c>
      <c r="E866" s="12">
        <v>-2.0695169559286963E-2</v>
      </c>
      <c r="F866" s="12">
        <v>3.7218813905930404E-3</v>
      </c>
      <c r="G866" s="12">
        <v>-6.4694428741913779E-3</v>
      </c>
      <c r="H866" s="12">
        <v>-1.1766348940330351E-2</v>
      </c>
      <c r="I866" s="12">
        <v>-9.1168866512449931E-3</v>
      </c>
      <c r="J866" s="12">
        <v>7.6179961357989434E-3</v>
      </c>
      <c r="K866" s="12">
        <v>-5.5719436250409871E-3</v>
      </c>
      <c r="L866" s="12">
        <v>1.4769536733738819E-2</v>
      </c>
      <c r="M866" s="13">
        <f t="shared" si="91"/>
        <v>-6.7150964761177531E-3</v>
      </c>
      <c r="N866" s="32">
        <f t="shared" si="92"/>
        <v>193.15947873652871</v>
      </c>
      <c r="O866" s="32">
        <f t="shared" si="93"/>
        <v>150.45839458982667</v>
      </c>
      <c r="P866" s="12">
        <f t="shared" si="94"/>
        <v>-6.7150964761177531E-3</v>
      </c>
      <c r="Q866" s="13">
        <f t="shared" si="95"/>
        <v>-2.3220556109634222E-4</v>
      </c>
      <c r="R866" s="49" t="str">
        <f t="shared" si="96"/>
        <v/>
      </c>
    </row>
    <row r="867" spans="1:18" x14ac:dyDescent="0.35">
      <c r="A867" s="64">
        <v>11.29</v>
      </c>
      <c r="B867" s="14">
        <v>6.3180440445644859E-3</v>
      </c>
      <c r="C867" s="12">
        <v>6.372378635152387E-3</v>
      </c>
      <c r="D867" s="12">
        <v>3.2448840738996676E-3</v>
      </c>
      <c r="E867" s="12">
        <v>2.161279477450595E-3</v>
      </c>
      <c r="F867" s="12">
        <v>-7.6810235931705773E-3</v>
      </c>
      <c r="G867" s="12">
        <v>-8.9771146794791479E-3</v>
      </c>
      <c r="H867" s="12">
        <v>7.1014697569247165E-3</v>
      </c>
      <c r="I867" s="12">
        <v>1.1489517531813487E-2</v>
      </c>
      <c r="J867" s="12">
        <v>-1.4737303456966E-2</v>
      </c>
      <c r="K867" s="12">
        <v>2.9663810151614456E-3</v>
      </c>
      <c r="L867" s="12">
        <v>1.4208721215090536E-2</v>
      </c>
      <c r="M867" s="13">
        <f t="shared" si="91"/>
        <v>6.4848690668961404E-3</v>
      </c>
      <c r="N867" s="32">
        <f t="shared" si="92"/>
        <v>194.41209266516501</v>
      </c>
      <c r="O867" s="32">
        <f t="shared" si="93"/>
        <v>151.40899735371966</v>
      </c>
      <c r="P867" s="12" t="str">
        <f t="shared" si="94"/>
        <v/>
      </c>
      <c r="Q867" s="13">
        <f t="shared" si="95"/>
        <v>1.6682502233165454E-4</v>
      </c>
      <c r="R867" s="49">
        <f t="shared" si="96"/>
        <v>1</v>
      </c>
    </row>
    <row r="868" spans="1:18" x14ac:dyDescent="0.35">
      <c r="A868" s="64" t="s">
        <v>77</v>
      </c>
      <c r="B868" s="14">
        <v>5.6491799076401339E-3</v>
      </c>
      <c r="C868" s="12">
        <v>1.3585079438176439E-2</v>
      </c>
      <c r="D868" s="12">
        <v>8.6076477646199745E-3</v>
      </c>
      <c r="E868" s="12">
        <v>9.8006326080706252E-3</v>
      </c>
      <c r="F868" s="12">
        <v>1.287342161995686E-2</v>
      </c>
      <c r="G868" s="12">
        <v>-3.5085480990046936E-3</v>
      </c>
      <c r="H868" s="12">
        <v>8.0687598666902005E-3</v>
      </c>
      <c r="I868" s="12">
        <v>3.258360863465537E-3</v>
      </c>
      <c r="J868" s="12">
        <v>7.2286476868326233E-3</v>
      </c>
      <c r="K868" s="12">
        <v>1.6431153466966997E-4</v>
      </c>
      <c r="L868" s="12">
        <v>5.6834327934072171E-3</v>
      </c>
      <c r="M868" s="13">
        <f t="shared" si="91"/>
        <v>5.3564777781848266E-3</v>
      </c>
      <c r="N868" s="32">
        <f t="shared" si="92"/>
        <v>195.4534567193364</v>
      </c>
      <c r="O868" s="32">
        <f t="shared" si="93"/>
        <v>152.26433401940622</v>
      </c>
      <c r="P868" s="12" t="str">
        <f t="shared" si="94"/>
        <v/>
      </c>
      <c r="Q868" s="13">
        <f t="shared" si="95"/>
        <v>-2.927021294553073E-4</v>
      </c>
      <c r="R868" s="49">
        <f t="shared" si="96"/>
        <v>1</v>
      </c>
    </row>
    <row r="869" spans="1:18" x14ac:dyDescent="0.35">
      <c r="A869" s="64" t="s">
        <v>77</v>
      </c>
      <c r="B869" s="14">
        <v>8.9041056211149883E-3</v>
      </c>
      <c r="C869" s="12">
        <v>1.4709223080417777E-2</v>
      </c>
      <c r="D869" s="12">
        <v>3.2067859728974746E-3</v>
      </c>
      <c r="E869" s="12">
        <v>9.064806245699053E-3</v>
      </c>
      <c r="F869" s="12">
        <v>1.844644449850108E-3</v>
      </c>
      <c r="G869" s="12">
        <v>-2.8807374687921383E-3</v>
      </c>
      <c r="H869" s="12">
        <v>6.7165477640507287E-3</v>
      </c>
      <c r="I869" s="12">
        <v>2.8057196986783328E-2</v>
      </c>
      <c r="J869" s="12">
        <v>3.6656729601413307E-2</v>
      </c>
      <c r="K869" s="12">
        <v>6.242812551338961E-3</v>
      </c>
      <c r="L869" s="12">
        <v>7.2054252613733549E-3</v>
      </c>
      <c r="M869" s="13">
        <f t="shared" si="91"/>
        <v>1.016525263813545E-2</v>
      </c>
      <c r="N869" s="32">
        <f t="shared" si="92"/>
        <v>197.44029048588533</v>
      </c>
      <c r="O869" s="32">
        <f t="shared" si="93"/>
        <v>153.62011173184374</v>
      </c>
      <c r="P869" s="12" t="str">
        <f t="shared" si="94"/>
        <v/>
      </c>
      <c r="Q869" s="13">
        <f t="shared" si="95"/>
        <v>1.2611470170204621E-3</v>
      </c>
      <c r="R869" s="49">
        <f t="shared" si="96"/>
        <v>1</v>
      </c>
    </row>
    <row r="870" spans="1:18" x14ac:dyDescent="0.35">
      <c r="A870" s="64" t="s">
        <v>77</v>
      </c>
      <c r="B870" s="14">
        <v>3.2365990253835353E-3</v>
      </c>
      <c r="C870" s="12">
        <v>-4.0857446689427368E-2</v>
      </c>
      <c r="D870" s="12">
        <v>-1.0620746545679571E-2</v>
      </c>
      <c r="E870" s="12">
        <v>9.7359076264609268E-3</v>
      </c>
      <c r="F870" s="12">
        <v>-5.1393076098172896E-3</v>
      </c>
      <c r="G870" s="12">
        <v>-6.4201335387759073E-5</v>
      </c>
      <c r="H870" s="12">
        <v>3.7679756637170048E-3</v>
      </c>
      <c r="I870" s="12">
        <v>5.3091132464568869E-3</v>
      </c>
      <c r="J870" s="12">
        <v>-4.2603046117806187E-4</v>
      </c>
      <c r="K870" s="12">
        <v>3.2653061224490187E-3</v>
      </c>
      <c r="L870" s="12">
        <v>2.2752139149951001E-2</v>
      </c>
      <c r="M870" s="13">
        <f t="shared" si="91"/>
        <v>4.059862536181136E-3</v>
      </c>
      <c r="N870" s="32">
        <f t="shared" si="92"/>
        <v>198.24187092436171</v>
      </c>
      <c r="O870" s="32">
        <f t="shared" si="93"/>
        <v>154.11731843575433</v>
      </c>
      <c r="P870" s="12" t="str">
        <f t="shared" si="94"/>
        <v/>
      </c>
      <c r="Q870" s="13">
        <f t="shared" si="95"/>
        <v>8.2326351079760069E-4</v>
      </c>
      <c r="R870" s="49">
        <f t="shared" si="96"/>
        <v>1</v>
      </c>
    </row>
    <row r="871" spans="1:18" x14ac:dyDescent="0.35">
      <c r="A871" s="64" t="s">
        <v>77</v>
      </c>
      <c r="B871" s="14">
        <v>-1.4022623165372838E-3</v>
      </c>
      <c r="C871" s="12">
        <v>5.3101476337749087E-3</v>
      </c>
      <c r="D871" s="12">
        <v>-5.5237102657634818E-3</v>
      </c>
      <c r="E871" s="12">
        <v>-1.4672659943638644E-3</v>
      </c>
      <c r="F871" s="12">
        <v>-3.2947588927982885E-3</v>
      </c>
      <c r="G871" s="12">
        <v>-3.3386837881220766E-3</v>
      </c>
      <c r="H871" s="12">
        <v>-2.4486000619898807E-2</v>
      </c>
      <c r="I871" s="12">
        <v>-1.3791899441340738E-2</v>
      </c>
      <c r="J871" s="12">
        <v>6.126798082045859E-3</v>
      </c>
      <c r="K871" s="12">
        <v>-9.438567941415843E-3</v>
      </c>
      <c r="L871" s="12">
        <v>-1.7692560895325893E-2</v>
      </c>
      <c r="M871" s="13">
        <f t="shared" si="91"/>
        <v>-9.4986019880226001E-3</v>
      </c>
      <c r="N871" s="32">
        <f t="shared" si="92"/>
        <v>196.35885029509026</v>
      </c>
      <c r="O871" s="32">
        <f t="shared" si="93"/>
        <v>153.90120552778609</v>
      </c>
      <c r="P871" s="12">
        <f t="shared" si="94"/>
        <v>-9.4986019880226001E-3</v>
      </c>
      <c r="Q871" s="13">
        <f t="shared" si="95"/>
        <v>-8.0963396714853163E-3</v>
      </c>
      <c r="R871" s="49" t="str">
        <f t="shared" si="96"/>
        <v/>
      </c>
    </row>
    <row r="872" spans="1:18" x14ac:dyDescent="0.35">
      <c r="A872" s="64">
        <v>11.18</v>
      </c>
      <c r="B872" s="14">
        <v>-3.0549197773100945E-3</v>
      </c>
      <c r="C872" s="12">
        <v>-8.3004411423265312E-3</v>
      </c>
      <c r="D872" s="12">
        <v>-1.0741982812827566E-2</v>
      </c>
      <c r="E872" s="12">
        <v>-1.3714605588468487E-2</v>
      </c>
      <c r="F872" s="12">
        <v>-8.5497990083048814E-3</v>
      </c>
      <c r="G872" s="12">
        <v>-6.4420537267184663E-5</v>
      </c>
      <c r="H872" s="12">
        <v>-7.2371672668219977E-3</v>
      </c>
      <c r="I872" s="12">
        <v>3.0978934324665808E-4</v>
      </c>
      <c r="J872" s="12">
        <v>1.3555732062483505E-2</v>
      </c>
      <c r="K872" s="12">
        <v>-4.928536224741209E-3</v>
      </c>
      <c r="L872" s="12">
        <v>-6.0316662478010485E-3</v>
      </c>
      <c r="M872" s="13">
        <f t="shared" si="91"/>
        <v>-6.9246548555717139E-3</v>
      </c>
      <c r="N872" s="32">
        <f t="shared" si="92"/>
        <v>194.9991330289599</v>
      </c>
      <c r="O872" s="32">
        <f t="shared" si="93"/>
        <v>153.43104969126739</v>
      </c>
      <c r="P872" s="12">
        <f t="shared" si="94"/>
        <v>-6.9246548555717139E-3</v>
      </c>
      <c r="Q872" s="13">
        <f t="shared" si="95"/>
        <v>-3.8697350782616194E-3</v>
      </c>
      <c r="R872" s="49" t="str">
        <f t="shared" si="96"/>
        <v/>
      </c>
    </row>
    <row r="873" spans="1:18" x14ac:dyDescent="0.35">
      <c r="A873" s="64" t="s">
        <v>77</v>
      </c>
      <c r="B873" s="14">
        <v>-2.7998213940082506E-3</v>
      </c>
      <c r="C873" s="12">
        <v>-6.6725197541702697E-3</v>
      </c>
      <c r="D873" s="12">
        <v>-1.536098310291778E-3</v>
      </c>
      <c r="E873" s="12">
        <v>-2.8614671522491086E-3</v>
      </c>
      <c r="F873" s="12">
        <v>1.3233720260146464E-2</v>
      </c>
      <c r="G873" s="12">
        <v>3.5433578147145983E-3</v>
      </c>
      <c r="H873" s="12">
        <v>-2.1691973969629741E-3</v>
      </c>
      <c r="I873" s="12">
        <v>-6.9459806220413256E-3</v>
      </c>
      <c r="J873" s="12">
        <v>-2.0427354892638805E-2</v>
      </c>
      <c r="K873" s="12">
        <v>-9.9058940069340906E-4</v>
      </c>
      <c r="L873" s="12">
        <v>1.2361286697570861E-3</v>
      </c>
      <c r="M873" s="13">
        <f t="shared" si="91"/>
        <v>-2.1681728062741697E-3</v>
      </c>
      <c r="N873" s="32">
        <f t="shared" si="92"/>
        <v>194.57634121147947</v>
      </c>
      <c r="O873" s="32">
        <f t="shared" si="93"/>
        <v>153.00147015583664</v>
      </c>
      <c r="P873" s="12">
        <f t="shared" si="94"/>
        <v>-2.1681728062741697E-3</v>
      </c>
      <c r="Q873" s="13">
        <f t="shared" si="95"/>
        <v>6.3164858773408087E-4</v>
      </c>
      <c r="R873" s="49" t="str">
        <f t="shared" si="96"/>
        <v/>
      </c>
    </row>
    <row r="874" spans="1:18" x14ac:dyDescent="0.35">
      <c r="A874" s="64" t="s">
        <v>77</v>
      </c>
      <c r="B874" s="14">
        <v>8.6305966277062662E-3</v>
      </c>
      <c r="C874" s="12">
        <v>2.121265688527485E-2</v>
      </c>
      <c r="D874" s="12">
        <v>1.2201591511936449E-2</v>
      </c>
      <c r="E874" s="12">
        <v>-5.21759753349893E-4</v>
      </c>
      <c r="F874" s="12">
        <v>1.6046799780626841E-3</v>
      </c>
      <c r="G874" s="12">
        <v>1.4059189831161278E-2</v>
      </c>
      <c r="H874" s="12">
        <v>-5.6307911617963224E-3</v>
      </c>
      <c r="I874" s="12">
        <v>1.465739998217952E-2</v>
      </c>
      <c r="J874" s="12">
        <v>2.3733333333333162E-2</v>
      </c>
      <c r="K874" s="12">
        <v>3.4705007436788282E-3</v>
      </c>
      <c r="L874" s="12">
        <v>2.3176856814164148E-2</v>
      </c>
      <c r="M874" s="13">
        <f t="shared" si="91"/>
        <v>1.082036301845204E-2</v>
      </c>
      <c r="N874" s="32">
        <f t="shared" si="92"/>
        <v>196.68172785818987</v>
      </c>
      <c r="O874" s="32">
        <f t="shared" si="93"/>
        <v>154.32196412819772</v>
      </c>
      <c r="P874" s="12" t="str">
        <f t="shared" si="94"/>
        <v/>
      </c>
      <c r="Q874" s="13">
        <f t="shared" si="95"/>
        <v>2.1897663907457735E-3</v>
      </c>
      <c r="R874" s="49">
        <f t="shared" si="96"/>
        <v>1</v>
      </c>
    </row>
    <row r="875" spans="1:18" x14ac:dyDescent="0.35">
      <c r="A875" s="64" t="s">
        <v>77</v>
      </c>
      <c r="B875" s="14">
        <v>1.1165116061955249E-3</v>
      </c>
      <c r="C875" s="12">
        <v>-1.0559113726847924E-2</v>
      </c>
      <c r="D875" s="12">
        <v>8.3857442348000966E-4</v>
      </c>
      <c r="E875" s="12">
        <v>-1.6847400517285838E-3</v>
      </c>
      <c r="F875" s="12">
        <v>3.2447779355100348E-3</v>
      </c>
      <c r="G875" s="12">
        <v>1.4560648265382614E-3</v>
      </c>
      <c r="H875" s="12">
        <v>2.1503834850555847E-4</v>
      </c>
      <c r="I875" s="12">
        <v>-2.6344676180023452E-4</v>
      </c>
      <c r="J875" s="12">
        <v>5.4180776243815121E-3</v>
      </c>
      <c r="K875" s="12">
        <v>-9.0579710144926828E-3</v>
      </c>
      <c r="L875" s="12">
        <v>4.8813931166873381E-3</v>
      </c>
      <c r="M875" s="13">
        <f t="shared" si="91"/>
        <v>-1.2509201212511549E-3</v>
      </c>
      <c r="N875" s="32">
        <f t="shared" si="92"/>
        <v>196.4356947273296</v>
      </c>
      <c r="O875" s="32">
        <f t="shared" si="93"/>
        <v>154.49426639223773</v>
      </c>
      <c r="P875" s="12">
        <f t="shared" si="94"/>
        <v>-1.2509201212511549E-3</v>
      </c>
      <c r="Q875" s="13">
        <f t="shared" si="95"/>
        <v>-2.3674317274466799E-3</v>
      </c>
      <c r="R875" s="49" t="str">
        <f t="shared" si="96"/>
        <v/>
      </c>
    </row>
    <row r="876" spans="1:18" x14ac:dyDescent="0.35">
      <c r="A876" s="64" t="s">
        <v>77</v>
      </c>
      <c r="B876" s="14">
        <v>-2.0135697089078697E-3</v>
      </c>
      <c r="C876" s="12">
        <v>-8.455796594354914E-3</v>
      </c>
      <c r="D876" s="12">
        <v>-5.9174696271470095E-3</v>
      </c>
      <c r="E876" s="12">
        <v>9.1509792736261808E-3</v>
      </c>
      <c r="F876" s="12">
        <v>-1.0107135637760223E-2</v>
      </c>
      <c r="G876" s="12">
        <v>-2.5918199633352401E-3</v>
      </c>
      <c r="H876" s="12">
        <v>-2.8665615594095639E-3</v>
      </c>
      <c r="I876" s="12">
        <v>-3.5135491238080796E-4</v>
      </c>
      <c r="J876" s="12">
        <v>-1.8083838540857045E-2</v>
      </c>
      <c r="K876" s="12">
        <v>-2.8253282366628163E-3</v>
      </c>
      <c r="L876" s="12">
        <v>-7.3411019840078362E-3</v>
      </c>
      <c r="M876" s="13">
        <f t="shared" si="91"/>
        <v>-2.3025913899226724E-3</v>
      </c>
      <c r="N876" s="32">
        <f t="shared" si="92"/>
        <v>195.98338358797696</v>
      </c>
      <c r="O876" s="32">
        <f t="shared" si="93"/>
        <v>154.18318141723037</v>
      </c>
      <c r="P876" s="12">
        <f t="shared" si="94"/>
        <v>-2.3025913899226724E-3</v>
      </c>
      <c r="Q876" s="13">
        <f t="shared" si="95"/>
        <v>-2.8902168101480269E-4</v>
      </c>
      <c r="R876" s="49" t="str">
        <f t="shared" si="96"/>
        <v/>
      </c>
    </row>
    <row r="877" spans="1:18" x14ac:dyDescent="0.35">
      <c r="A877" s="64">
        <v>11.09</v>
      </c>
      <c r="B877" s="14">
        <v>-7.2390665494481699E-3</v>
      </c>
      <c r="C877" s="12">
        <v>-6.9987649238369976E-3</v>
      </c>
      <c r="D877" s="12">
        <v>-5.0044776905653343E-3</v>
      </c>
      <c r="E877" s="12">
        <v>-7.3721647784817934E-3</v>
      </c>
      <c r="F877" s="12">
        <v>-6.4447620992444388E-2</v>
      </c>
      <c r="G877" s="12">
        <v>-3.1689694511349842E-4</v>
      </c>
      <c r="H877" s="12">
        <v>5.7496047146776696E-4</v>
      </c>
      <c r="I877" s="12">
        <v>-9.1384385571812166E-3</v>
      </c>
      <c r="J877" s="12">
        <v>-7.7044854881267444E-3</v>
      </c>
      <c r="K877" s="12">
        <v>-1.4000000000000012E-2</v>
      </c>
      <c r="L877" s="12">
        <v>2.9966459559025438E-3</v>
      </c>
      <c r="M877" s="13">
        <f t="shared" si="91"/>
        <v>-6.781076401605619E-3</v>
      </c>
      <c r="N877" s="32">
        <f t="shared" si="92"/>
        <v>194.65440529042169</v>
      </c>
      <c r="O877" s="32">
        <f t="shared" si="93"/>
        <v>153.06703910614542</v>
      </c>
      <c r="P877" s="12">
        <f t="shared" si="94"/>
        <v>-6.781076401605619E-3</v>
      </c>
      <c r="Q877" s="13">
        <f t="shared" si="95"/>
        <v>4.5799014784255083E-4</v>
      </c>
      <c r="R877" s="49" t="str">
        <f t="shared" si="96"/>
        <v/>
      </c>
    </row>
    <row r="878" spans="1:18" x14ac:dyDescent="0.35">
      <c r="A878" s="64" t="s">
        <v>77</v>
      </c>
      <c r="B878" s="14">
        <v>1.0910886106099138E-3</v>
      </c>
      <c r="C878" s="12">
        <v>4.7974413646054703E-3</v>
      </c>
      <c r="D878" s="12">
        <v>1.0694620923337617E-2</v>
      </c>
      <c r="E878" s="12">
        <v>-2.3490888382687869E-3</v>
      </c>
      <c r="F878" s="12">
        <v>3.4923822412362693E-3</v>
      </c>
      <c r="G878" s="12">
        <v>-2.1999619603119247E-2</v>
      </c>
      <c r="H878" s="12">
        <v>-5.3153282574343041E-3</v>
      </c>
      <c r="I878" s="12">
        <v>4.877399902452062E-3</v>
      </c>
      <c r="J878" s="12">
        <v>-1.6592214422463281E-2</v>
      </c>
      <c r="K878" s="12">
        <v>4.563894523326617E-3</v>
      </c>
      <c r="L878" s="12">
        <v>3.0041389140147645E-2</v>
      </c>
      <c r="M878" s="13">
        <f t="shared" si="91"/>
        <v>9.6821004207141639E-3</v>
      </c>
      <c r="N878" s="32">
        <f t="shared" si="92"/>
        <v>196.53906878977796</v>
      </c>
      <c r="O878" s="32">
        <f t="shared" si="93"/>
        <v>153.23404880917391</v>
      </c>
      <c r="P878" s="12" t="str">
        <f t="shared" si="94"/>
        <v/>
      </c>
      <c r="Q878" s="13">
        <f t="shared" si="95"/>
        <v>8.5910118101042501E-3</v>
      </c>
      <c r="R878" s="49">
        <f t="shared" si="96"/>
        <v>1</v>
      </c>
    </row>
    <row r="879" spans="1:18" x14ac:dyDescent="0.35">
      <c r="A879" s="64" t="s">
        <v>77</v>
      </c>
      <c r="B879" s="14">
        <v>-1.2334284436888443E-2</v>
      </c>
      <c r="C879" s="12">
        <v>-4.892425582080806E-3</v>
      </c>
      <c r="D879" s="12">
        <v>-1.5505500261917327E-2</v>
      </c>
      <c r="E879" s="12">
        <v>-6.1124985134973775E-3</v>
      </c>
      <c r="F879" s="12">
        <v>-9.4836211771871515E-3</v>
      </c>
      <c r="G879" s="12">
        <v>-1.1409308958900466E-2</v>
      </c>
      <c r="H879" s="12">
        <v>-1.0687463893703009E-2</v>
      </c>
      <c r="I879" s="12">
        <v>-3.1063848563738228E-2</v>
      </c>
      <c r="J879" s="12">
        <v>-8.8146225394765132E-3</v>
      </c>
      <c r="K879" s="12">
        <v>1.1778563015312216E-3</v>
      </c>
      <c r="L879" s="12">
        <v>-1.5966364192767202E-2</v>
      </c>
      <c r="M879" s="13">
        <f t="shared" si="91"/>
        <v>-1.3541457810126894E-2</v>
      </c>
      <c r="N879" s="32">
        <f t="shared" si="92"/>
        <v>193.87764328171954</v>
      </c>
      <c r="O879" s="32">
        <f t="shared" si="93"/>
        <v>151.34401646574551</v>
      </c>
      <c r="P879" s="12">
        <f t="shared" si="94"/>
        <v>-1.3541457810126894E-2</v>
      </c>
      <c r="Q879" s="13">
        <f t="shared" si="95"/>
        <v>-1.2071733732384512E-3</v>
      </c>
      <c r="R879" s="49" t="str">
        <f t="shared" si="96"/>
        <v/>
      </c>
    </row>
    <row r="880" spans="1:18" x14ac:dyDescent="0.35">
      <c r="A880" s="64" t="s">
        <v>77</v>
      </c>
      <c r="B880" s="14">
        <v>1.1099216857287653E-2</v>
      </c>
      <c r="C880" s="12">
        <v>4.5018362753228569E-3</v>
      </c>
      <c r="D880" s="12">
        <v>6.3850164946259724E-3</v>
      </c>
      <c r="E880" s="12">
        <v>1.8282760601129544E-2</v>
      </c>
      <c r="F880" s="12">
        <v>7.9054855285698444E-4</v>
      </c>
      <c r="G880" s="12">
        <v>-7.2131147540988039E-4</v>
      </c>
      <c r="H880" s="12">
        <v>1.1459854014598481E-2</v>
      </c>
      <c r="I880" s="12">
        <v>1.3069811922218788E-2</v>
      </c>
      <c r="J880" s="12">
        <v>-8.1837525233241504E-4</v>
      </c>
      <c r="K880" s="12">
        <v>5.8823529411764497E-3</v>
      </c>
      <c r="L880" s="12">
        <v>2.5717299007544714E-2</v>
      </c>
      <c r="M880" s="13">
        <f t="shared" si="91"/>
        <v>1.2501713953677471E-2</v>
      </c>
      <c r="N880" s="32">
        <f t="shared" si="92"/>
        <v>196.30144612004071</v>
      </c>
      <c r="O880" s="32">
        <f t="shared" si="93"/>
        <v>153.02381652455173</v>
      </c>
      <c r="P880" s="12" t="str">
        <f t="shared" si="94"/>
        <v/>
      </c>
      <c r="Q880" s="13">
        <f t="shared" si="95"/>
        <v>1.4024970963898188E-3</v>
      </c>
      <c r="R880" s="49">
        <f t="shared" si="96"/>
        <v>1</v>
      </c>
    </row>
    <row r="881" spans="1:18" x14ac:dyDescent="0.35">
      <c r="A881" s="64" t="s">
        <v>77</v>
      </c>
      <c r="B881" s="14">
        <v>-3.7468728023148934E-4</v>
      </c>
      <c r="C881" s="12">
        <v>-6.6635216417031407E-3</v>
      </c>
      <c r="D881" s="12">
        <v>3.595220471608318E-3</v>
      </c>
      <c r="E881" s="12">
        <v>-2.185561195713448E-3</v>
      </c>
      <c r="F881" s="12">
        <v>5.705007240970339E-4</v>
      </c>
      <c r="G881" s="12">
        <v>-5.2496882997571381E-3</v>
      </c>
      <c r="H881" s="12">
        <v>2.2371364653244186E-3</v>
      </c>
      <c r="I881" s="12">
        <v>7.4170637417962926E-3</v>
      </c>
      <c r="J881" s="12">
        <v>-8.6272796767499216E-3</v>
      </c>
      <c r="K881" s="12">
        <v>-1.1695906432748204E-3</v>
      </c>
      <c r="L881" s="12">
        <v>-1.5370419193250662E-2</v>
      </c>
      <c r="M881" s="13">
        <f t="shared" si="91"/>
        <v>-7.6495796244767465E-4</v>
      </c>
      <c r="N881" s="32">
        <f t="shared" si="92"/>
        <v>196.15128376579119</v>
      </c>
      <c r="O881" s="32">
        <f t="shared" si="93"/>
        <v>152.96648044692751</v>
      </c>
      <c r="P881" s="12">
        <f t="shared" si="94"/>
        <v>-7.6495796244767465E-4</v>
      </c>
      <c r="Q881" s="13">
        <f t="shared" si="95"/>
        <v>-3.9027068221618531E-4</v>
      </c>
      <c r="R881" s="49" t="str">
        <f t="shared" si="96"/>
        <v/>
      </c>
    </row>
    <row r="882" spans="1:18" x14ac:dyDescent="0.35">
      <c r="A882" s="64">
        <v>11.28</v>
      </c>
      <c r="B882" s="14">
        <v>1.4454894769517779E-3</v>
      </c>
      <c r="C882" s="12">
        <v>7.2425051944196017E-3</v>
      </c>
      <c r="D882" s="12">
        <v>-2.6867558739858133E-3</v>
      </c>
      <c r="E882" s="12">
        <v>3.9803104171083348E-3</v>
      </c>
      <c r="F882" s="12">
        <v>8.1578947368421417E-3</v>
      </c>
      <c r="G882" s="12">
        <v>4.6177188468896624E-3</v>
      </c>
      <c r="H882" s="12">
        <v>-3.7442396313362991E-3</v>
      </c>
      <c r="I882" s="12">
        <v>-1.9053143545580298E-2</v>
      </c>
      <c r="J882" s="12">
        <v>-1.8946904604538406E-2</v>
      </c>
      <c r="K882" s="12">
        <v>1.6728002676469345E-4</v>
      </c>
      <c r="L882" s="12">
        <v>-4.2038182451068495E-3</v>
      </c>
      <c r="M882" s="13">
        <f t="shared" si="91"/>
        <v>-4.5313253175556546E-3</v>
      </c>
      <c r="N882" s="32">
        <f t="shared" si="92"/>
        <v>195.26245848759223</v>
      </c>
      <c r="O882" s="32">
        <f t="shared" si="93"/>
        <v>153.1875918847399</v>
      </c>
      <c r="P882" s="12">
        <f t="shared" si="94"/>
        <v>-4.5313253175556546E-3</v>
      </c>
      <c r="Q882" s="13">
        <f t="shared" si="95"/>
        <v>-5.9768147945074325E-3</v>
      </c>
      <c r="R882" s="49" t="str">
        <f t="shared" si="96"/>
        <v/>
      </c>
    </row>
    <row r="883" spans="1:18" x14ac:dyDescent="0.35">
      <c r="A883" s="64" t="s">
        <v>77</v>
      </c>
      <c r="B883" s="14">
        <v>-9.4569771838668437E-3</v>
      </c>
      <c r="C883" s="12">
        <v>-1.1139270348323183E-2</v>
      </c>
      <c r="D883" s="12">
        <v>-1.7273255506840668E-2</v>
      </c>
      <c r="E883" s="12">
        <v>-7.0845453692408578E-3</v>
      </c>
      <c r="F883" s="12">
        <v>-2.1034542765161479E-2</v>
      </c>
      <c r="G883" s="12">
        <v>-1.3723816402915534E-2</v>
      </c>
      <c r="H883" s="12">
        <v>-8.0948250939578692E-3</v>
      </c>
      <c r="I883" s="12">
        <v>-9.9617903930130369E-3</v>
      </c>
      <c r="J883" s="12">
        <v>-1.9593532450033702E-2</v>
      </c>
      <c r="K883" s="12">
        <v>1.3881920053520735E-2</v>
      </c>
      <c r="L883" s="12">
        <v>4.5711212691590397E-4</v>
      </c>
      <c r="M883" s="13">
        <f t="shared" si="91"/>
        <v>-4.4617075214795857E-3</v>
      </c>
      <c r="N883" s="32">
        <f t="shared" si="92"/>
        <v>194.39125450789555</v>
      </c>
      <c r="O883" s="32">
        <f t="shared" si="93"/>
        <v>151.73890032343442</v>
      </c>
      <c r="P883" s="12">
        <f t="shared" si="94"/>
        <v>-4.4617075214795857E-3</v>
      </c>
      <c r="Q883" s="13">
        <f t="shared" si="95"/>
        <v>4.995269662387258E-3</v>
      </c>
      <c r="R883" s="49" t="str">
        <f t="shared" si="96"/>
        <v/>
      </c>
    </row>
    <row r="884" spans="1:18" x14ac:dyDescent="0.35">
      <c r="A884" s="64" t="s">
        <v>77</v>
      </c>
      <c r="B884" s="14">
        <v>7.4448130464439544E-3</v>
      </c>
      <c r="C884" s="12">
        <v>4.3270950053641677E-2</v>
      </c>
      <c r="D884" s="12">
        <v>-7.5252633842182171E-4</v>
      </c>
      <c r="E884" s="12">
        <v>1.1033407361905168E-2</v>
      </c>
      <c r="F884" s="12">
        <v>-1.8509054549494475E-2</v>
      </c>
      <c r="G884" s="12">
        <v>-9.3874833555259718E-3</v>
      </c>
      <c r="H884" s="12">
        <v>4.3719032352083076E-3</v>
      </c>
      <c r="I884" s="12">
        <v>2.5269928784745765E-3</v>
      </c>
      <c r="J884" s="12">
        <v>-7.2725190402563866E-3</v>
      </c>
      <c r="K884" s="12">
        <v>-8.7429891125040404E-3</v>
      </c>
      <c r="L884" s="12">
        <v>-2.4188996694163301E-4</v>
      </c>
      <c r="M884" s="13">
        <f t="shared" si="91"/>
        <v>-1.8485282570574884E-4</v>
      </c>
      <c r="N884" s="32">
        <f t="shared" si="92"/>
        <v>194.35532073520727</v>
      </c>
      <c r="O884" s="32">
        <f t="shared" si="93"/>
        <v>152.86856806821538</v>
      </c>
      <c r="P884" s="12">
        <f t="shared" si="94"/>
        <v>-1.8485282570574884E-4</v>
      </c>
      <c r="Q884" s="13">
        <f t="shared" si="95"/>
        <v>-7.629665872149703E-3</v>
      </c>
      <c r="R884" s="49" t="str">
        <f t="shared" si="96"/>
        <v/>
      </c>
    </row>
    <row r="885" spans="1:18" x14ac:dyDescent="0.35">
      <c r="A885" s="64" t="s">
        <v>77</v>
      </c>
      <c r="B885" s="14">
        <v>-1.4550707243232486E-2</v>
      </c>
      <c r="C885" s="12">
        <v>8.6265996343692919E-3</v>
      </c>
      <c r="D885" s="12">
        <v>-1.9526627218934833E-2</v>
      </c>
      <c r="E885" s="12">
        <v>-1.4091089664197476E-2</v>
      </c>
      <c r="F885" s="12">
        <v>-5.7049714751427061E-3</v>
      </c>
      <c r="G885" s="12">
        <v>-8.5355198602055093E-3</v>
      </c>
      <c r="H885" s="12">
        <v>1.0156703424260005E-3</v>
      </c>
      <c r="I885" s="12">
        <v>0</v>
      </c>
      <c r="J885" s="12">
        <v>-2.1977388094139405E-2</v>
      </c>
      <c r="K885" s="12">
        <v>8.3208520552502385E-4</v>
      </c>
      <c r="L885" s="12">
        <v>-1.707081025861612E-2</v>
      </c>
      <c r="M885" s="13">
        <f t="shared" si="91"/>
        <v>-1.0038094881919955E-2</v>
      </c>
      <c r="N885" s="32">
        <f t="shared" si="92"/>
        <v>192.40436358486127</v>
      </c>
      <c r="O885" s="32">
        <f t="shared" si="93"/>
        <v>150.64422228756263</v>
      </c>
      <c r="P885" s="12">
        <f t="shared" si="94"/>
        <v>-1.0038094881919955E-2</v>
      </c>
      <c r="Q885" s="13">
        <f t="shared" si="95"/>
        <v>4.5126123613125312E-3</v>
      </c>
      <c r="R885" s="49" t="str">
        <f t="shared" si="96"/>
        <v/>
      </c>
    </row>
    <row r="886" spans="1:18" x14ac:dyDescent="0.35">
      <c r="A886" s="64" t="s">
        <v>77</v>
      </c>
      <c r="B886" s="14">
        <v>-1.2021290507689297E-2</v>
      </c>
      <c r="C886" s="12">
        <v>-2.1863494760691049E-2</v>
      </c>
      <c r="D886" s="12">
        <v>-5.5960937071378725E-3</v>
      </c>
      <c r="E886" s="12">
        <v>-1.9578099075610367E-2</v>
      </c>
      <c r="F886" s="12">
        <v>1.4640255009107594E-2</v>
      </c>
      <c r="G886" s="12">
        <v>4.7451193058556385E-4</v>
      </c>
      <c r="H886" s="12">
        <v>-1.695897956225545E-2</v>
      </c>
      <c r="I886" s="12">
        <v>9.1659028414303734E-4</v>
      </c>
      <c r="J886" s="12">
        <v>-1.0203479799469339E-2</v>
      </c>
      <c r="K886" s="12">
        <v>-3.4918523445294225E-3</v>
      </c>
      <c r="L886" s="12">
        <v>-4.7042091732077962E-3</v>
      </c>
      <c r="M886" s="13">
        <f t="shared" si="91"/>
        <v>-5.6619267916963026E-3</v>
      </c>
      <c r="N886" s="32">
        <f t="shared" si="92"/>
        <v>191.31498416384088</v>
      </c>
      <c r="O886" s="32">
        <f t="shared" si="93"/>
        <v>148.83328432813892</v>
      </c>
      <c r="P886" s="12">
        <f t="shared" si="94"/>
        <v>-5.6619267916963026E-3</v>
      </c>
      <c r="Q886" s="13">
        <f t="shared" si="95"/>
        <v>6.3593637159929947E-3</v>
      </c>
      <c r="R886" s="49" t="str">
        <f t="shared" si="96"/>
        <v/>
      </c>
    </row>
    <row r="887" spans="1:18" x14ac:dyDescent="0.35">
      <c r="A887" s="64">
        <v>11.25</v>
      </c>
      <c r="B887" s="14">
        <v>-2.056572537150636E-3</v>
      </c>
      <c r="C887" s="12">
        <v>-1.916729399502004E-2</v>
      </c>
      <c r="D887" s="12">
        <v>1.379310344827589E-2</v>
      </c>
      <c r="E887" s="12">
        <v>2.2725074944396351E-3</v>
      </c>
      <c r="F887" s="12">
        <v>5.2195767789421588E-2</v>
      </c>
      <c r="G887" s="12">
        <v>-2.1275154143234776E-2</v>
      </c>
      <c r="H887" s="12">
        <v>2.5803597758788932E-4</v>
      </c>
      <c r="I887" s="12">
        <v>-2.7472527472527375E-4</v>
      </c>
      <c r="J887" s="12">
        <v>1.6267429388630683E-2</v>
      </c>
      <c r="K887" s="12">
        <v>-1.501752044051341E-3</v>
      </c>
      <c r="L887" s="12">
        <v>-1.1074166689566178E-2</v>
      </c>
      <c r="M887" s="13">
        <f t="shared" si="91"/>
        <v>1.8304460760857786E-3</v>
      </c>
      <c r="N887" s="32">
        <f t="shared" si="92"/>
        <v>191.6651759259</v>
      </c>
      <c r="O887" s="32">
        <f t="shared" si="93"/>
        <v>148.52719788297574</v>
      </c>
      <c r="P887" s="12" t="str">
        <f t="shared" si="94"/>
        <v/>
      </c>
      <c r="Q887" s="13">
        <f t="shared" si="95"/>
        <v>3.8870186132364147E-3</v>
      </c>
      <c r="R887" s="49">
        <f t="shared" si="96"/>
        <v>1</v>
      </c>
    </row>
    <row r="888" spans="1:18" x14ac:dyDescent="0.35">
      <c r="A888" s="64" t="s">
        <v>77</v>
      </c>
      <c r="B888" s="14">
        <v>-5.780564238499708E-3</v>
      </c>
      <c r="C888" s="12">
        <v>-8.1473609635139832E-3</v>
      </c>
      <c r="D888" s="12">
        <v>-3.537414965986474E-3</v>
      </c>
      <c r="E888" s="12">
        <v>-6.6090983646099888E-3</v>
      </c>
      <c r="F888" s="12">
        <v>2.1540233316982738E-2</v>
      </c>
      <c r="G888" s="12">
        <v>2.2152994115611779E-3</v>
      </c>
      <c r="H888" s="12">
        <v>4.9382716049382047E-3</v>
      </c>
      <c r="I888" s="12">
        <v>-3.0686085921041162E-3</v>
      </c>
      <c r="J888" s="12">
        <v>-1.9935502785106696E-3</v>
      </c>
      <c r="K888" s="12">
        <v>-3.175133689839682E-3</v>
      </c>
      <c r="L888" s="12">
        <v>-4.3347782594198581E-3</v>
      </c>
      <c r="M888" s="13">
        <f t="shared" si="91"/>
        <v>-3.9284743800785905E-3</v>
      </c>
      <c r="N888" s="32">
        <f t="shared" si="92"/>
        <v>190.91222419272185</v>
      </c>
      <c r="O888" s="32">
        <f t="shared" si="93"/>
        <v>147.66862687444885</v>
      </c>
      <c r="P888" s="12">
        <f t="shared" si="94"/>
        <v>-3.9284743800785905E-3</v>
      </c>
      <c r="Q888" s="13">
        <f t="shared" si="95"/>
        <v>1.8520898584211175E-3</v>
      </c>
      <c r="R888" s="49" t="str">
        <f t="shared" si="96"/>
        <v/>
      </c>
    </row>
    <row r="889" spans="1:18" x14ac:dyDescent="0.35">
      <c r="A889" s="64" t="s">
        <v>77</v>
      </c>
      <c r="B889" s="14">
        <v>-2.2081912146246774E-3</v>
      </c>
      <c r="C889" s="12">
        <v>-5.7142857142857828E-3</v>
      </c>
      <c r="D889" s="12">
        <v>-8.9022392135444939E-3</v>
      </c>
      <c r="E889" s="12">
        <v>-1.8380924630924667E-2</v>
      </c>
      <c r="F889" s="12">
        <v>2.9624835591557153E-2</v>
      </c>
      <c r="G889" s="12">
        <v>6.7002832078468799E-3</v>
      </c>
      <c r="H889" s="12">
        <v>-4.8406615570794065E-3</v>
      </c>
      <c r="I889" s="12">
        <v>-7.8099875959014575E-4</v>
      </c>
      <c r="J889" s="12">
        <v>1.1750190940595928E-4</v>
      </c>
      <c r="K889" s="12">
        <v>-6.5381391450125559E-3</v>
      </c>
      <c r="L889" s="12">
        <v>-1.088412592096466E-3</v>
      </c>
      <c r="M889" s="13">
        <f t="shared" si="91"/>
        <v>-6.7968958690856913E-3</v>
      </c>
      <c r="N889" s="32">
        <f t="shared" si="92"/>
        <v>189.61461368474838</v>
      </c>
      <c r="O889" s="32">
        <f t="shared" si="93"/>
        <v>147.34254630990901</v>
      </c>
      <c r="P889" s="12">
        <f t="shared" si="94"/>
        <v>-6.7968958690856913E-3</v>
      </c>
      <c r="Q889" s="13">
        <f t="shared" si="95"/>
        <v>-4.5887046544610139E-3</v>
      </c>
      <c r="R889" s="49" t="str">
        <f t="shared" si="96"/>
        <v/>
      </c>
    </row>
    <row r="890" spans="1:18" x14ac:dyDescent="0.35">
      <c r="A890" s="64" t="s">
        <v>77</v>
      </c>
      <c r="B890" s="14">
        <v>-8.7585210491867294E-3</v>
      </c>
      <c r="C890" s="12">
        <v>-1.2212643678160884E-2</v>
      </c>
      <c r="D890" s="12">
        <v>6.0616079792819022E-4</v>
      </c>
      <c r="E890" s="12">
        <v>-1.2739011056966842E-2</v>
      </c>
      <c r="F890" s="12">
        <v>1.6119875096313629E-2</v>
      </c>
      <c r="G890" s="12">
        <v>1.4889529298751203E-2</v>
      </c>
      <c r="H890" s="12">
        <v>-5.8591590816966521E-3</v>
      </c>
      <c r="I890" s="12">
        <v>6.2252873563218403E-2</v>
      </c>
      <c r="J890" s="12">
        <v>-2.4085061387534301E-3</v>
      </c>
      <c r="K890" s="12">
        <v>4.5561930475870316E-3</v>
      </c>
      <c r="L890" s="12">
        <v>-9.1358645545217554E-3</v>
      </c>
      <c r="M890" s="13">
        <f t="shared" si="91"/>
        <v>9.848676561784217E-3</v>
      </c>
      <c r="N890" s="32">
        <f t="shared" si="92"/>
        <v>191.48206668631713</v>
      </c>
      <c r="O890" s="32">
        <f t="shared" si="93"/>
        <v>146.05204351661291</v>
      </c>
      <c r="P890" s="12" t="str">
        <f t="shared" si="94"/>
        <v/>
      </c>
      <c r="Q890" s="13">
        <f t="shared" si="95"/>
        <v>1.8607197610970946E-2</v>
      </c>
      <c r="R890" s="49">
        <f t="shared" si="96"/>
        <v>1</v>
      </c>
    </row>
    <row r="891" spans="1:18" x14ac:dyDescent="0.35">
      <c r="A891" s="64" t="s">
        <v>77</v>
      </c>
      <c r="B891" s="14">
        <v>8.7312244450128418E-3</v>
      </c>
      <c r="C891" s="12">
        <v>5.0909090909090349E-3</v>
      </c>
      <c r="D891" s="12">
        <v>1.7623086242977148E-3</v>
      </c>
      <c r="E891" s="12">
        <v>4.6101423130886499E-3</v>
      </c>
      <c r="F891" s="12">
        <v>-1.9755352902440459E-2</v>
      </c>
      <c r="G891" s="12">
        <v>8.1806503955108578E-3</v>
      </c>
      <c r="H891" s="12">
        <v>9.452146193194455E-3</v>
      </c>
      <c r="I891" s="12">
        <v>8.4833795013850022E-3</v>
      </c>
      <c r="J891" s="12">
        <v>3.8864680249675043E-3</v>
      </c>
      <c r="K891" s="12">
        <v>1.0246934318830725E-2</v>
      </c>
      <c r="L891" s="12">
        <v>8.3178255230360598E-3</v>
      </c>
      <c r="M891" s="13">
        <f t="shared" si="91"/>
        <v>6.4660446215307719E-3</v>
      </c>
      <c r="N891" s="32">
        <f t="shared" si="92"/>
        <v>192.72019827373379</v>
      </c>
      <c r="O891" s="32">
        <f t="shared" si="93"/>
        <v>147.32725668920924</v>
      </c>
      <c r="P891" s="12" t="str">
        <f t="shared" si="94"/>
        <v/>
      </c>
      <c r="Q891" s="13">
        <f t="shared" si="95"/>
        <v>-2.2651798234820698E-3</v>
      </c>
      <c r="R891" s="49">
        <f t="shared" si="96"/>
        <v>1</v>
      </c>
    </row>
    <row r="892" spans="1:18" x14ac:dyDescent="0.35">
      <c r="A892" s="64">
        <v>11.26</v>
      </c>
      <c r="B892" s="14">
        <v>1.1964634973855359E-2</v>
      </c>
      <c r="C892" s="12">
        <v>6.3917028461166758E-3</v>
      </c>
      <c r="D892" s="12">
        <v>1.5942825728421095E-3</v>
      </c>
      <c r="E892" s="12">
        <v>1.6485434956105438E-2</v>
      </c>
      <c r="F892" s="12">
        <v>-1.0280316755898466E-2</v>
      </c>
      <c r="G892" s="12">
        <v>2.9506437768240801E-3</v>
      </c>
      <c r="H892" s="12">
        <v>6.5361877134360036E-3</v>
      </c>
      <c r="I892" s="12">
        <v>2.5579399141630876E-2</v>
      </c>
      <c r="J892" s="12">
        <v>-7.6255279211636662E-3</v>
      </c>
      <c r="K892" s="12">
        <v>-1.7459261722647113E-2</v>
      </c>
      <c r="L892" s="12">
        <v>1.5771371046670923E-2</v>
      </c>
      <c r="M892" s="13">
        <f t="shared" si="91"/>
        <v>6.429753049257453E-3</v>
      </c>
      <c r="N892" s="32">
        <f t="shared" si="92"/>
        <v>193.95934155623783</v>
      </c>
      <c r="O892" s="32">
        <f t="shared" si="93"/>
        <v>149.08997353719511</v>
      </c>
      <c r="P892" s="12" t="str">
        <f t="shared" si="94"/>
        <v/>
      </c>
      <c r="Q892" s="13">
        <f t="shared" si="95"/>
        <v>-5.5348819245979062E-3</v>
      </c>
      <c r="R892" s="49">
        <f t="shared" si="96"/>
        <v>1</v>
      </c>
    </row>
    <row r="893" spans="1:18" x14ac:dyDescent="0.35">
      <c r="A893" s="64" t="s">
        <v>77</v>
      </c>
      <c r="B893" s="14">
        <v>2.129946455513565E-4</v>
      </c>
      <c r="C893" s="12">
        <v>1.2702216896345098E-2</v>
      </c>
      <c r="D893" s="12">
        <v>1.0483561117514695E-2</v>
      </c>
      <c r="E893" s="12">
        <v>3.6558137252495904E-3</v>
      </c>
      <c r="F893" s="12">
        <v>2.3036735365502548E-3</v>
      </c>
      <c r="G893" s="12">
        <v>-6.886868146563252E-3</v>
      </c>
      <c r="H893" s="12">
        <v>3.3198351026959561E-3</v>
      </c>
      <c r="I893" s="12">
        <v>6.6956812855711867E-4</v>
      </c>
      <c r="J893" s="12">
        <v>-2.8667691216455848E-2</v>
      </c>
      <c r="K893" s="12">
        <v>1.3200203080047324E-2</v>
      </c>
      <c r="L893" s="12">
        <v>7.4328974535431414E-4</v>
      </c>
      <c r="M893" s="13">
        <f t="shared" si="91"/>
        <v>6.5960655828170966E-3</v>
      </c>
      <c r="N893" s="32">
        <f t="shared" si="92"/>
        <v>195.23871009354278</v>
      </c>
      <c r="O893" s="32">
        <f t="shared" si="93"/>
        <v>149.12172890326391</v>
      </c>
      <c r="P893" s="12" t="str">
        <f t="shared" si="94"/>
        <v/>
      </c>
      <c r="Q893" s="13">
        <f t="shared" si="95"/>
        <v>6.3830709372657401E-3</v>
      </c>
      <c r="R893" s="49">
        <f t="shared" si="96"/>
        <v>1</v>
      </c>
    </row>
    <row r="894" spans="1:18" x14ac:dyDescent="0.35">
      <c r="A894" s="64" t="s">
        <v>77</v>
      </c>
      <c r="B894" s="14">
        <v>-4.5764379499293462E-3</v>
      </c>
      <c r="C894" s="12">
        <v>5.1473198438052314E-3</v>
      </c>
      <c r="D894" s="12">
        <v>-8.2509505703422081E-2</v>
      </c>
      <c r="E894" s="12">
        <v>-2.4495184080574939E-2</v>
      </c>
      <c r="F894" s="12">
        <v>1.3461933100759271E-2</v>
      </c>
      <c r="G894" s="12">
        <v>-1.1512825691779471E-2</v>
      </c>
      <c r="H894" s="12">
        <v>5.0905388699029608E-4</v>
      </c>
      <c r="I894" s="12">
        <v>-8.4476413516226811E-3</v>
      </c>
      <c r="J894" s="12">
        <v>1.5091584007789205E-2</v>
      </c>
      <c r="K894" s="12">
        <v>5.6789711040587942E-3</v>
      </c>
      <c r="L894" s="12">
        <v>-7.0202464788732377E-2</v>
      </c>
      <c r="M894" s="13">
        <f t="shared" si="91"/>
        <v>-3.8361171155609691E-2</v>
      </c>
      <c r="N894" s="32">
        <f t="shared" si="92"/>
        <v>187.74912451944394</v>
      </c>
      <c r="O894" s="32">
        <f t="shared" si="93"/>
        <v>148.43928256395193</v>
      </c>
      <c r="P894" s="12">
        <f t="shared" si="94"/>
        <v>-3.8361171155609691E-2</v>
      </c>
      <c r="Q894" s="13">
        <f t="shared" si="95"/>
        <v>-3.3784733205680345E-2</v>
      </c>
      <c r="R894" s="49" t="str">
        <f t="shared" si="96"/>
        <v/>
      </c>
    </row>
    <row r="895" spans="1:18" x14ac:dyDescent="0.35">
      <c r="A895" s="64" t="s">
        <v>77</v>
      </c>
      <c r="B895" s="14">
        <v>1.0209134739185721E-2</v>
      </c>
      <c r="C895" s="12">
        <v>-3.4728353640589571E-3</v>
      </c>
      <c r="D895" s="12">
        <v>-1.0538156414658717E-2</v>
      </c>
      <c r="E895" s="12">
        <v>1.8243785084202102E-2</v>
      </c>
      <c r="F895" s="12">
        <v>3.0170493662171616E-3</v>
      </c>
      <c r="G895" s="12">
        <v>-4.6315215910639473E-3</v>
      </c>
      <c r="H895" s="12">
        <v>-2.3259194650386839E-3</v>
      </c>
      <c r="I895" s="12">
        <v>-6.1577393504850253E-3</v>
      </c>
      <c r="J895" s="12">
        <v>2.4578862178525895E-3</v>
      </c>
      <c r="K895" s="12">
        <v>-8.3042683939549278E-4</v>
      </c>
      <c r="L895" s="12">
        <v>1.5917159763313649E-2</v>
      </c>
      <c r="M895" s="13">
        <f t="shared" si="91"/>
        <v>9.7717738982367407E-4</v>
      </c>
      <c r="N895" s="32">
        <f t="shared" si="92"/>
        <v>187.93258871888355</v>
      </c>
      <c r="O895" s="32">
        <f t="shared" si="93"/>
        <v>149.95471920023539</v>
      </c>
      <c r="P895" s="12" t="str">
        <f t="shared" si="94"/>
        <v/>
      </c>
      <c r="Q895" s="13">
        <f t="shared" si="95"/>
        <v>-9.2319573493620469E-3</v>
      </c>
      <c r="R895" s="49">
        <f t="shared" si="96"/>
        <v>1</v>
      </c>
    </row>
    <row r="896" spans="1:18" x14ac:dyDescent="0.35">
      <c r="A896" s="64" t="s">
        <v>77</v>
      </c>
      <c r="B896" s="14">
        <v>3.178456301617949E-3</v>
      </c>
      <c r="C896" s="12">
        <v>2.4808033077377445E-2</v>
      </c>
      <c r="D896" s="12">
        <v>1.7950098725543207E-3</v>
      </c>
      <c r="E896" s="12">
        <v>-1.001673557786964E-2</v>
      </c>
      <c r="F896" s="12">
        <v>-1.2758655496113991E-2</v>
      </c>
      <c r="G896" s="12">
        <v>4.6530723963322806E-3</v>
      </c>
      <c r="H896" s="12">
        <v>-9.7624945359172655E-3</v>
      </c>
      <c r="I896" s="12">
        <v>1.391953827873027E-2</v>
      </c>
      <c r="J896" s="12">
        <v>3.7495514890563353E-2</v>
      </c>
      <c r="K896" s="12">
        <v>1.3297872340425343E-3</v>
      </c>
      <c r="L896" s="12">
        <v>1.8696487856019628E-2</v>
      </c>
      <c r="M896" s="13">
        <f t="shared" si="91"/>
        <v>5.2600754046495139E-3</v>
      </c>
      <c r="N896" s="32">
        <f t="shared" si="92"/>
        <v>188.92112830653585</v>
      </c>
      <c r="O896" s="32">
        <f t="shared" si="93"/>
        <v>150.43134372243472</v>
      </c>
      <c r="P896" s="12" t="str">
        <f t="shared" si="94"/>
        <v/>
      </c>
      <c r="Q896" s="13">
        <f t="shared" si="95"/>
        <v>2.0816191030315649E-3</v>
      </c>
      <c r="R896" s="49">
        <f t="shared" si="96"/>
        <v>1</v>
      </c>
    </row>
    <row r="897" spans="1:18" x14ac:dyDescent="0.35">
      <c r="A897" s="64">
        <v>10.96</v>
      </c>
      <c r="B897" s="14">
        <v>-1.5730517164206925E-2</v>
      </c>
      <c r="C897" s="12">
        <v>-1.8270893371757801E-2</v>
      </c>
      <c r="D897" s="12">
        <v>-7.3463537000538759E-3</v>
      </c>
      <c r="E897" s="12">
        <v>-3.2119328775637057E-2</v>
      </c>
      <c r="F897" s="12">
        <v>-1.0899126842933926E-2</v>
      </c>
      <c r="G897" s="12">
        <v>-1.5188666394224115E-2</v>
      </c>
      <c r="H897" s="12">
        <v>-1.1881989405532534E-2</v>
      </c>
      <c r="I897" s="12">
        <v>-2.0467101958814626E-2</v>
      </c>
      <c r="J897" s="12">
        <v>-3.2566718542855533E-2</v>
      </c>
      <c r="K897" s="12">
        <v>-1.4774236387782191E-2</v>
      </c>
      <c r="L897" s="12">
        <v>-4.3539165237278521E-2</v>
      </c>
      <c r="M897" s="13">
        <f t="shared" si="91"/>
        <v>-2.1134219412677558E-2</v>
      </c>
      <c r="N897" s="32">
        <f t="shared" si="92"/>
        <v>184.92842772921492</v>
      </c>
      <c r="O897" s="32">
        <f t="shared" si="93"/>
        <v>148.06498088797426</v>
      </c>
      <c r="P897" s="12">
        <f t="shared" si="94"/>
        <v>-2.1134219412677558E-2</v>
      </c>
      <c r="Q897" s="13">
        <f t="shared" si="95"/>
        <v>-5.4037022484706328E-3</v>
      </c>
      <c r="R897" s="49" t="str">
        <f t="shared" si="96"/>
        <v/>
      </c>
    </row>
    <row r="898" spans="1:18" x14ac:dyDescent="0.35">
      <c r="A898" s="64" t="s">
        <v>77</v>
      </c>
      <c r="B898" s="14">
        <v>-3.4354775611682431E-3</v>
      </c>
      <c r="C898" s="12">
        <v>-6.0470850701579426E-3</v>
      </c>
      <c r="D898" s="12">
        <v>-1.0649819494584767E-2</v>
      </c>
      <c r="E898" s="12">
        <v>1.4409369943235939E-2</v>
      </c>
      <c r="F898" s="12">
        <v>8.476328302666758E-4</v>
      </c>
      <c r="G898" s="12">
        <v>4.5577149180441312E-2</v>
      </c>
      <c r="H898" s="12">
        <v>-4.8025017683631654E-3</v>
      </c>
      <c r="I898" s="12">
        <v>-1.0981498098534326E-2</v>
      </c>
      <c r="J898" s="12">
        <v>2.1568160152526161E-2</v>
      </c>
      <c r="K898" s="12">
        <v>-8.4245998315080062E-3</v>
      </c>
      <c r="L898" s="12">
        <v>-1.04611889888514E-2</v>
      </c>
      <c r="M898" s="13">
        <f t="shared" si="91"/>
        <v>-6.7022770700329304E-3</v>
      </c>
      <c r="N898" s="32">
        <f t="shared" si="92"/>
        <v>183.68898616844817</v>
      </c>
      <c r="O898" s="32">
        <f t="shared" si="93"/>
        <v>147.55630696853882</v>
      </c>
      <c r="P898" s="12">
        <f t="shared" si="94"/>
        <v>-6.7022770700329304E-3</v>
      </c>
      <c r="Q898" s="13">
        <f t="shared" si="95"/>
        <v>-3.2667995088646873E-3</v>
      </c>
      <c r="R898" s="49" t="str">
        <f t="shared" si="96"/>
        <v/>
      </c>
    </row>
    <row r="899" spans="1:18" x14ac:dyDescent="0.35">
      <c r="A899" s="64" t="s">
        <v>77</v>
      </c>
      <c r="B899" s="14">
        <v>9.1284256504575723E-3</v>
      </c>
      <c r="C899" s="12">
        <v>2.2031896042528087E-2</v>
      </c>
      <c r="D899" s="12">
        <v>1.581219972024428E-3</v>
      </c>
      <c r="E899" s="12">
        <v>7.3428875272192329E-3</v>
      </c>
      <c r="F899" s="12">
        <v>1.8301625663588839E-2</v>
      </c>
      <c r="G899" s="12">
        <v>-8.3344357719276063E-3</v>
      </c>
      <c r="H899" s="12">
        <v>1.084842136765074E-3</v>
      </c>
      <c r="I899" s="12">
        <v>4.4932169705347302E-3</v>
      </c>
      <c r="J899" s="12">
        <v>4.3100431587542287E-2</v>
      </c>
      <c r="K899" s="12">
        <v>1.4613423959218386E-2</v>
      </c>
      <c r="L899" s="12">
        <v>1.3199625456852049E-2</v>
      </c>
      <c r="M899" s="13">
        <f t="shared" si="91"/>
        <v>7.8353297557080415E-3</v>
      </c>
      <c r="N899" s="32">
        <f t="shared" si="92"/>
        <v>185.12824994756966</v>
      </c>
      <c r="O899" s="32">
        <f t="shared" si="93"/>
        <v>148.90326374595722</v>
      </c>
      <c r="P899" s="12" t="str">
        <f t="shared" si="94"/>
        <v/>
      </c>
      <c r="Q899" s="13">
        <f t="shared" si="95"/>
        <v>-1.2930958947495307E-3</v>
      </c>
      <c r="R899" s="49">
        <f t="shared" si="96"/>
        <v>1</v>
      </c>
    </row>
    <row r="900" spans="1:18" x14ac:dyDescent="0.35">
      <c r="A900" s="64" t="s">
        <v>77</v>
      </c>
      <c r="B900" s="14">
        <v>1.2556771059594851E-2</v>
      </c>
      <c r="C900" s="12">
        <v>5.9816216841010128E-2</v>
      </c>
      <c r="D900" s="12">
        <v>6.193454368814244E-3</v>
      </c>
      <c r="E900" s="12">
        <v>2.2169716468932288E-2</v>
      </c>
      <c r="F900" s="12">
        <v>-1.0548309227742525E-3</v>
      </c>
      <c r="G900" s="12">
        <v>-4.3356456776946217E-3</v>
      </c>
      <c r="H900" s="12">
        <v>3.2883674003214569E-3</v>
      </c>
      <c r="I900" s="12">
        <v>-7.4408602150537462E-3</v>
      </c>
      <c r="J900" s="12">
        <v>5.2558009505172532E-3</v>
      </c>
      <c r="K900" s="12">
        <v>1.8422374811588593E-3</v>
      </c>
      <c r="L900" s="12">
        <v>3.9053183877890696E-3</v>
      </c>
      <c r="M900" s="13">
        <f t="shared" si="91"/>
        <v>4.4247080030887691E-3</v>
      </c>
      <c r="N900" s="32">
        <f t="shared" si="92"/>
        <v>185.94738839671049</v>
      </c>
      <c r="O900" s="32">
        <f t="shared" si="93"/>
        <v>150.77300793884169</v>
      </c>
      <c r="P900" s="12" t="str">
        <f t="shared" si="94"/>
        <v/>
      </c>
      <c r="Q900" s="13">
        <f t="shared" si="95"/>
        <v>-8.1320630565060829E-3</v>
      </c>
      <c r="R900" s="49">
        <f t="shared" si="96"/>
        <v>1</v>
      </c>
    </row>
    <row r="901" spans="1:18" x14ac:dyDescent="0.35">
      <c r="A901" s="64" t="s">
        <v>77</v>
      </c>
      <c r="B901" s="14">
        <v>1.0326085896653403E-2</v>
      </c>
      <c r="C901" s="12">
        <v>-9.1067728214635491E-3</v>
      </c>
      <c r="D901" s="12">
        <v>1.7500452597912108E-2</v>
      </c>
      <c r="E901" s="12">
        <v>1.6918310136231796E-2</v>
      </c>
      <c r="F901" s="12">
        <v>3.9191796121433864E-3</v>
      </c>
      <c r="G901" s="12">
        <v>-4.6224961479198745E-3</v>
      </c>
      <c r="H901" s="12">
        <v>1.556855003910762E-2</v>
      </c>
      <c r="I901" s="12">
        <v>1.542661524461586E-2</v>
      </c>
      <c r="J901" s="12">
        <v>-8.0093442349407074E-3</v>
      </c>
      <c r="K901" s="12">
        <v>8.3584085590104884E-4</v>
      </c>
      <c r="L901" s="12">
        <v>1.5887156644394995E-2</v>
      </c>
      <c r="M901" s="13">
        <f t="shared" si="91"/>
        <v>1.3016696931697422E-2</v>
      </c>
      <c r="N901" s="32">
        <f t="shared" si="92"/>
        <v>188.36780919671111</v>
      </c>
      <c r="O901" s="32">
        <f t="shared" si="93"/>
        <v>152.32990296971496</v>
      </c>
      <c r="P901" s="12" t="str">
        <f t="shared" si="94"/>
        <v/>
      </c>
      <c r="Q901" s="13">
        <f t="shared" si="95"/>
        <v>2.6906110350440188E-3</v>
      </c>
      <c r="R901" s="49">
        <f t="shared" si="96"/>
        <v>1</v>
      </c>
    </row>
    <row r="902" spans="1:18" x14ac:dyDescent="0.35">
      <c r="A902" s="64">
        <v>11.07</v>
      </c>
      <c r="B902" s="14">
        <v>1.3434374239973401E-3</v>
      </c>
      <c r="C902" s="12">
        <v>3.7972593693247347E-3</v>
      </c>
      <c r="D902" s="12">
        <v>-1.3640946563076017E-3</v>
      </c>
      <c r="E902" s="12">
        <v>-1.015621221647256E-2</v>
      </c>
      <c r="F902" s="12">
        <v>1.3309599902908698E-2</v>
      </c>
      <c r="G902" s="12">
        <v>9.4225333153841184E-4</v>
      </c>
      <c r="H902" s="12">
        <v>1.3899585579638218E-2</v>
      </c>
      <c r="I902" s="12">
        <v>1.4082703879143565E-3</v>
      </c>
      <c r="J902" s="12">
        <v>-9.1954022988505191E-3</v>
      </c>
      <c r="K902" s="12">
        <v>1.2527142141306236E-2</v>
      </c>
      <c r="L902" s="12">
        <v>8.4770534931306596E-3</v>
      </c>
      <c r="M902" s="13">
        <f t="shared" si="91"/>
        <v>2.7310835433861482E-3</v>
      </c>
      <c r="N902" s="32">
        <f t="shared" si="92"/>
        <v>188.88225742051196</v>
      </c>
      <c r="O902" s="32">
        <f t="shared" si="93"/>
        <v>152.53454866215836</v>
      </c>
      <c r="P902" s="12" t="str">
        <f t="shared" si="94"/>
        <v/>
      </c>
      <c r="Q902" s="13">
        <f t="shared" si="95"/>
        <v>1.3876461193888081E-3</v>
      </c>
      <c r="R902" s="49">
        <f t="shared" si="96"/>
        <v>1</v>
      </c>
    </row>
    <row r="903" spans="1:18" x14ac:dyDescent="0.35">
      <c r="A903" s="64" t="s">
        <v>77</v>
      </c>
      <c r="B903" s="14">
        <v>-5.7829095745365322E-6</v>
      </c>
      <c r="C903" s="12">
        <v>1.8640350877192624E-3</v>
      </c>
      <c r="D903" s="12">
        <v>9.027200380092637E-3</v>
      </c>
      <c r="E903" s="12">
        <v>2.9315483461183067E-3</v>
      </c>
      <c r="F903" s="12">
        <v>4.4913765570104847E-3</v>
      </c>
      <c r="G903" s="12">
        <v>1.5465303926842644E-3</v>
      </c>
      <c r="H903" s="12">
        <v>2.6405266584679232E-3</v>
      </c>
      <c r="I903" s="12">
        <v>6.7331458280064371E-3</v>
      </c>
      <c r="J903" s="12">
        <v>2.0598721068417092E-2</v>
      </c>
      <c r="K903" s="12">
        <v>-5.2787858792477937E-3</v>
      </c>
      <c r="L903" s="12">
        <v>-1.4492753623188692E-3</v>
      </c>
      <c r="M903" s="13">
        <f t="shared" si="91"/>
        <v>2.7549219657344035E-3</v>
      </c>
      <c r="N903" s="32">
        <f t="shared" si="92"/>
        <v>189.40261330041722</v>
      </c>
      <c r="O903" s="32">
        <f t="shared" si="93"/>
        <v>152.53366656865646</v>
      </c>
      <c r="P903" s="12" t="str">
        <f t="shared" si="94"/>
        <v/>
      </c>
      <c r="Q903" s="13">
        <f t="shared" si="95"/>
        <v>2.76070487530894E-3</v>
      </c>
      <c r="R903" s="49">
        <f t="shared" si="96"/>
        <v>1</v>
      </c>
    </row>
    <row r="904" spans="1:18" x14ac:dyDescent="0.35">
      <c r="A904" s="64" t="s">
        <v>77</v>
      </c>
      <c r="B904" s="14">
        <v>5.0909175024624886E-3</v>
      </c>
      <c r="C904" s="12">
        <v>1.0014227864725722E-2</v>
      </c>
      <c r="D904" s="12">
        <v>-2.1365509123013493E-2</v>
      </c>
      <c r="E904" s="12">
        <v>4.3357529108003501E-3</v>
      </c>
      <c r="F904" s="12">
        <v>7.5912640845769985E-3</v>
      </c>
      <c r="G904" s="12">
        <v>6.0422960725075026E-3</v>
      </c>
      <c r="H904" s="12">
        <v>4.8703055665788586E-3</v>
      </c>
      <c r="I904" s="12">
        <v>1.227565187944446E-2</v>
      </c>
      <c r="J904" s="12">
        <v>4.9902966454118403E-3</v>
      </c>
      <c r="K904" s="12">
        <v>2.3217247097844229E-3</v>
      </c>
      <c r="L904" s="12">
        <v>2.1132075471697931E-2</v>
      </c>
      <c r="M904" s="13">
        <f t="shared" si="91"/>
        <v>1.2135897332063291E-3</v>
      </c>
      <c r="N904" s="32">
        <f t="shared" si="92"/>
        <v>189.63247036736107</v>
      </c>
      <c r="O904" s="32">
        <f t="shared" si="93"/>
        <v>153.3102028815056</v>
      </c>
      <c r="P904" s="12" t="str">
        <f t="shared" si="94"/>
        <v/>
      </c>
      <c r="Q904" s="13">
        <f t="shared" si="95"/>
        <v>-3.8773277692561595E-3</v>
      </c>
      <c r="R904" s="49">
        <f t="shared" si="96"/>
        <v>1</v>
      </c>
    </row>
    <row r="905" spans="1:18" x14ac:dyDescent="0.35">
      <c r="A905" s="64" t="s">
        <v>77</v>
      </c>
      <c r="B905" s="14">
        <v>1.6493801399288799E-3</v>
      </c>
      <c r="C905" s="12">
        <v>-8.2353578588069132E-3</v>
      </c>
      <c r="D905" s="12">
        <v>5.2925963793828412E-3</v>
      </c>
      <c r="E905" s="12">
        <v>5.8692277842453677E-3</v>
      </c>
      <c r="F905" s="12">
        <v>1.13997199376763E-2</v>
      </c>
      <c r="G905" s="12">
        <v>4.0040040040034697E-4</v>
      </c>
      <c r="H905" s="12">
        <v>7.8983269907373366E-3</v>
      </c>
      <c r="I905" s="12">
        <v>1.3214016893869696E-2</v>
      </c>
      <c r="J905" s="12">
        <v>-1.5117241379310364E-2</v>
      </c>
      <c r="K905" s="12">
        <v>6.6181336863002649E-4</v>
      </c>
      <c r="L905" s="12">
        <v>8.5564841662404412E-3</v>
      </c>
      <c r="M905" s="13">
        <f t="shared" si="91"/>
        <v>6.4170364261065243E-3</v>
      </c>
      <c r="N905" s="32">
        <f t="shared" si="92"/>
        <v>190.84934883728098</v>
      </c>
      <c r="O905" s="32">
        <f t="shared" si="93"/>
        <v>153.56306968538684</v>
      </c>
      <c r="P905" s="12" t="str">
        <f t="shared" si="94"/>
        <v/>
      </c>
      <c r="Q905" s="13">
        <f t="shared" si="95"/>
        <v>4.7676562861776444E-3</v>
      </c>
      <c r="R905" s="49">
        <f t="shared" si="96"/>
        <v>1</v>
      </c>
    </row>
    <row r="906" spans="1:18" x14ac:dyDescent="0.35">
      <c r="A906" s="64" t="s">
        <v>77</v>
      </c>
      <c r="B906" s="14">
        <v>-2.4125544739483917E-4</v>
      </c>
      <c r="C906" s="12">
        <v>1.7645452062277966E-2</v>
      </c>
      <c r="D906" s="12">
        <v>2.4528866287765183E-3</v>
      </c>
      <c r="E906" s="12">
        <v>-2.459372136760285E-3</v>
      </c>
      <c r="F906" s="12">
        <v>-2.0865427741267872E-3</v>
      </c>
      <c r="G906" s="12">
        <v>8.7385764792209386E-3</v>
      </c>
      <c r="H906" s="12">
        <v>-4.8087198119256547E-3</v>
      </c>
      <c r="I906" s="12">
        <v>-1.5063970284771022E-2</v>
      </c>
      <c r="J906" s="12">
        <v>-3.9213489440359517E-4</v>
      </c>
      <c r="K906" s="12">
        <v>-1.1574074074074403E-3</v>
      </c>
      <c r="L906" s="12">
        <v>5.327094901209195E-3</v>
      </c>
      <c r="M906" s="13">
        <f t="shared" si="91"/>
        <v>-1.9213005403707342E-3</v>
      </c>
      <c r="N906" s="32">
        <f t="shared" si="92"/>
        <v>190.4826698802305</v>
      </c>
      <c r="O906" s="32">
        <f t="shared" si="93"/>
        <v>153.52602175830657</v>
      </c>
      <c r="P906" s="12">
        <f t="shared" si="94"/>
        <v>-1.9213005403707342E-3</v>
      </c>
      <c r="Q906" s="13">
        <f t="shared" si="95"/>
        <v>-1.680045092975895E-3</v>
      </c>
      <c r="R906" s="49" t="str">
        <f t="shared" si="96"/>
        <v/>
      </c>
    </row>
    <row r="907" spans="1:18" x14ac:dyDescent="0.35">
      <c r="A907" s="64">
        <v>11</v>
      </c>
      <c r="B907" s="14">
        <v>4.8377644395585229E-3</v>
      </c>
      <c r="C907" s="12">
        <v>6.1735022546705043E-3</v>
      </c>
      <c r="D907" s="12">
        <v>-1.1936022917162781E-3</v>
      </c>
      <c r="E907" s="12">
        <v>6.8645460698055771E-3</v>
      </c>
      <c r="F907" s="12">
        <v>4.1818110759370697E-3</v>
      </c>
      <c r="G907" s="12">
        <v>1.0580611030286402E-3</v>
      </c>
      <c r="H907" s="12">
        <v>-5.9057231826478152E-3</v>
      </c>
      <c r="I907" s="12">
        <v>1.2067881835323702E-2</v>
      </c>
      <c r="J907" s="12">
        <v>1.3001569154897918E-2</v>
      </c>
      <c r="K907" s="12">
        <v>-9.1044529051480527E-3</v>
      </c>
      <c r="L907" s="12">
        <v>4.2054502635415769E-3</v>
      </c>
      <c r="M907" s="13">
        <f t="shared" si="91"/>
        <v>1.6277221752311454E-3</v>
      </c>
      <c r="N907" s="32">
        <f t="shared" si="92"/>
        <v>190.7927227459918</v>
      </c>
      <c r="O907" s="32">
        <f t="shared" si="93"/>
        <v>154.26874448691581</v>
      </c>
      <c r="P907" s="12" t="str">
        <f t="shared" si="94"/>
        <v/>
      </c>
      <c r="Q907" s="13">
        <f t="shared" si="95"/>
        <v>-3.2100422643273775E-3</v>
      </c>
      <c r="R907" s="49">
        <f t="shared" si="96"/>
        <v>1</v>
      </c>
    </row>
    <row r="908" spans="1:18" x14ac:dyDescent="0.35">
      <c r="A908" s="64" t="s">
        <v>77</v>
      </c>
      <c r="B908" s="14">
        <v>1.1715980391409309E-2</v>
      </c>
      <c r="C908" s="12">
        <v>1.2217894680680796E-2</v>
      </c>
      <c r="D908" s="12">
        <v>5.3776290630973556E-3</v>
      </c>
      <c r="E908" s="12">
        <v>1.5652006913769778E-2</v>
      </c>
      <c r="F908" s="12">
        <v>7.1417451545106037E-3</v>
      </c>
      <c r="G908" s="12">
        <v>8.5216012683313469E-3</v>
      </c>
      <c r="H908" s="12">
        <v>1.3537841146395779E-2</v>
      </c>
      <c r="I908" s="12">
        <v>7.0384631308728629E-4</v>
      </c>
      <c r="J908" s="12">
        <v>-2.0856384155786611E-2</v>
      </c>
      <c r="K908" s="12">
        <v>-5.0116939525557402E-4</v>
      </c>
      <c r="L908" s="12">
        <v>5.1929197610141031E-3</v>
      </c>
      <c r="M908" s="13">
        <f t="shared" si="91"/>
        <v>4.5581302488152441E-3</v>
      </c>
      <c r="N908" s="32">
        <f t="shared" si="92"/>
        <v>191.66238082679413</v>
      </c>
      <c r="O908" s="32">
        <f t="shared" si="93"/>
        <v>156.07615407233183</v>
      </c>
      <c r="P908" s="12" t="str">
        <f t="shared" si="94"/>
        <v/>
      </c>
      <c r="Q908" s="13">
        <f t="shared" si="95"/>
        <v>-7.1578501425940645E-3</v>
      </c>
      <c r="R908" s="49">
        <f t="shared" si="96"/>
        <v>1</v>
      </c>
    </row>
    <row r="909" spans="1:18" x14ac:dyDescent="0.35">
      <c r="A909" s="64" t="s">
        <v>77</v>
      </c>
      <c r="B909" s="14">
        <v>-2.0817045486656305E-3</v>
      </c>
      <c r="C909" s="12">
        <v>6.3251106894379738E-4</v>
      </c>
      <c r="D909" s="12">
        <v>4.2196600499226911E-3</v>
      </c>
      <c r="E909" s="12">
        <v>-4.9399640729884675E-3</v>
      </c>
      <c r="F909" s="12">
        <v>7.1877113322385E-3</v>
      </c>
      <c r="G909" s="12">
        <v>1.0545621274644645E-2</v>
      </c>
      <c r="H909" s="12">
        <v>-5.8969804618118626E-3</v>
      </c>
      <c r="I909" s="12">
        <v>-1.5721969383533096E-3</v>
      </c>
      <c r="J909" s="12">
        <v>3.373071924967519E-2</v>
      </c>
      <c r="K909" s="12">
        <v>6.9864616413170877E-2</v>
      </c>
      <c r="L909" s="12">
        <v>-2.5886012665259361E-2</v>
      </c>
      <c r="M909" s="13">
        <f t="shared" si="91"/>
        <v>1.1399413227526117E-2</v>
      </c>
      <c r="N909" s="32">
        <f t="shared" si="92"/>
        <v>193.84721950601025</v>
      </c>
      <c r="O909" s="32">
        <f t="shared" si="93"/>
        <v>155.75124963246122</v>
      </c>
      <c r="P909" s="12" t="str">
        <f t="shared" si="94"/>
        <v/>
      </c>
      <c r="Q909" s="13">
        <f t="shared" si="95"/>
        <v>1.3481117776191747E-2</v>
      </c>
      <c r="R909" s="49">
        <f t="shared" si="96"/>
        <v>1</v>
      </c>
    </row>
    <row r="910" spans="1:18" x14ac:dyDescent="0.35">
      <c r="A910" s="64" t="s">
        <v>77</v>
      </c>
      <c r="B910" s="14">
        <v>1.1647882803798026E-3</v>
      </c>
      <c r="C910" s="12">
        <v>1.5802781289497858E-4</v>
      </c>
      <c r="D910" s="12">
        <v>3.5509261999178143E-4</v>
      </c>
      <c r="E910" s="12">
        <v>-1.8527756003706708E-3</v>
      </c>
      <c r="F910" s="12">
        <v>6.4457958447636798E-3</v>
      </c>
      <c r="G910" s="12">
        <v>2.3334197562872028E-3</v>
      </c>
      <c r="H910" s="12">
        <v>9.2910234419685267E-4</v>
      </c>
      <c r="I910" s="12">
        <v>6.2158130283440638E-3</v>
      </c>
      <c r="J910" s="12">
        <v>1.0876694359422734E-2</v>
      </c>
      <c r="K910" s="12">
        <v>9.998437744102473E-3</v>
      </c>
      <c r="L910" s="12">
        <v>1.5824589416058243E-2</v>
      </c>
      <c r="M910" s="13">
        <f t="shared" si="91"/>
        <v>5.9666793022427923E-3</v>
      </c>
      <c r="N910" s="32">
        <f t="shared" si="92"/>
        <v>195.00384369843408</v>
      </c>
      <c r="O910" s="32">
        <f t="shared" si="93"/>
        <v>155.93266686268763</v>
      </c>
      <c r="P910" s="12" t="str">
        <f t="shared" si="94"/>
        <v/>
      </c>
      <c r="Q910" s="13">
        <f t="shared" si="95"/>
        <v>4.8018910218629897E-3</v>
      </c>
      <c r="R910" s="49">
        <f t="shared" si="96"/>
        <v>1</v>
      </c>
    </row>
    <row r="911" spans="1:18" x14ac:dyDescent="0.35">
      <c r="A911" s="64" t="s">
        <v>77</v>
      </c>
      <c r="B911" s="14">
        <v>9.1641572086653689E-4</v>
      </c>
      <c r="C911" s="12">
        <v>6.1621109179965661E-3</v>
      </c>
      <c r="D911" s="12">
        <v>5.265337514050783E-3</v>
      </c>
      <c r="E911" s="12">
        <v>1.2208181623474035E-2</v>
      </c>
      <c r="F911" s="12">
        <v>-1.4105178887978131E-2</v>
      </c>
      <c r="G911" s="12">
        <v>-2.1792550439730829E-2</v>
      </c>
      <c r="H911" s="12">
        <v>-5.5694394858979424E-3</v>
      </c>
      <c r="I911" s="12">
        <v>-2.1415039947285663E-3</v>
      </c>
      <c r="J911" s="12">
        <v>8.9753987564207272E-3</v>
      </c>
      <c r="K911" s="12">
        <v>-7.2699149265273988E-3</v>
      </c>
      <c r="L911" s="12">
        <v>1.8188452578100867E-2</v>
      </c>
      <c r="M911" s="13">
        <f t="shared" si="91"/>
        <v>4.1973335708221406E-3</v>
      </c>
      <c r="N911" s="32">
        <f t="shared" si="92"/>
        <v>195.82233987802886</v>
      </c>
      <c r="O911" s="32">
        <f t="shared" si="93"/>
        <v>156.07556600999723</v>
      </c>
      <c r="P911" s="12" t="str">
        <f t="shared" si="94"/>
        <v/>
      </c>
      <c r="Q911" s="13">
        <f t="shared" si="95"/>
        <v>3.2809178499556037E-3</v>
      </c>
      <c r="R911" s="49">
        <f t="shared" si="96"/>
        <v>1</v>
      </c>
    </row>
    <row r="912" spans="1:18" x14ac:dyDescent="0.35">
      <c r="A912" s="64">
        <v>11.25</v>
      </c>
      <c r="B912" s="14">
        <v>2.5018226757822504E-3</v>
      </c>
      <c r="C912" s="12">
        <v>6.8572026800670649E-3</v>
      </c>
      <c r="D912" s="12">
        <v>2.0892184557438798E-2</v>
      </c>
      <c r="E912" s="12">
        <v>8.6989232143697137E-3</v>
      </c>
      <c r="F912" s="12">
        <v>1.2218935483247151E-2</v>
      </c>
      <c r="G912" s="12">
        <v>-1.983208831890515E-4</v>
      </c>
      <c r="H912" s="12">
        <v>-9.2984849572773642E-3</v>
      </c>
      <c r="I912" s="12">
        <v>3.2191498142797315E-3</v>
      </c>
      <c r="J912" s="12">
        <v>-9.8065484164836514E-3</v>
      </c>
      <c r="K912" s="12">
        <v>1.5113742598940494E-2</v>
      </c>
      <c r="L912" s="12">
        <v>-1.0144727773949036E-2</v>
      </c>
      <c r="M912" s="13">
        <f t="shared" si="91"/>
        <v>9.2217287443588734E-3</v>
      </c>
      <c r="N912" s="32">
        <f t="shared" si="92"/>
        <v>197.62816037846966</v>
      </c>
      <c r="O912" s="32">
        <f t="shared" si="93"/>
        <v>156.46603940017658</v>
      </c>
      <c r="P912" s="12" t="str">
        <f t="shared" si="94"/>
        <v/>
      </c>
      <c r="Q912" s="13">
        <f t="shared" si="95"/>
        <v>6.719906068576623E-3</v>
      </c>
      <c r="R912" s="49">
        <f t="shared" si="96"/>
        <v>1</v>
      </c>
    </row>
    <row r="913" spans="1:18" x14ac:dyDescent="0.35">
      <c r="A913" s="64" t="s">
        <v>77</v>
      </c>
      <c r="B913" s="14">
        <v>-2.7060497123881921E-3</v>
      </c>
      <c r="C913" s="12">
        <v>-7.5383415648556662E-3</v>
      </c>
      <c r="D913" s="12">
        <v>1.2682308180089752E-3</v>
      </c>
      <c r="E913" s="12">
        <v>3.4495618124184002E-3</v>
      </c>
      <c r="F913" s="12">
        <v>-4.2020819405976795E-3</v>
      </c>
      <c r="G913" s="12">
        <v>1.494313673631309E-2</v>
      </c>
      <c r="H913" s="12">
        <v>-1.3408226127922251E-3</v>
      </c>
      <c r="I913" s="12">
        <v>-1.2300477209149285E-2</v>
      </c>
      <c r="J913" s="12">
        <v>8.117761662517653E-3</v>
      </c>
      <c r="K913" s="12">
        <v>1.5349194167304514E-3</v>
      </c>
      <c r="L913" s="12">
        <v>-8.7169632662155161E-3</v>
      </c>
      <c r="M913" s="13">
        <f t="shared" ref="M913:M976" si="97">SUMPRODUCT($C$2:$L$2,C913:L913)</f>
        <v>-2.680542730439401E-3</v>
      </c>
      <c r="N913" s="32">
        <f t="shared" ref="N913:N976" si="98">+(N912*(1+M913))</f>
        <v>197.09840964983704</v>
      </c>
      <c r="O913" s="32">
        <f t="shared" ref="O913:O976" si="99">+(O912*(1+B913))</f>
        <v>156.04263451925922</v>
      </c>
      <c r="P913" s="12">
        <f t="shared" ref="P913:P976" si="100">+IF(M913&lt;0,M913,"")</f>
        <v>-2.680542730439401E-3</v>
      </c>
      <c r="Q913" s="13">
        <f t="shared" ref="Q913:Q976" si="101">M913-B913</f>
        <v>2.5506981948791169E-5</v>
      </c>
      <c r="R913" s="49" t="str">
        <f t="shared" ref="R913:R976" si="102">+IF(M913&gt;0,1,"")</f>
        <v/>
      </c>
    </row>
    <row r="914" spans="1:18" x14ac:dyDescent="0.35">
      <c r="A914" s="64" t="s">
        <v>77</v>
      </c>
      <c r="B914" s="14">
        <v>-7.3808038801509435E-3</v>
      </c>
      <c r="C914" s="12">
        <v>-2.1058145625982294E-2</v>
      </c>
      <c r="D914" s="12">
        <v>-1.7387299211238494E-2</v>
      </c>
      <c r="E914" s="12">
        <v>-8.1761590634581438E-3</v>
      </c>
      <c r="F914" s="12">
        <v>-8.6697995588376209E-3</v>
      </c>
      <c r="G914" s="12">
        <v>-2.4755700325732932E-2</v>
      </c>
      <c r="H914" s="12">
        <v>-4.8987589810579601E-3</v>
      </c>
      <c r="I914" s="12">
        <v>-1.9284435003540268E-2</v>
      </c>
      <c r="J914" s="12">
        <v>-7.5531458020184683E-2</v>
      </c>
      <c r="K914" s="12">
        <v>-6.2835249042144659E-3</v>
      </c>
      <c r="L914" s="12">
        <v>-1.4721582289149882E-2</v>
      </c>
      <c r="M914" s="13">
        <f t="shared" si="97"/>
        <v>-1.3534670925932156E-2</v>
      </c>
      <c r="N914" s="32">
        <f t="shared" si="98"/>
        <v>194.4307475352019</v>
      </c>
      <c r="O914" s="32">
        <f t="shared" si="99"/>
        <v>154.8909144369305</v>
      </c>
      <c r="P914" s="12">
        <f t="shared" si="100"/>
        <v>-1.3534670925932156E-2</v>
      </c>
      <c r="Q914" s="13">
        <f t="shared" si="101"/>
        <v>-6.1538670457812125E-3</v>
      </c>
      <c r="R914" s="49" t="str">
        <f t="shared" si="102"/>
        <v/>
      </c>
    </row>
    <row r="915" spans="1:18" x14ac:dyDescent="0.35">
      <c r="A915" s="64" t="s">
        <v>77</v>
      </c>
      <c r="B915" s="14">
        <v>7.0009719353663069E-3</v>
      </c>
      <c r="C915" s="12">
        <v>1.6588184931506822E-2</v>
      </c>
      <c r="D915" s="12">
        <v>1.2890373234897279E-3</v>
      </c>
      <c r="E915" s="12">
        <v>7.4004683840749319E-3</v>
      </c>
      <c r="F915" s="12">
        <v>-1.6755993266644786E-2</v>
      </c>
      <c r="G915" s="12">
        <v>-1.8236472945891702E-2</v>
      </c>
      <c r="H915" s="12">
        <v>9.4810925135835333E-4</v>
      </c>
      <c r="I915" s="12">
        <v>1.1551855941561273E-2</v>
      </c>
      <c r="J915" s="12">
        <v>1.3413855176819034E-2</v>
      </c>
      <c r="K915" s="12">
        <v>8.3281924737814705E-3</v>
      </c>
      <c r="L915" s="12">
        <v>-5.1325919589393365E-3</v>
      </c>
      <c r="M915" s="13">
        <f t="shared" si="97"/>
        <v>4.5967974481438655E-3</v>
      </c>
      <c r="N915" s="32">
        <f t="shared" si="98"/>
        <v>195.32450629931242</v>
      </c>
      <c r="O915" s="32">
        <f t="shared" si="99"/>
        <v>155.97530138194668</v>
      </c>
      <c r="P915" s="12" t="str">
        <f t="shared" si="100"/>
        <v/>
      </c>
      <c r="Q915" s="13">
        <f t="shared" si="101"/>
        <v>-2.4041744872224415E-3</v>
      </c>
      <c r="R915" s="49">
        <f t="shared" si="102"/>
        <v>1</v>
      </c>
    </row>
    <row r="916" spans="1:18" x14ac:dyDescent="0.35">
      <c r="A916" s="64" t="s">
        <v>77</v>
      </c>
      <c r="B916" s="14">
        <v>2.4883499977379486E-4</v>
      </c>
      <c r="C916" s="12">
        <v>5.263711969694107E-5</v>
      </c>
      <c r="D916" s="12">
        <v>-7.1976124992684243E-3</v>
      </c>
      <c r="E916" s="12">
        <v>3.7195462153616354E-4</v>
      </c>
      <c r="F916" s="12">
        <v>-8.8356258732313897E-3</v>
      </c>
      <c r="G916" s="12">
        <v>-1.762264407702252E-2</v>
      </c>
      <c r="H916" s="12">
        <v>-1.278735108747131E-2</v>
      </c>
      <c r="I916" s="12">
        <v>-3.9046099588546657E-3</v>
      </c>
      <c r="J916" s="12">
        <v>3.2088012835205237E-3</v>
      </c>
      <c r="K916" s="12">
        <v>-5.2003670847352579E-3</v>
      </c>
      <c r="L916" s="12">
        <v>-6.9647463456576908E-3</v>
      </c>
      <c r="M916" s="13">
        <f t="shared" si="97"/>
        <v>-5.0253883729667534E-3</v>
      </c>
      <c r="N916" s="32">
        <f t="shared" si="98"/>
        <v>194.34292479640038</v>
      </c>
      <c r="O916" s="32">
        <f t="shared" si="99"/>
        <v>156.01411349603077</v>
      </c>
      <c r="P916" s="12">
        <f t="shared" si="100"/>
        <v>-5.0253883729667534E-3</v>
      </c>
      <c r="Q916" s="13">
        <f t="shared" si="101"/>
        <v>-5.2742233727405483E-3</v>
      </c>
      <c r="R916" s="49" t="str">
        <f t="shared" si="102"/>
        <v/>
      </c>
    </row>
    <row r="917" spans="1:18" x14ac:dyDescent="0.35">
      <c r="A917" s="64">
        <v>11</v>
      </c>
      <c r="B917" s="14">
        <v>-7.3670760114887823E-3</v>
      </c>
      <c r="C917" s="12">
        <v>1.5790304752880679E-3</v>
      </c>
      <c r="D917" s="12">
        <v>-1.5383708593657786E-2</v>
      </c>
      <c r="E917" s="12">
        <v>-2.6724298196689755E-3</v>
      </c>
      <c r="F917" s="12">
        <v>-3.7642947903430701E-2</v>
      </c>
      <c r="G917" s="12">
        <v>4.1557002354908334E-4</v>
      </c>
      <c r="H917" s="12">
        <v>-7.8234556055797322E-3</v>
      </c>
      <c r="I917" s="12">
        <v>-5.5216016859852557E-3</v>
      </c>
      <c r="J917" s="12">
        <v>-1.9591044094128485E-2</v>
      </c>
      <c r="K917" s="12">
        <v>-1.8450184501845879E-3</v>
      </c>
      <c r="L917" s="12">
        <v>-2.4129073224232966E-2</v>
      </c>
      <c r="M917" s="13">
        <f t="shared" si="97"/>
        <v>-1.0177148573562875E-2</v>
      </c>
      <c r="N917" s="32">
        <f t="shared" si="98"/>
        <v>192.36506797652666</v>
      </c>
      <c r="O917" s="32">
        <f t="shared" si="99"/>
        <v>154.86474566304048</v>
      </c>
      <c r="P917" s="12">
        <f t="shared" si="100"/>
        <v>-1.0177148573562875E-2</v>
      </c>
      <c r="Q917" s="13">
        <f t="shared" si="101"/>
        <v>-2.8100725620740924E-3</v>
      </c>
      <c r="R917" s="49" t="str">
        <f t="shared" si="102"/>
        <v/>
      </c>
    </row>
    <row r="918" spans="1:18" x14ac:dyDescent="0.35">
      <c r="A918" s="64" t="s">
        <v>77</v>
      </c>
      <c r="B918" s="14">
        <v>-5.9749950160910004E-3</v>
      </c>
      <c r="C918" s="12">
        <v>5.2551368963160705E-3</v>
      </c>
      <c r="D918" s="12">
        <v>-8.5004489673751182E-3</v>
      </c>
      <c r="E918" s="12">
        <v>-3.3786145350327423E-2</v>
      </c>
      <c r="F918" s="12">
        <v>-6.3335533916488718E-3</v>
      </c>
      <c r="G918" s="12">
        <v>5.815563555801706E-3</v>
      </c>
      <c r="H918" s="12">
        <v>9.0753552034517071E-3</v>
      </c>
      <c r="I918" s="12">
        <v>5.4251080783249694E-3</v>
      </c>
      <c r="J918" s="12">
        <v>6.4083891639965529E-3</v>
      </c>
      <c r="K918" s="12">
        <v>-4.6210720887251977E-4</v>
      </c>
      <c r="L918" s="12">
        <v>3.371683771553613E-3</v>
      </c>
      <c r="M918" s="13">
        <f t="shared" si="97"/>
        <v>-5.5132845651390174E-3</v>
      </c>
      <c r="N918" s="32">
        <f t="shared" si="98"/>
        <v>191.30450461637977</v>
      </c>
      <c r="O918" s="32">
        <f t="shared" si="99"/>
        <v>153.93942957953561</v>
      </c>
      <c r="P918" s="12">
        <f t="shared" si="100"/>
        <v>-5.5132845651390174E-3</v>
      </c>
      <c r="Q918" s="13">
        <f t="shared" si="101"/>
        <v>4.6171045095198295E-4</v>
      </c>
      <c r="R918" s="49" t="str">
        <f t="shared" si="102"/>
        <v/>
      </c>
    </row>
    <row r="919" spans="1:18" x14ac:dyDescent="0.35">
      <c r="A919" s="64" t="s">
        <v>77</v>
      </c>
      <c r="B919" s="14">
        <v>8.0279172110295782E-3</v>
      </c>
      <c r="C919" s="12">
        <v>5.0185582100477077E-3</v>
      </c>
      <c r="D919" s="12">
        <v>7.3658153716114061E-3</v>
      </c>
      <c r="E919" s="12">
        <v>1.1093158415125259E-3</v>
      </c>
      <c r="F919" s="12">
        <v>2.8485414720232693E-2</v>
      </c>
      <c r="G919" s="12">
        <v>9.5677312775328538E-3</v>
      </c>
      <c r="H919" s="12">
        <v>4.2757095466272599E-3</v>
      </c>
      <c r="I919" s="12">
        <v>1.1719079335637872E-2</v>
      </c>
      <c r="J919" s="12">
        <v>2.8133140376266352E-2</v>
      </c>
      <c r="K919" s="12">
        <v>1.3407304669440734E-2</v>
      </c>
      <c r="L919" s="12">
        <v>-2.1518054532057018E-3</v>
      </c>
      <c r="M919" s="13">
        <f t="shared" si="97"/>
        <v>7.0674752276801327E-3</v>
      </c>
      <c r="N919" s="32">
        <f t="shared" si="98"/>
        <v>192.65654446369965</v>
      </c>
      <c r="O919" s="32">
        <f t="shared" si="99"/>
        <v>155.17524257571324</v>
      </c>
      <c r="P919" s="12" t="str">
        <f t="shared" si="100"/>
        <v/>
      </c>
      <c r="Q919" s="13">
        <f t="shared" si="101"/>
        <v>-9.6044198334944552E-4</v>
      </c>
      <c r="R919" s="49">
        <f t="shared" si="102"/>
        <v>1</v>
      </c>
    </row>
    <row r="920" spans="1:18" x14ac:dyDescent="0.35">
      <c r="A920" s="64" t="s">
        <v>77</v>
      </c>
      <c r="B920" s="14">
        <v>1.116056625188655E-3</v>
      </c>
      <c r="C920" s="12">
        <v>9.2587776332899718E-3</v>
      </c>
      <c r="D920" s="12">
        <v>-9.409649385675678E-3</v>
      </c>
      <c r="E920" s="12">
        <v>-3.8783031821357783E-3</v>
      </c>
      <c r="F920" s="12">
        <v>4.1786947130426633E-3</v>
      </c>
      <c r="G920" s="12">
        <v>7.2952887434378777E-3</v>
      </c>
      <c r="H920" s="12">
        <v>-7.6341481318358273E-3</v>
      </c>
      <c r="I920" s="12">
        <v>-1.3000000000000012E-2</v>
      </c>
      <c r="J920" s="12">
        <v>3.9186982714937146E-2</v>
      </c>
      <c r="K920" s="12">
        <v>9.1240875912390607E-4</v>
      </c>
      <c r="L920" s="12">
        <v>-2.1150892118633968E-2</v>
      </c>
      <c r="M920" s="13">
        <f t="shared" si="97"/>
        <v>-9.0203382057454668E-3</v>
      </c>
      <c r="N920" s="32">
        <f t="shared" si="98"/>
        <v>190.91871727508683</v>
      </c>
      <c r="O920" s="32">
        <f t="shared" si="99"/>
        <v>155.34842693325513</v>
      </c>
      <c r="P920" s="12">
        <f t="shared" si="100"/>
        <v>-9.0203382057454668E-3</v>
      </c>
      <c r="Q920" s="13">
        <f t="shared" si="101"/>
        <v>-1.0136394830934122E-2</v>
      </c>
      <c r="R920" s="49" t="str">
        <f t="shared" si="102"/>
        <v/>
      </c>
    </row>
    <row r="921" spans="1:18" x14ac:dyDescent="0.35">
      <c r="A921" s="64" t="s">
        <v>77</v>
      </c>
      <c r="B921" s="14">
        <v>1.5028201536890773E-3</v>
      </c>
      <c r="C921" s="12">
        <v>1.6492295005927637E-3</v>
      </c>
      <c r="D921" s="12">
        <v>3.2066795740561815E-3</v>
      </c>
      <c r="E921" s="12">
        <v>6.1665699361579396E-3</v>
      </c>
      <c r="F921" s="12">
        <v>1.6182856223866171E-2</v>
      </c>
      <c r="G921" s="12">
        <v>4.061188574522312E-4</v>
      </c>
      <c r="H921" s="12">
        <v>7.5449367556772451E-3</v>
      </c>
      <c r="I921" s="12">
        <v>1.5619723066531144E-3</v>
      </c>
      <c r="J921" s="12">
        <v>2.1942894294847637E-2</v>
      </c>
      <c r="K921" s="12">
        <v>1.185050136736554E-2</v>
      </c>
      <c r="L921" s="12">
        <v>-1.1437711250603666E-2</v>
      </c>
      <c r="M921" s="13">
        <f t="shared" si="97"/>
        <v>2.7439086385764051E-3</v>
      </c>
      <c r="N921" s="32">
        <f t="shared" si="98"/>
        <v>191.44258079268386</v>
      </c>
      <c r="O921" s="32">
        <f t="shared" si="99"/>
        <v>155.58188768009433</v>
      </c>
      <c r="P921" s="12" t="str">
        <f t="shared" si="100"/>
        <v/>
      </c>
      <c r="Q921" s="13">
        <f t="shared" si="101"/>
        <v>1.2410884848873278E-3</v>
      </c>
      <c r="R921" s="49">
        <f t="shared" si="102"/>
        <v>1</v>
      </c>
    </row>
    <row r="922" spans="1:18" x14ac:dyDescent="0.35">
      <c r="A922" s="64">
        <v>11.05</v>
      </c>
      <c r="B922" s="14">
        <v>1.1847660516995706E-2</v>
      </c>
      <c r="C922" s="12">
        <v>7.8209416002059662E-3</v>
      </c>
      <c r="D922" s="12">
        <v>9.4686689584464467E-3</v>
      </c>
      <c r="E922" s="12">
        <v>1.908332732472906E-2</v>
      </c>
      <c r="F922" s="12">
        <v>-4.6885200498526514E-3</v>
      </c>
      <c r="G922" s="12">
        <v>-1.2381596752368162E-2</v>
      </c>
      <c r="H922" s="12">
        <v>7.6352690698187065E-3</v>
      </c>
      <c r="I922" s="12">
        <v>-1.0790305584826188E-2</v>
      </c>
      <c r="J922" s="12">
        <v>6.5210476089492264E-3</v>
      </c>
      <c r="K922" s="12">
        <v>7.3573573573575413E-3</v>
      </c>
      <c r="L922" s="12">
        <v>5.7392313093385106E-3</v>
      </c>
      <c r="M922" s="13">
        <f t="shared" si="97"/>
        <v>5.7965655899663415E-3</v>
      </c>
      <c r="N922" s="32">
        <f t="shared" si="98"/>
        <v>192.55229026896109</v>
      </c>
      <c r="O922" s="32">
        <f t="shared" si="99"/>
        <v>157.42516906792144</v>
      </c>
      <c r="P922" s="12" t="str">
        <f t="shared" si="100"/>
        <v/>
      </c>
      <c r="Q922" s="13">
        <f t="shared" si="101"/>
        <v>-6.0510949270293646E-3</v>
      </c>
      <c r="R922" s="49">
        <f t="shared" si="102"/>
        <v>1</v>
      </c>
    </row>
    <row r="923" spans="1:18" x14ac:dyDescent="0.35">
      <c r="A923" s="64" t="s">
        <v>77</v>
      </c>
      <c r="B923" s="14">
        <v>-1.9984945919238051E-4</v>
      </c>
      <c r="C923" s="12">
        <v>-7.0965436258744186E-3</v>
      </c>
      <c r="D923" s="12">
        <v>4.8990321424302596E-3</v>
      </c>
      <c r="E923" s="12">
        <v>1.2028018207117519E-3</v>
      </c>
      <c r="F923" s="12">
        <v>-2.3851168707266224E-3</v>
      </c>
      <c r="G923" s="12">
        <v>3.0828252380625809E-3</v>
      </c>
      <c r="H923" s="12">
        <v>9.2531876138435276E-3</v>
      </c>
      <c r="I923" s="12">
        <v>-5.7096595508969727E-3</v>
      </c>
      <c r="J923" s="12">
        <v>8.2696865946800813E-3</v>
      </c>
      <c r="K923" s="12">
        <v>8.9432106126108302E-4</v>
      </c>
      <c r="L923" s="12">
        <v>-3.5210198816207905E-3</v>
      </c>
      <c r="M923" s="13">
        <f t="shared" si="97"/>
        <v>1.4128508718021129E-5</v>
      </c>
      <c r="N923" s="32">
        <f t="shared" si="98"/>
        <v>192.55501074567283</v>
      </c>
      <c r="O923" s="32">
        <f t="shared" si="99"/>
        <v>157.39370773301997</v>
      </c>
      <c r="P923" s="12" t="str">
        <f t="shared" si="100"/>
        <v/>
      </c>
      <c r="Q923" s="13">
        <f t="shared" si="101"/>
        <v>2.1397796791040164E-4</v>
      </c>
      <c r="R923" s="49">
        <f t="shared" si="102"/>
        <v>1</v>
      </c>
    </row>
    <row r="924" spans="1:18" x14ac:dyDescent="0.35">
      <c r="A924" s="64" t="s">
        <v>77</v>
      </c>
      <c r="B924" s="14">
        <v>-1.1152708034434244E-3</v>
      </c>
      <c r="C924" s="12">
        <v>1.2392019744960958E-2</v>
      </c>
      <c r="D924" s="12">
        <v>1.0760998810939393E-2</v>
      </c>
      <c r="E924" s="12">
        <v>-1.5782530858380328E-3</v>
      </c>
      <c r="F924" s="12">
        <v>-2.2374083519285937E-2</v>
      </c>
      <c r="G924" s="12">
        <v>4.5075809315668902E-3</v>
      </c>
      <c r="H924" s="12">
        <v>5.8836269130810859E-3</v>
      </c>
      <c r="I924" s="12">
        <v>-2.9140775658881291E-3</v>
      </c>
      <c r="J924" s="12">
        <v>-6.1644551248561941E-3</v>
      </c>
      <c r="K924" s="12">
        <v>-1.8912881608339704E-2</v>
      </c>
      <c r="L924" s="12">
        <v>1.9799567455602851E-3</v>
      </c>
      <c r="M924" s="13">
        <f t="shared" si="97"/>
        <v>-1.7205513842076989E-3</v>
      </c>
      <c r="N924" s="32">
        <f t="shared" si="98"/>
        <v>192.22370995539825</v>
      </c>
      <c r="O924" s="32">
        <f t="shared" si="99"/>
        <v>157.21817112613962</v>
      </c>
      <c r="P924" s="12">
        <f t="shared" si="100"/>
        <v>-1.7205513842076989E-3</v>
      </c>
      <c r="Q924" s="13">
        <f t="shared" si="101"/>
        <v>-6.0528058076427449E-4</v>
      </c>
      <c r="R924" s="49" t="str">
        <f t="shared" si="102"/>
        <v/>
      </c>
    </row>
    <row r="925" spans="1:18" x14ac:dyDescent="0.35">
      <c r="A925" s="64" t="s">
        <v>77</v>
      </c>
      <c r="B925" s="14">
        <v>2.5808913052016713E-3</v>
      </c>
      <c r="C925" s="12">
        <v>-1.9147747473208354E-2</v>
      </c>
      <c r="D925" s="12">
        <v>2.1763425680842996E-3</v>
      </c>
      <c r="E925" s="12">
        <v>9.4844874365931364E-3</v>
      </c>
      <c r="F925" s="12">
        <v>8.7835496953270198E-3</v>
      </c>
      <c r="G925" s="12">
        <v>3.3995104704920287E-4</v>
      </c>
      <c r="H925" s="12">
        <v>-1.302615997416301E-2</v>
      </c>
      <c r="I925" s="12">
        <v>-9.8852451970599109E-4</v>
      </c>
      <c r="J925" s="12">
        <v>-6.307821698906535E-4</v>
      </c>
      <c r="K925" s="12">
        <v>1.6393442622950838E-2</v>
      </c>
      <c r="L925" s="12">
        <v>2.0368456253421208E-3</v>
      </c>
      <c r="M925" s="13">
        <f t="shared" si="97"/>
        <v>5.7399028665663437E-3</v>
      </c>
      <c r="N925" s="32">
        <f t="shared" si="98"/>
        <v>193.32705537919327</v>
      </c>
      <c r="O925" s="32">
        <f t="shared" si="99"/>
        <v>157.62393413701878</v>
      </c>
      <c r="P925" s="12" t="str">
        <f t="shared" si="100"/>
        <v/>
      </c>
      <c r="Q925" s="13">
        <f t="shared" si="101"/>
        <v>3.1590115613646724E-3</v>
      </c>
      <c r="R925" s="49">
        <f t="shared" si="102"/>
        <v>1</v>
      </c>
    </row>
    <row r="926" spans="1:18" x14ac:dyDescent="0.35">
      <c r="A926" s="64" t="s">
        <v>77</v>
      </c>
      <c r="B926" s="14">
        <v>2.7104214117694703E-3</v>
      </c>
      <c r="C926" s="12">
        <v>7.2649130074565083E-2</v>
      </c>
      <c r="D926" s="12">
        <v>-6.2213874867942387E-3</v>
      </c>
      <c r="E926" s="12">
        <v>1.1241732301867424E-2</v>
      </c>
      <c r="F926" s="12">
        <v>2.4646464646465027E-3</v>
      </c>
      <c r="G926" s="12">
        <v>-2.5147828451029808E-3</v>
      </c>
      <c r="H926" s="12">
        <v>-1.3452588714368829E-3</v>
      </c>
      <c r="I926" s="12">
        <v>-3.403028738599212E-2</v>
      </c>
      <c r="J926" s="12">
        <v>-2.4300441826215047E-2</v>
      </c>
      <c r="K926" s="12">
        <v>-3.4348864994024897E-3</v>
      </c>
      <c r="L926" s="12">
        <v>-6.9779436303510911E-3</v>
      </c>
      <c r="M926" s="13">
        <f t="shared" si="97"/>
        <v>-8.6550824628024853E-3</v>
      </c>
      <c r="N926" s="32">
        <f t="shared" si="98"/>
        <v>191.65379377259558</v>
      </c>
      <c r="O926" s="32">
        <f t="shared" si="99"/>
        <v>158.0511614231111</v>
      </c>
      <c r="P926" s="12">
        <f t="shared" si="100"/>
        <v>-8.6550824628024853E-3</v>
      </c>
      <c r="Q926" s="13">
        <f t="shared" si="101"/>
        <v>-1.1365503874571956E-2</v>
      </c>
      <c r="R926" s="49" t="str">
        <f t="shared" si="102"/>
        <v/>
      </c>
    </row>
    <row r="927" spans="1:18" x14ac:dyDescent="0.35">
      <c r="A927" s="64">
        <v>11.05</v>
      </c>
      <c r="B927" s="14">
        <v>8.503679780924589E-3</v>
      </c>
      <c r="C927" s="12">
        <v>2.8578324885348616E-2</v>
      </c>
      <c r="D927" s="12">
        <v>-1.8899125915425863E-3</v>
      </c>
      <c r="E927" s="12">
        <v>1.9367662013497267E-2</v>
      </c>
      <c r="F927" s="12">
        <v>-6.347990810527615E-3</v>
      </c>
      <c r="G927" s="12">
        <v>-9.198691741618914E-3</v>
      </c>
      <c r="H927" s="12">
        <v>-1.5837186441912232E-2</v>
      </c>
      <c r="I927" s="12">
        <v>-2.1823364361109876E-3</v>
      </c>
      <c r="J927" s="12">
        <v>-1.5256064690027049E-2</v>
      </c>
      <c r="K927" s="12">
        <v>-6.2940206803536736E-3</v>
      </c>
      <c r="L927" s="12">
        <v>4.3383947939263923E-3</v>
      </c>
      <c r="M927" s="13">
        <f t="shared" si="97"/>
        <v>1.0811501620551049E-3</v>
      </c>
      <c r="N927" s="32">
        <f t="shared" si="98"/>
        <v>191.8610003027913</v>
      </c>
      <c r="O927" s="32">
        <f t="shared" si="99"/>
        <v>159.39517788885647</v>
      </c>
      <c r="P927" s="12" t="str">
        <f t="shared" si="100"/>
        <v/>
      </c>
      <c r="Q927" s="13">
        <f t="shared" si="101"/>
        <v>-7.4225296188694841E-3</v>
      </c>
      <c r="R927" s="49">
        <f t="shared" si="102"/>
        <v>1</v>
      </c>
    </row>
    <row r="928" spans="1:18" x14ac:dyDescent="0.35">
      <c r="A928" s="64" t="s">
        <v>77</v>
      </c>
      <c r="B928" s="14">
        <v>2.3445728948188194E-3</v>
      </c>
      <c r="C928" s="12">
        <v>5.4911531421599769E-3</v>
      </c>
      <c r="D928" s="12">
        <v>7.1005917159761012E-4</v>
      </c>
      <c r="E928" s="12">
        <v>1.1789779168367431E-3</v>
      </c>
      <c r="F928" s="12">
        <v>8.5789036039507494E-3</v>
      </c>
      <c r="G928" s="12">
        <v>2.7508424454980585E-4</v>
      </c>
      <c r="H928" s="12">
        <v>3.2184078129624538E-3</v>
      </c>
      <c r="I928" s="12">
        <v>-8.2574540260667018E-3</v>
      </c>
      <c r="J928" s="12">
        <v>-1.0784474735862526E-2</v>
      </c>
      <c r="K928" s="12">
        <v>5.8814658422561283E-3</v>
      </c>
      <c r="L928" s="12">
        <v>-7.2095640799439975E-3</v>
      </c>
      <c r="M928" s="13">
        <f t="shared" si="97"/>
        <v>-1.141683623323789E-3</v>
      </c>
      <c r="N928" s="32">
        <f t="shared" si="98"/>
        <v>191.64195574079108</v>
      </c>
      <c r="O928" s="32">
        <f t="shared" si="99"/>
        <v>159.76889150249951</v>
      </c>
      <c r="P928" s="12">
        <f t="shared" si="100"/>
        <v>-1.141683623323789E-3</v>
      </c>
      <c r="Q928" s="13">
        <f t="shared" si="101"/>
        <v>-3.4862565181426083E-3</v>
      </c>
      <c r="R928" s="49" t="str">
        <f t="shared" si="102"/>
        <v/>
      </c>
    </row>
    <row r="929" spans="1:18" x14ac:dyDescent="0.35">
      <c r="A929" s="64" t="s">
        <v>77</v>
      </c>
      <c r="B929" s="14">
        <v>-3.9383555341243603E-4</v>
      </c>
      <c r="C929" s="12">
        <v>-8.1684092606422176E-3</v>
      </c>
      <c r="D929" s="12">
        <v>5.3216650898768592E-4</v>
      </c>
      <c r="E929" s="12">
        <v>2.2419493636487431E-3</v>
      </c>
      <c r="F929" s="12">
        <v>-3.6195455459486769E-4</v>
      </c>
      <c r="G929" s="12">
        <v>6.1876933654181343E-4</v>
      </c>
      <c r="H929" s="12">
        <v>-1.954349349164719E-3</v>
      </c>
      <c r="I929" s="12">
        <v>1.1836716323866847E-2</v>
      </c>
      <c r="J929" s="12">
        <v>-1.8981737686773581E-2</v>
      </c>
      <c r="K929" s="12">
        <v>4.7976011994002032E-3</v>
      </c>
      <c r="L929" s="12">
        <v>-1.4983453854639062E-2</v>
      </c>
      <c r="M929" s="13">
        <f t="shared" si="97"/>
        <v>1.2611103390100186E-3</v>
      </c>
      <c r="N929" s="32">
        <f t="shared" si="98"/>
        <v>191.88363739256391</v>
      </c>
      <c r="O929" s="32">
        <f t="shared" si="99"/>
        <v>159.70596883269653</v>
      </c>
      <c r="P929" s="12" t="str">
        <f t="shared" si="100"/>
        <v/>
      </c>
      <c r="Q929" s="13">
        <f t="shared" si="101"/>
        <v>1.6549458924224546E-3</v>
      </c>
      <c r="R929" s="49">
        <f t="shared" si="102"/>
        <v>1</v>
      </c>
    </row>
    <row r="930" spans="1:18" x14ac:dyDescent="0.35">
      <c r="A930" s="64" t="s">
        <v>77</v>
      </c>
      <c r="B930" s="14">
        <v>7.6644082774870448E-3</v>
      </c>
      <c r="C930" s="12">
        <v>1.9671513953597675E-2</v>
      </c>
      <c r="D930" s="12">
        <v>1.7138466993675827E-3</v>
      </c>
      <c r="E930" s="12">
        <v>1.310527148247731E-2</v>
      </c>
      <c r="F930" s="12">
        <v>-1.5871419375603435E-2</v>
      </c>
      <c r="G930" s="12">
        <v>2.8170949567130066E-3</v>
      </c>
      <c r="H930" s="12">
        <v>1.8842828641099096E-3</v>
      </c>
      <c r="I930" s="12">
        <v>1.5345609821190376E-2</v>
      </c>
      <c r="J930" s="12">
        <v>6.3180459186549243E-3</v>
      </c>
      <c r="K930" s="12">
        <v>5.9683676514474815E-3</v>
      </c>
      <c r="L930" s="12">
        <v>2.8929604628735728E-3</v>
      </c>
      <c r="M930" s="13">
        <f t="shared" si="97"/>
        <v>7.0738601826358096E-3</v>
      </c>
      <c r="N930" s="32">
        <f t="shared" si="98"/>
        <v>193.24099541481451</v>
      </c>
      <c r="O930" s="32">
        <f t="shared" si="99"/>
        <v>160.93002058218192</v>
      </c>
      <c r="P930" s="12" t="str">
        <f t="shared" si="100"/>
        <v/>
      </c>
      <c r="Q930" s="13">
        <f t="shared" si="101"/>
        <v>-5.9054809485123514E-4</v>
      </c>
      <c r="R930" s="49">
        <f t="shared" si="102"/>
        <v>1</v>
      </c>
    </row>
    <row r="931" spans="1:18" x14ac:dyDescent="0.35">
      <c r="A931" s="64" t="s">
        <v>77</v>
      </c>
      <c r="B931" s="14">
        <v>2.5213630708009749E-3</v>
      </c>
      <c r="C931" s="12">
        <v>-1.0984446393132341E-2</v>
      </c>
      <c r="D931" s="12">
        <v>6.1946902654868019E-3</v>
      </c>
      <c r="E931" s="12">
        <v>-4.5275107612017251E-3</v>
      </c>
      <c r="F931" s="12">
        <v>-1.672015207571087E-2</v>
      </c>
      <c r="G931" s="12">
        <v>-2.0554984583760483E-3</v>
      </c>
      <c r="H931" s="12">
        <v>9.0349227421913092E-3</v>
      </c>
      <c r="I931" s="12">
        <v>4.5560082358611087E-3</v>
      </c>
      <c r="J931" s="12">
        <v>-1.9059364314143012E-2</v>
      </c>
      <c r="K931" s="12">
        <v>2.6698309107089369E-3</v>
      </c>
      <c r="L931" s="12">
        <v>8.4987593052110455E-3</v>
      </c>
      <c r="M931" s="13">
        <f t="shared" si="97"/>
        <v>3.9928087603154543E-3</v>
      </c>
      <c r="N931" s="32">
        <f t="shared" si="98"/>
        <v>194.01256975415885</v>
      </c>
      <c r="O931" s="32">
        <f t="shared" si="99"/>
        <v>161.33578359306108</v>
      </c>
      <c r="P931" s="12" t="str">
        <f t="shared" si="100"/>
        <v/>
      </c>
      <c r="Q931" s="13">
        <f t="shared" si="101"/>
        <v>1.4714456895144794E-3</v>
      </c>
      <c r="R931" s="49">
        <f t="shared" si="102"/>
        <v>1</v>
      </c>
    </row>
    <row r="932" spans="1:18" x14ac:dyDescent="0.35">
      <c r="A932" s="64">
        <v>11.05</v>
      </c>
      <c r="B932" s="14">
        <v>-2.5259566650810417E-3</v>
      </c>
      <c r="C932" s="12">
        <v>-2.1512903075271761E-2</v>
      </c>
      <c r="D932" s="12">
        <v>1.975960128994414E-2</v>
      </c>
      <c r="E932" s="12">
        <v>-1.4338844826813357E-3</v>
      </c>
      <c r="F932" s="12">
        <v>7.2133873817690208E-3</v>
      </c>
      <c r="G932" s="12">
        <v>1.4624098867147328E-2</v>
      </c>
      <c r="H932" s="12">
        <v>1.1695051531320777E-2</v>
      </c>
      <c r="I932" s="12">
        <v>3.924817932057012E-3</v>
      </c>
      <c r="J932" s="12">
        <v>7.4861420652609922E-3</v>
      </c>
      <c r="K932" s="12">
        <v>6.0650887573965306E-3</v>
      </c>
      <c r="L932" s="12">
        <v>1.2271636833364186E-2</v>
      </c>
      <c r="M932" s="13">
        <f t="shared" si="97"/>
        <v>9.427861355742256E-3</v>
      </c>
      <c r="N932" s="32">
        <f t="shared" si="98"/>
        <v>195.84169336307235</v>
      </c>
      <c r="O932" s="32">
        <f t="shared" si="99"/>
        <v>160.92825639517812</v>
      </c>
      <c r="P932" s="12" t="str">
        <f t="shared" si="100"/>
        <v/>
      </c>
      <c r="Q932" s="13">
        <f t="shared" si="101"/>
        <v>1.1953818020823298E-2</v>
      </c>
      <c r="R932" s="49">
        <f t="shared" si="102"/>
        <v>1</v>
      </c>
    </row>
    <row r="933" spans="1:18" x14ac:dyDescent="0.35">
      <c r="A933" s="64" t="s">
        <v>77</v>
      </c>
      <c r="B933" s="14">
        <v>-1.5621659842468549E-3</v>
      </c>
      <c r="C933" s="12">
        <v>-1.0444486837085099E-2</v>
      </c>
      <c r="D933" s="12">
        <v>-8.3946642134313798E-3</v>
      </c>
      <c r="E933" s="12">
        <v>9.1541395557550587E-3</v>
      </c>
      <c r="F933" s="12">
        <v>-3.9833237018079837E-3</v>
      </c>
      <c r="G933" s="12">
        <v>6.5638110705101838E-3</v>
      </c>
      <c r="H933" s="12">
        <v>-5.7799291958672283E-3</v>
      </c>
      <c r="I933" s="12">
        <v>7.3845619217238756E-4</v>
      </c>
      <c r="J933" s="12">
        <v>1.4747589336356892E-3</v>
      </c>
      <c r="K933" s="12">
        <v>-1.4703720041171486E-3</v>
      </c>
      <c r="L933" s="12">
        <v>-3.9194239358308902E-3</v>
      </c>
      <c r="M933" s="13">
        <f t="shared" si="97"/>
        <v>-1.8872325066752287E-3</v>
      </c>
      <c r="N933" s="32">
        <f t="shared" si="98"/>
        <v>195.47209455319523</v>
      </c>
      <c r="O933" s="32">
        <f t="shared" si="99"/>
        <v>160.67685974713342</v>
      </c>
      <c r="P933" s="12">
        <f t="shared" si="100"/>
        <v>-1.8872325066752287E-3</v>
      </c>
      <c r="Q933" s="13">
        <f t="shared" si="101"/>
        <v>-3.2506652242837372E-4</v>
      </c>
      <c r="R933" s="49" t="str">
        <f t="shared" si="102"/>
        <v/>
      </c>
    </row>
    <row r="934" spans="1:18" x14ac:dyDescent="0.35">
      <c r="A934" s="64" t="s">
        <v>77</v>
      </c>
      <c r="B934" s="14">
        <v>-3.0651719607218686E-3</v>
      </c>
      <c r="C934" s="12">
        <v>3.1326810930645266E-3</v>
      </c>
      <c r="D934" s="12">
        <v>1.4786037341992353E-2</v>
      </c>
      <c r="E934" s="12">
        <v>-4.6911823558183352E-3</v>
      </c>
      <c r="F934" s="12">
        <v>1.5313205826892551E-2</v>
      </c>
      <c r="G934" s="12">
        <v>2.4873949579831134E-3</v>
      </c>
      <c r="H934" s="12">
        <v>3.9241334205362133E-3</v>
      </c>
      <c r="I934" s="12">
        <v>4.7313134820730074E-3</v>
      </c>
      <c r="J934" s="12">
        <v>1.4386044404168574E-2</v>
      </c>
      <c r="K934" s="12">
        <v>1.4578118097481996E-2</v>
      </c>
      <c r="L934" s="12">
        <v>6.5885797950220315E-3</v>
      </c>
      <c r="M934" s="13">
        <f t="shared" si="97"/>
        <v>8.7029010355362969E-3</v>
      </c>
      <c r="N934" s="32">
        <f t="shared" si="98"/>
        <v>197.1732688473007</v>
      </c>
      <c r="O934" s="32">
        <f t="shared" si="99"/>
        <v>160.18435754189966</v>
      </c>
      <c r="P934" s="12" t="str">
        <f t="shared" si="100"/>
        <v/>
      </c>
      <c r="Q934" s="13">
        <f t="shared" si="101"/>
        <v>1.1768072996258165E-2</v>
      </c>
      <c r="R934" s="49">
        <f t="shared" si="102"/>
        <v>1</v>
      </c>
    </row>
    <row r="935" spans="1:18" x14ac:dyDescent="0.35">
      <c r="A935" s="64" t="s">
        <v>77</v>
      </c>
      <c r="B935" s="14">
        <v>3.9336474622191364E-3</v>
      </c>
      <c r="C935" s="12">
        <v>4.4681464398963477E-3</v>
      </c>
      <c r="D935" s="12">
        <v>-1.3770641677618434E-2</v>
      </c>
      <c r="E935" s="12">
        <v>7.3268255634730828E-3</v>
      </c>
      <c r="F935" s="12">
        <v>-1.1184129964488365E-2</v>
      </c>
      <c r="G935" s="12">
        <v>-1.2942596566523634E-2</v>
      </c>
      <c r="H935" s="12">
        <v>-1.0025334781035289E-2</v>
      </c>
      <c r="I935" s="12">
        <v>-3.8017885687129382E-3</v>
      </c>
      <c r="J935" s="12">
        <v>-2.2333891680625384E-2</v>
      </c>
      <c r="K935" s="12">
        <v>-2.1480406386066853E-2</v>
      </c>
      <c r="L935" s="12">
        <v>-7.8787878787879295E-3</v>
      </c>
      <c r="M935" s="13">
        <f t="shared" si="97"/>
        <v>-9.6429726534870558E-3</v>
      </c>
      <c r="N935" s="32">
        <f t="shared" si="98"/>
        <v>195.27193240780755</v>
      </c>
      <c r="O935" s="32">
        <f t="shared" si="99"/>
        <v>160.81446633343157</v>
      </c>
      <c r="P935" s="12">
        <f t="shared" si="100"/>
        <v>-9.6429726534870558E-3</v>
      </c>
      <c r="Q935" s="13">
        <f t="shared" si="101"/>
        <v>-1.3576620115706192E-2</v>
      </c>
      <c r="R935" s="49" t="str">
        <f t="shared" si="102"/>
        <v/>
      </c>
    </row>
    <row r="936" spans="1:18" x14ac:dyDescent="0.35">
      <c r="A936" s="64" t="s">
        <v>77</v>
      </c>
      <c r="B936" s="14">
        <v>1.5724132887204867E-3</v>
      </c>
      <c r="C936" s="12">
        <v>1.9993303678193852E-2</v>
      </c>
      <c r="D936" s="12">
        <v>-4.2294322132097051E-3</v>
      </c>
      <c r="E936" s="12">
        <v>2.683224304246723E-3</v>
      </c>
      <c r="F936" s="12">
        <v>-9.4943240454070654E-4</v>
      </c>
      <c r="G936" s="12">
        <v>-2.5137577281065804E-3</v>
      </c>
      <c r="H936" s="12">
        <v>2.5591342814323959E-4</v>
      </c>
      <c r="I936" s="12">
        <v>3.9030313543531037E-4</v>
      </c>
      <c r="J936" s="12">
        <v>1.9417475728155331E-2</v>
      </c>
      <c r="K936" s="12">
        <v>1.2904182735093528E-2</v>
      </c>
      <c r="L936" s="12">
        <v>-2.0464263897371771E-3</v>
      </c>
      <c r="M936" s="13">
        <f t="shared" si="97"/>
        <v>1.8258864245562882E-3</v>
      </c>
      <c r="N936" s="32">
        <f t="shared" si="98"/>
        <v>195.62847677828788</v>
      </c>
      <c r="O936" s="32">
        <f t="shared" si="99"/>
        <v>161.06733313731274</v>
      </c>
      <c r="P936" s="12" t="str">
        <f t="shared" si="100"/>
        <v/>
      </c>
      <c r="Q936" s="13">
        <f t="shared" si="101"/>
        <v>2.5347313583580153E-4</v>
      </c>
      <c r="R936" s="49">
        <f t="shared" si="102"/>
        <v>1</v>
      </c>
    </row>
    <row r="937" spans="1:18" x14ac:dyDescent="0.35">
      <c r="A937" s="64">
        <v>10.95</v>
      </c>
      <c r="B937" s="14">
        <v>9.0728198762302092E-4</v>
      </c>
      <c r="C937" s="12">
        <v>3.9859320046893298E-3</v>
      </c>
      <c r="D937" s="12">
        <v>-5.9347181008903016E-3</v>
      </c>
      <c r="E937" s="12">
        <v>1.5260084925690087E-3</v>
      </c>
      <c r="F937" s="12">
        <v>4.9582679117428086E-3</v>
      </c>
      <c r="G937" s="12">
        <v>-6.947282386595699E-3</v>
      </c>
      <c r="H937" s="12">
        <v>-2.5621345029239961E-2</v>
      </c>
      <c r="I937" s="12">
        <v>-9.883821744407828E-3</v>
      </c>
      <c r="J937" s="12">
        <v>2.2464985994397724E-2</v>
      </c>
      <c r="K937" s="12">
        <v>-6.0038072924295527E-3</v>
      </c>
      <c r="L937" s="12">
        <v>2.2342607045571228E-3</v>
      </c>
      <c r="M937" s="13">
        <f t="shared" si="97"/>
        <v>-4.2842515878103787E-3</v>
      </c>
      <c r="N937" s="32">
        <f t="shared" si="98"/>
        <v>194.79035516602957</v>
      </c>
      <c r="O937" s="32">
        <f t="shared" si="99"/>
        <v>161.21346662746271</v>
      </c>
      <c r="P937" s="12">
        <f t="shared" si="100"/>
        <v>-4.2842515878103787E-3</v>
      </c>
      <c r="Q937" s="13">
        <f t="shared" si="101"/>
        <v>-5.1915335754333996E-3</v>
      </c>
      <c r="R937" s="49" t="str">
        <f t="shared" si="102"/>
        <v/>
      </c>
    </row>
    <row r="938" spans="1:18" x14ac:dyDescent="0.35">
      <c r="A938" s="64" t="s">
        <v>77</v>
      </c>
      <c r="B938" s="14">
        <v>-4.0836277351096184E-3</v>
      </c>
      <c r="C938" s="12">
        <v>-1.625408687529184E-2</v>
      </c>
      <c r="D938" s="12">
        <v>1.2291483757682187E-2</v>
      </c>
      <c r="E938" s="12">
        <v>-1.3028596665562664E-2</v>
      </c>
      <c r="F938" s="12">
        <v>4.6912260504892611E-2</v>
      </c>
      <c r="G938" s="12">
        <v>2.4691358024691024E-3</v>
      </c>
      <c r="H938" s="12">
        <v>-1.5454443152406072E-2</v>
      </c>
      <c r="I938" s="12">
        <v>1.3791593695271498E-2</v>
      </c>
      <c r="J938" s="12">
        <v>-2.7395759136485953E-3</v>
      </c>
      <c r="K938" s="12">
        <v>-2.5044195639364331E-3</v>
      </c>
      <c r="L938" s="12">
        <v>1.7223477676662879E-2</v>
      </c>
      <c r="M938" s="13">
        <f t="shared" si="97"/>
        <v>6.5909060763720525E-3</v>
      </c>
      <c r="N938" s="32">
        <f t="shared" si="98"/>
        <v>196.07420010151202</v>
      </c>
      <c r="O938" s="32">
        <f t="shared" si="99"/>
        <v>160.55513084386962</v>
      </c>
      <c r="P938" s="12" t="str">
        <f t="shared" si="100"/>
        <v/>
      </c>
      <c r="Q938" s="13">
        <f t="shared" si="101"/>
        <v>1.067453381148167E-2</v>
      </c>
      <c r="R938" s="49">
        <f t="shared" si="102"/>
        <v>1</v>
      </c>
    </row>
    <row r="939" spans="1:18" x14ac:dyDescent="0.35">
      <c r="A939" s="64" t="s">
        <v>77</v>
      </c>
      <c r="B939" s="14">
        <v>2.6755889592124937E-3</v>
      </c>
      <c r="C939" s="12">
        <v>2.9104548475928249E-2</v>
      </c>
      <c r="D939" s="12">
        <v>1.2431338537149506E-2</v>
      </c>
      <c r="E939" s="12">
        <v>2.188164224186151E-2</v>
      </c>
      <c r="F939" s="12">
        <v>-2.8688685543730164E-2</v>
      </c>
      <c r="G939" s="12">
        <v>1.9157088122605526E-3</v>
      </c>
      <c r="H939" s="12">
        <v>2.9336686097458653E-3</v>
      </c>
      <c r="I939" s="12">
        <v>9.7603109479593719E-3</v>
      </c>
      <c r="J939" s="12">
        <v>2.576781495522229E-2</v>
      </c>
      <c r="K939" s="12">
        <v>-3.3968394624130926E-3</v>
      </c>
      <c r="L939" s="12">
        <v>-1.2068447913539559E-2</v>
      </c>
      <c r="M939" s="13">
        <f t="shared" si="97"/>
        <v>5.5197145357608248E-3</v>
      </c>
      <c r="N939" s="32">
        <f t="shared" si="98"/>
        <v>197.15647371390003</v>
      </c>
      <c r="O939" s="32">
        <f t="shared" si="99"/>
        <v>160.9847103793004</v>
      </c>
      <c r="P939" s="12" t="str">
        <f t="shared" si="100"/>
        <v/>
      </c>
      <c r="Q939" s="13">
        <f t="shared" si="101"/>
        <v>2.8441255765483311E-3</v>
      </c>
      <c r="R939" s="49">
        <f t="shared" si="102"/>
        <v>1</v>
      </c>
    </row>
    <row r="940" spans="1:18" x14ac:dyDescent="0.35">
      <c r="A940" s="64" t="s">
        <v>77</v>
      </c>
      <c r="B940" s="14">
        <v>6.195331948881222E-3</v>
      </c>
      <c r="C940" s="12">
        <v>1.6239907727797043E-2</v>
      </c>
      <c r="D940" s="12">
        <v>1.2564249000571293E-2</v>
      </c>
      <c r="E940" s="12">
        <v>5.5831672979658187E-3</v>
      </c>
      <c r="F940" s="12">
        <v>7.2576569291418203E-3</v>
      </c>
      <c r="G940" s="12">
        <v>-2.7997814804697763E-3</v>
      </c>
      <c r="H940" s="12">
        <v>1.8956085701261172E-2</v>
      </c>
      <c r="I940" s="12">
        <v>9.2382703904880792E-3</v>
      </c>
      <c r="J940" s="12">
        <v>-6.8559185859667915E-3</v>
      </c>
      <c r="K940" s="12">
        <v>8.7433313574389881E-3</v>
      </c>
      <c r="L940" s="12">
        <v>-4.0111826911388704E-3</v>
      </c>
      <c r="M940" s="13">
        <f t="shared" si="97"/>
        <v>7.2788835873621362E-3</v>
      </c>
      <c r="N940" s="32">
        <f t="shared" si="98"/>
        <v>198.59155273455832</v>
      </c>
      <c r="O940" s="32">
        <f t="shared" si="99"/>
        <v>161.98206409879467</v>
      </c>
      <c r="P940" s="12" t="str">
        <f t="shared" si="100"/>
        <v/>
      </c>
      <c r="Q940" s="13">
        <f t="shared" si="101"/>
        <v>1.0835516384809143E-3</v>
      </c>
      <c r="R940" s="49">
        <f t="shared" si="102"/>
        <v>1</v>
      </c>
    </row>
    <row r="941" spans="1:18" x14ac:dyDescent="0.35">
      <c r="A941" s="64" t="s">
        <v>77</v>
      </c>
      <c r="B941" s="14">
        <v>5.0843981041965858E-3</v>
      </c>
      <c r="C941" s="12">
        <v>5.8110500749080085E-3</v>
      </c>
      <c r="D941" s="12">
        <v>-8.8550479413425087E-3</v>
      </c>
      <c r="E941" s="12">
        <v>3.2442083260755261E-3</v>
      </c>
      <c r="F941" s="12">
        <v>-1.6758991650610233E-2</v>
      </c>
      <c r="G941" s="12">
        <v>-2.3282887077997749E-3</v>
      </c>
      <c r="H941" s="12">
        <v>2.8333892554897044E-3</v>
      </c>
      <c r="I941" s="12">
        <v>-1.10183497902272E-3</v>
      </c>
      <c r="J941" s="12">
        <v>-5.9864092330923491E-3</v>
      </c>
      <c r="K941" s="12">
        <v>2.4974291170853924E-3</v>
      </c>
      <c r="L941" s="12">
        <v>8.6953868684402913E-3</v>
      </c>
      <c r="M941" s="13">
        <f t="shared" si="97"/>
        <v>-1.5493204025688158E-4</v>
      </c>
      <c r="N941" s="32">
        <f t="shared" si="98"/>
        <v>198.56078454011538</v>
      </c>
      <c r="O941" s="32">
        <f t="shared" si="99"/>
        <v>162.80564539841242</v>
      </c>
      <c r="P941" s="12">
        <f t="shared" si="100"/>
        <v>-1.5493204025688158E-4</v>
      </c>
      <c r="Q941" s="13">
        <f t="shared" si="101"/>
        <v>-5.2393301444534669E-3</v>
      </c>
      <c r="R941" s="49" t="str">
        <f t="shared" si="102"/>
        <v/>
      </c>
    </row>
    <row r="942" spans="1:18" x14ac:dyDescent="0.35">
      <c r="A942" s="64">
        <v>11.26</v>
      </c>
      <c r="B942" s="14">
        <v>5.4487793072806046E-3</v>
      </c>
      <c r="C942" s="12">
        <v>2.162040171518842E-2</v>
      </c>
      <c r="D942" s="12">
        <v>1.6502589199340889E-3</v>
      </c>
      <c r="E942" s="12">
        <v>1.4736202443735635E-2</v>
      </c>
      <c r="F942" s="12">
        <v>-3.8375961950641857E-3</v>
      </c>
      <c r="G942" s="12">
        <v>5.4224723728464319E-3</v>
      </c>
      <c r="H942" s="12">
        <v>5.0931261385180893E-3</v>
      </c>
      <c r="I942" s="12">
        <v>-3.394001103050881E-4</v>
      </c>
      <c r="J942" s="12">
        <v>2.8213336227009833E-3</v>
      </c>
      <c r="K942" s="12">
        <v>2.637749120750299E-2</v>
      </c>
      <c r="L942" s="12">
        <v>-6.8358488853936805E-3</v>
      </c>
      <c r="M942" s="13">
        <f t="shared" si="97"/>
        <v>7.1746117860733115E-3</v>
      </c>
      <c r="N942" s="32">
        <f t="shared" si="98"/>
        <v>199.98538108512886</v>
      </c>
      <c r="O942" s="32">
        <f t="shared" si="99"/>
        <v>163.69273743016777</v>
      </c>
      <c r="P942" s="12" t="str">
        <f t="shared" si="100"/>
        <v/>
      </c>
      <c r="Q942" s="13">
        <f t="shared" si="101"/>
        <v>1.7258324787927069E-3</v>
      </c>
      <c r="R942" s="49">
        <f t="shared" si="102"/>
        <v>1</v>
      </c>
    </row>
    <row r="943" spans="1:18" x14ac:dyDescent="0.35">
      <c r="A943" s="64" t="s">
        <v>77</v>
      </c>
      <c r="B943" s="14">
        <v>1.0166708878267539E-3</v>
      </c>
      <c r="C943" s="12">
        <v>6.5388353804012311E-3</v>
      </c>
      <c r="D943" s="12">
        <v>9.2034996023178106E-3</v>
      </c>
      <c r="E943" s="12">
        <v>-2.8231670801608377E-3</v>
      </c>
      <c r="F943" s="12">
        <v>2.7253539886478162E-3</v>
      </c>
      <c r="G943" s="12">
        <v>-6.8268705625341708E-3</v>
      </c>
      <c r="H943" s="12">
        <v>-1.4647137150466172E-2</v>
      </c>
      <c r="I943" s="12">
        <v>-4.7532147858931895E-3</v>
      </c>
      <c r="J943" s="12">
        <v>5.464480874316946E-3</v>
      </c>
      <c r="K943" s="12">
        <v>-5.1399200456881955E-3</v>
      </c>
      <c r="L943" s="12">
        <v>2.162326785442259E-3</v>
      </c>
      <c r="M943" s="13">
        <f t="shared" si="97"/>
        <v>4.3769818252219856E-4</v>
      </c>
      <c r="N943" s="32">
        <f t="shared" si="98"/>
        <v>200.07291432296086</v>
      </c>
      <c r="O943" s="32">
        <f t="shared" si="99"/>
        <v>163.85915907086169</v>
      </c>
      <c r="P943" s="12" t="str">
        <f t="shared" si="100"/>
        <v/>
      </c>
      <c r="Q943" s="13">
        <f t="shared" si="101"/>
        <v>-5.7897270530455529E-4</v>
      </c>
      <c r="R943" s="49">
        <f t="shared" si="102"/>
        <v>1</v>
      </c>
    </row>
    <row r="944" spans="1:18" x14ac:dyDescent="0.35">
      <c r="A944" s="64" t="s">
        <v>77</v>
      </c>
      <c r="B944" s="14">
        <v>7.410929775606423E-4</v>
      </c>
      <c r="C944" s="12">
        <v>3.7749100166799554E-3</v>
      </c>
      <c r="D944" s="12">
        <v>-6.5300607971177094E-3</v>
      </c>
      <c r="E944" s="12">
        <v>-1.4370281400137297E-2</v>
      </c>
      <c r="F944" s="12">
        <v>5.6606858217191913E-3</v>
      </c>
      <c r="G944" s="12">
        <v>1.0791861424250815E-2</v>
      </c>
      <c r="H944" s="12">
        <v>-3.6036036036035668E-3</v>
      </c>
      <c r="I944" s="12">
        <v>1.3816041959831216E-2</v>
      </c>
      <c r="J944" s="12">
        <v>-1.3990529487731385E-2</v>
      </c>
      <c r="K944" s="12">
        <v>3.1572904707233285E-3</v>
      </c>
      <c r="L944" s="12">
        <v>-9.1168783808424081E-3</v>
      </c>
      <c r="M944" s="13">
        <f t="shared" si="97"/>
        <v>-1.9739780096191578E-3</v>
      </c>
      <c r="N944" s="32">
        <f t="shared" si="98"/>
        <v>199.67797478976692</v>
      </c>
      <c r="O944" s="32">
        <f t="shared" si="99"/>
        <v>163.98059394295811</v>
      </c>
      <c r="P944" s="12">
        <f t="shared" si="100"/>
        <v>-1.9739780096191578E-3</v>
      </c>
      <c r="Q944" s="13">
        <f t="shared" si="101"/>
        <v>-2.7150709871798001E-3</v>
      </c>
      <c r="R944" s="49" t="str">
        <f t="shared" si="102"/>
        <v/>
      </c>
    </row>
    <row r="945" spans="1:18" x14ac:dyDescent="0.35">
      <c r="A945" s="64" t="s">
        <v>77</v>
      </c>
      <c r="B945" s="14">
        <v>1.0208033738690059E-2</v>
      </c>
      <c r="C945" s="12">
        <v>1.8803568305054918E-2</v>
      </c>
      <c r="D945" s="12">
        <v>7.7062556663645143E-3</v>
      </c>
      <c r="E945" s="12">
        <v>1.4601558079818888E-2</v>
      </c>
      <c r="F945" s="12">
        <v>1.7922822133262795E-2</v>
      </c>
      <c r="G945" s="12">
        <v>1.6184971098265777E-2</v>
      </c>
      <c r="H945" s="12">
        <v>-9.1922845087402116E-3</v>
      </c>
      <c r="I945" s="12">
        <v>4.9631966351209034E-3</v>
      </c>
      <c r="J945" s="12">
        <v>2.6740886269371877E-3</v>
      </c>
      <c r="K945" s="12">
        <v>7.2961373390556528E-3</v>
      </c>
      <c r="L945" s="12">
        <v>7.4219468809422207E-3</v>
      </c>
      <c r="M945" s="13">
        <f t="shared" si="97"/>
        <v>7.9958717231378637E-3</v>
      </c>
      <c r="N945" s="32">
        <f t="shared" si="98"/>
        <v>201.27457426212186</v>
      </c>
      <c r="O945" s="32">
        <f t="shared" si="99"/>
        <v>165.65451337841827</v>
      </c>
      <c r="P945" s="12" t="str">
        <f t="shared" si="100"/>
        <v/>
      </c>
      <c r="Q945" s="13">
        <f t="shared" si="101"/>
        <v>-2.2121620155521951E-3</v>
      </c>
      <c r="R945" s="49">
        <f t="shared" si="102"/>
        <v>1</v>
      </c>
    </row>
    <row r="946" spans="1:18" x14ac:dyDescent="0.35">
      <c r="A946" s="64">
        <v>11.09</v>
      </c>
      <c r="B946" s="14">
        <v>-8.763008283767415E-3</v>
      </c>
      <c r="C946" s="12">
        <v>-2.3220877328526068E-2</v>
      </c>
      <c r="D946" s="12">
        <v>2.6428250112460194E-3</v>
      </c>
      <c r="E946" s="12">
        <v>-2.4772117962466478E-2</v>
      </c>
      <c r="F946" s="12">
        <v>6.8472640887948799E-3</v>
      </c>
      <c r="G946" s="12">
        <v>1.8068660911463308E-3</v>
      </c>
      <c r="H946" s="12">
        <v>-1.7110266159695575E-3</v>
      </c>
      <c r="I946" s="12">
        <v>-7.5335872431259165E-4</v>
      </c>
      <c r="J946" s="12">
        <v>9.7969847058188009E-4</v>
      </c>
      <c r="K946" s="12">
        <v>-8.6635421104956922E-3</v>
      </c>
      <c r="L946" s="12">
        <v>8.0674622503651428E-3</v>
      </c>
      <c r="M946" s="13">
        <f t="shared" si="97"/>
        <v>-3.4268849507437292E-3</v>
      </c>
      <c r="N946" s="32">
        <f t="shared" si="98"/>
        <v>200.58482945261565</v>
      </c>
      <c r="O946" s="32">
        <f t="shared" si="99"/>
        <v>164.20288150543973</v>
      </c>
      <c r="P946" s="12">
        <f t="shared" si="100"/>
        <v>-3.4268849507437292E-3</v>
      </c>
      <c r="Q946" s="13">
        <f t="shared" si="101"/>
        <v>5.3361233330236858E-3</v>
      </c>
      <c r="R946" s="49" t="str">
        <f t="shared" si="102"/>
        <v/>
      </c>
    </row>
    <row r="947" spans="1:18" x14ac:dyDescent="0.35">
      <c r="A947" s="64" t="s">
        <v>77</v>
      </c>
      <c r="B947" s="14">
        <v>5.5170166208855509E-3</v>
      </c>
      <c r="C947" s="12">
        <v>1.3050929384365251E-2</v>
      </c>
      <c r="D947" s="12">
        <v>2.5349111098648569E-2</v>
      </c>
      <c r="E947" s="12">
        <v>-2.529140092368598E-3</v>
      </c>
      <c r="F947" s="12">
        <v>1.4216036164644175E-2</v>
      </c>
      <c r="G947" s="12">
        <v>1.2024048096193063E-3</v>
      </c>
      <c r="H947" s="12">
        <v>1.215006665397067E-2</v>
      </c>
      <c r="I947" s="12">
        <v>-5.0261780104710052E-4</v>
      </c>
      <c r="J947" s="12">
        <v>-8.6999075634821565E-3</v>
      </c>
      <c r="K947" s="12">
        <v>-8.022922636103158E-3</v>
      </c>
      <c r="L947" s="12">
        <v>1.3469030290218287E-2</v>
      </c>
      <c r="M947" s="13">
        <f t="shared" si="97"/>
        <v>7.0093744235779363E-3</v>
      </c>
      <c r="N947" s="32">
        <f t="shared" si="98"/>
        <v>201.99080362593855</v>
      </c>
      <c r="O947" s="32">
        <f t="shared" si="99"/>
        <v>165.10879153190254</v>
      </c>
      <c r="P947" s="12" t="str">
        <f t="shared" si="100"/>
        <v/>
      </c>
      <c r="Q947" s="13">
        <f t="shared" si="101"/>
        <v>1.4923578026923854E-3</v>
      </c>
      <c r="R947" s="49">
        <f t="shared" si="102"/>
        <v>1</v>
      </c>
    </row>
    <row r="948" spans="1:18" x14ac:dyDescent="0.35">
      <c r="A948" s="64" t="s">
        <v>77</v>
      </c>
      <c r="B948" s="14">
        <v>2.826181805230199E-3</v>
      </c>
      <c r="C948" s="12">
        <v>1.6743298343020685E-2</v>
      </c>
      <c r="D948" s="12">
        <v>2.734780944044779E-4</v>
      </c>
      <c r="E948" s="12">
        <v>9.0397971557698575E-4</v>
      </c>
      <c r="F948" s="12">
        <v>7.5068910914315445E-3</v>
      </c>
      <c r="G948" s="12">
        <v>-4.2700827328528979E-3</v>
      </c>
      <c r="H948" s="12">
        <v>1.0197937833972937E-2</v>
      </c>
      <c r="I948" s="12">
        <v>2.2503457235050206E-2</v>
      </c>
      <c r="J948" s="12">
        <v>-1.7552520432230767E-2</v>
      </c>
      <c r="K948" s="12">
        <v>5.3437319468516709E-3</v>
      </c>
      <c r="L948" s="12">
        <v>3.0334634524270765E-2</v>
      </c>
      <c r="M948" s="13">
        <f t="shared" si="97"/>
        <v>1.0890521403027455E-2</v>
      </c>
      <c r="N948" s="32">
        <f t="shared" si="98"/>
        <v>204.19058879604157</v>
      </c>
      <c r="O948" s="32">
        <f t="shared" si="99"/>
        <v>165.57541899441355</v>
      </c>
      <c r="P948" s="12" t="str">
        <f t="shared" si="100"/>
        <v/>
      </c>
      <c r="Q948" s="13">
        <f t="shared" si="101"/>
        <v>8.0643395977972564E-3</v>
      </c>
      <c r="R948" s="49">
        <f t="shared" si="102"/>
        <v>1</v>
      </c>
    </row>
    <row r="949" spans="1:18" x14ac:dyDescent="0.35">
      <c r="A949" s="64" t="s">
        <v>77</v>
      </c>
      <c r="B949" s="14">
        <v>6.3893792108991043E-3</v>
      </c>
      <c r="C949" s="12">
        <v>1.7918088737201021E-3</v>
      </c>
      <c r="D949" s="12">
        <v>1.6021434820647551E-2</v>
      </c>
      <c r="E949" s="12">
        <v>-9.7805974094633541E-3</v>
      </c>
      <c r="F949" s="12">
        <v>6.5001843335855902E-2</v>
      </c>
      <c r="G949" s="12">
        <v>1.186009112838371E-2</v>
      </c>
      <c r="H949" s="12">
        <v>2.9800707766809431E-3</v>
      </c>
      <c r="I949" s="12">
        <v>2.3073770491803369E-2</v>
      </c>
      <c r="J949" s="12">
        <v>3.8747138629892319E-2</v>
      </c>
      <c r="K949" s="12">
        <v>5.4589857779054896E-3</v>
      </c>
      <c r="L949" s="12">
        <v>4.2831940307140659E-2</v>
      </c>
      <c r="M949" s="13">
        <f t="shared" si="97"/>
        <v>1.5992636733005491E-2</v>
      </c>
      <c r="N949" s="32">
        <f t="shared" si="98"/>
        <v>207.45613470695514</v>
      </c>
      <c r="O949" s="32">
        <f t="shared" si="99"/>
        <v>166.63334313437238</v>
      </c>
      <c r="P949" s="12" t="str">
        <f t="shared" si="100"/>
        <v/>
      </c>
      <c r="Q949" s="13">
        <f t="shared" si="101"/>
        <v>9.6032575221063864E-3</v>
      </c>
      <c r="R949" s="49">
        <f t="shared" si="102"/>
        <v>1</v>
      </c>
    </row>
    <row r="950" spans="1:18" x14ac:dyDescent="0.35">
      <c r="A950" s="64" t="s">
        <v>77</v>
      </c>
      <c r="B950" s="14">
        <v>-1.3927512704686507E-2</v>
      </c>
      <c r="C950" s="12">
        <v>-2.5295971382335414E-2</v>
      </c>
      <c r="D950" s="12">
        <v>8.8262203325977229E-3</v>
      </c>
      <c r="E950" s="12">
        <v>-1.3347570742124892E-2</v>
      </c>
      <c r="F950" s="12">
        <v>4.4473190372948057E-2</v>
      </c>
      <c r="G950" s="12">
        <v>3.6884974504999724E-2</v>
      </c>
      <c r="H950" s="12">
        <v>1.2813370473537589E-2</v>
      </c>
      <c r="I950" s="12">
        <v>1.3219564956135077E-3</v>
      </c>
      <c r="J950" s="12">
        <v>-6.5036280569740201E-3</v>
      </c>
      <c r="K950" s="12">
        <v>1.4859265609372896E-2</v>
      </c>
      <c r="L950" s="12">
        <v>-7.7098008763657466E-3</v>
      </c>
      <c r="M950" s="13">
        <f t="shared" si="97"/>
        <v>2.837417845977159E-3</v>
      </c>
      <c r="N950" s="32">
        <f t="shared" si="98"/>
        <v>208.04477444583009</v>
      </c>
      <c r="O950" s="32">
        <f t="shared" si="99"/>
        <v>164.31255513084403</v>
      </c>
      <c r="P950" s="12" t="str">
        <f t="shared" si="100"/>
        <v/>
      </c>
      <c r="Q950" s="13">
        <f t="shared" si="101"/>
        <v>1.6764930550663665E-2</v>
      </c>
      <c r="R950" s="49">
        <f t="shared" si="102"/>
        <v>1</v>
      </c>
    </row>
    <row r="951" spans="1:18" x14ac:dyDescent="0.35">
      <c r="A951" s="64">
        <v>10.95</v>
      </c>
      <c r="B951" s="14">
        <v>-7.8163725088444824E-3</v>
      </c>
      <c r="C951" s="12">
        <v>-2.0534778049632996E-2</v>
      </c>
      <c r="D951" s="12">
        <v>-1.1896505734862561E-2</v>
      </c>
      <c r="E951" s="12">
        <v>-7.1022727272727071E-3</v>
      </c>
      <c r="F951" s="12">
        <v>-1.5594473904549155E-2</v>
      </c>
      <c r="G951" s="12">
        <v>-7.408353557287195E-3</v>
      </c>
      <c r="H951" s="12">
        <v>-1.3017968463513108E-2</v>
      </c>
      <c r="I951" s="12">
        <v>-3.0404864778365015E-3</v>
      </c>
      <c r="J951" s="12">
        <v>-2.4940489071629601E-2</v>
      </c>
      <c r="K951" s="12">
        <v>-2.9564972546812784E-3</v>
      </c>
      <c r="L951" s="12">
        <v>-4.9468977082169907E-3</v>
      </c>
      <c r="M951" s="13">
        <f t="shared" si="97"/>
        <v>-6.3423289556494653E-3</v>
      </c>
      <c r="N951" s="32">
        <f t="shared" si="98"/>
        <v>206.72528604879074</v>
      </c>
      <c r="O951" s="32">
        <f t="shared" si="99"/>
        <v>163.02822699206132</v>
      </c>
      <c r="P951" s="12">
        <f t="shared" si="100"/>
        <v>-6.3423289556494653E-3</v>
      </c>
      <c r="Q951" s="13">
        <f t="shared" si="101"/>
        <v>1.4740435531950171E-3</v>
      </c>
      <c r="R951" s="49" t="str">
        <f t="shared" si="102"/>
        <v/>
      </c>
    </row>
    <row r="952" spans="1:18" x14ac:dyDescent="0.35">
      <c r="A952" s="64" t="s">
        <v>77</v>
      </c>
      <c r="B952" s="14">
        <v>-7.1402935113327182E-3</v>
      </c>
      <c r="C952" s="12">
        <v>5.7989115889012233E-4</v>
      </c>
      <c r="D952" s="12">
        <v>-1.0636000431918813E-2</v>
      </c>
      <c r="E952" s="12">
        <v>-7.402865771964473E-3</v>
      </c>
      <c r="F952" s="12">
        <v>1.754261615338315E-3</v>
      </c>
      <c r="G952" s="12">
        <v>-4.696950199459482E-3</v>
      </c>
      <c r="H952" s="12">
        <v>-1.3709827233884475E-2</v>
      </c>
      <c r="I952" s="12">
        <v>-2.7367576243980674E-2</v>
      </c>
      <c r="J952" s="12">
        <v>-3.1071408755479757E-3</v>
      </c>
      <c r="K952" s="12">
        <v>-9.8842134990106967E-4</v>
      </c>
      <c r="L952" s="12">
        <v>-2.3593517400218977E-2</v>
      </c>
      <c r="M952" s="13">
        <f t="shared" si="97"/>
        <v>-1.3454173688513621E-2</v>
      </c>
      <c r="N952" s="32">
        <f t="shared" si="98"/>
        <v>203.94396814448262</v>
      </c>
      <c r="O952" s="32">
        <f t="shared" si="99"/>
        <v>161.86415760070582</v>
      </c>
      <c r="P952" s="12">
        <f t="shared" si="100"/>
        <v>-1.3454173688513621E-2</v>
      </c>
      <c r="Q952" s="13">
        <f t="shared" si="101"/>
        <v>-6.3138801771809028E-3</v>
      </c>
      <c r="R952" s="49" t="str">
        <f t="shared" si="102"/>
        <v/>
      </c>
    </row>
    <row r="953" spans="1:18" x14ac:dyDescent="0.35">
      <c r="A953" s="64" t="s">
        <v>77</v>
      </c>
      <c r="B953" s="14">
        <v>1.0792007266121617E-2</v>
      </c>
      <c r="C953" s="12">
        <v>-1.5603406000623821E-3</v>
      </c>
      <c r="D953" s="12">
        <v>4.9113233287858549E-3</v>
      </c>
      <c r="E953" s="12">
        <v>1.3337603806822029E-2</v>
      </c>
      <c r="F953" s="12">
        <v>-1.202837280880209E-2</v>
      </c>
      <c r="G953" s="12">
        <v>-2.9090438942400709E-3</v>
      </c>
      <c r="H953" s="12">
        <v>8.4758532358923944E-3</v>
      </c>
      <c r="I953" s="12">
        <v>9.7780344912947736E-3</v>
      </c>
      <c r="J953" s="12">
        <v>-4.2856347748648771E-3</v>
      </c>
      <c r="K953" s="12">
        <v>-5.2296819787986948E-3</v>
      </c>
      <c r="L953" s="12">
        <v>6.903892069154427E-4</v>
      </c>
      <c r="M953" s="13">
        <f t="shared" si="97"/>
        <v>4.0316241971870333E-3</v>
      </c>
      <c r="N953" s="32">
        <f t="shared" si="98"/>
        <v>204.76619358132425</v>
      </c>
      <c r="O953" s="32">
        <f t="shared" si="99"/>
        <v>163.61099676565729</v>
      </c>
      <c r="P953" s="12" t="str">
        <f t="shared" si="100"/>
        <v/>
      </c>
      <c r="Q953" s="13">
        <f t="shared" si="101"/>
        <v>-6.7603830689345838E-3</v>
      </c>
      <c r="R953" s="49">
        <f t="shared" si="102"/>
        <v>1</v>
      </c>
    </row>
    <row r="954" spans="1:18" x14ac:dyDescent="0.35">
      <c r="A954" s="64" t="s">
        <v>77</v>
      </c>
      <c r="B954" s="14">
        <v>-1.558116673645582E-3</v>
      </c>
      <c r="C954" s="12">
        <v>4.688337203071935E-3</v>
      </c>
      <c r="D954" s="12">
        <v>-2.715177844149208E-4</v>
      </c>
      <c r="E954" s="12">
        <v>4.3120964464713474E-3</v>
      </c>
      <c r="F954" s="12">
        <v>-6.8572860902725852E-3</v>
      </c>
      <c r="G954" s="12">
        <v>-1.2253630705394314E-2</v>
      </c>
      <c r="H954" s="12">
        <v>-1.0907325090582898E-2</v>
      </c>
      <c r="I954" s="12">
        <v>8.7844739530134053E-3</v>
      </c>
      <c r="J954" s="12">
        <v>4.2370039128004411E-2</v>
      </c>
      <c r="K954" s="12">
        <v>3.8363171355499937E-3</v>
      </c>
      <c r="L954" s="12">
        <v>-1.0636157185155315E-2</v>
      </c>
      <c r="M954" s="13">
        <f t="shared" si="97"/>
        <v>1.2648172192141326E-3</v>
      </c>
      <c r="N954" s="32">
        <f t="shared" si="98"/>
        <v>205.02518538887887</v>
      </c>
      <c r="O954" s="32">
        <f t="shared" si="99"/>
        <v>163.35607174360496</v>
      </c>
      <c r="P954" s="12" t="str">
        <f t="shared" si="100"/>
        <v/>
      </c>
      <c r="Q954" s="13">
        <f t="shared" si="101"/>
        <v>2.8229338928597147E-3</v>
      </c>
      <c r="R954" s="49">
        <f t="shared" si="102"/>
        <v>1</v>
      </c>
    </row>
    <row r="955" spans="1:18" x14ac:dyDescent="0.35">
      <c r="A955" s="64" t="s">
        <v>77</v>
      </c>
      <c r="B955" s="14">
        <v>-2.3149031452155744E-2</v>
      </c>
      <c r="C955" s="12">
        <v>-2.8754277587662802E-2</v>
      </c>
      <c r="D955" s="12">
        <v>-4.345464421509071E-4</v>
      </c>
      <c r="E955" s="12">
        <v>-3.585478251095886E-2</v>
      </c>
      <c r="F955" s="12">
        <v>9.104020191094131E-3</v>
      </c>
      <c r="G955" s="12">
        <v>2.5795864785034484E-2</v>
      </c>
      <c r="H955" s="12">
        <v>-4.0107254805695214E-2</v>
      </c>
      <c r="I955" s="12">
        <v>-2.3936816524908866E-2</v>
      </c>
      <c r="J955" s="12">
        <v>-3.4373659373659327E-2</v>
      </c>
      <c r="K955" s="12">
        <v>-7.0771408351044673E-4</v>
      </c>
      <c r="L955" s="12">
        <v>-2.3622047244094446E-2</v>
      </c>
      <c r="M955" s="13">
        <f t="shared" si="97"/>
        <v>-1.3886851787280087E-2</v>
      </c>
      <c r="N955" s="32">
        <f t="shared" si="98"/>
        <v>202.17803102672389</v>
      </c>
      <c r="O955" s="32">
        <f t="shared" si="99"/>
        <v>159.57453690091162</v>
      </c>
      <c r="P955" s="12">
        <f t="shared" si="100"/>
        <v>-1.3886851787280087E-2</v>
      </c>
      <c r="Q955" s="13">
        <f t="shared" si="101"/>
        <v>9.2621796648756569E-3</v>
      </c>
      <c r="R955" s="49" t="str">
        <f t="shared" si="102"/>
        <v/>
      </c>
    </row>
    <row r="956" spans="1:18" x14ac:dyDescent="0.35">
      <c r="A956" s="64">
        <v>10.87</v>
      </c>
      <c r="B956" s="14">
        <v>-5.1426813066942634E-3</v>
      </c>
      <c r="C956" s="12">
        <v>-4.8046124279307323E-3</v>
      </c>
      <c r="D956" s="12">
        <v>4.3256167807846913E-2</v>
      </c>
      <c r="E956" s="12">
        <v>-2.4481231056190267E-2</v>
      </c>
      <c r="F956" s="12">
        <v>-1.2505582849497987E-4</v>
      </c>
      <c r="G956" s="12">
        <v>2.1499872024571154E-2</v>
      </c>
      <c r="H956" s="12">
        <v>-1.6917810913954501E-3</v>
      </c>
      <c r="I956" s="12">
        <v>-3.3611353168181424E-3</v>
      </c>
      <c r="J956" s="12">
        <v>2.3768534458821655E-2</v>
      </c>
      <c r="K956" s="12">
        <v>-8.2152974504249299E-3</v>
      </c>
      <c r="L956" s="12">
        <v>2.4580407094393575E-2</v>
      </c>
      <c r="M956" s="13">
        <f t="shared" si="97"/>
        <v>1.0174206113064944E-2</v>
      </c>
      <c r="N956" s="32">
        <f t="shared" si="98"/>
        <v>204.23503198592343</v>
      </c>
      <c r="O956" s="32">
        <f t="shared" si="99"/>
        <v>158.75389591296693</v>
      </c>
      <c r="P956" s="12" t="str">
        <f t="shared" si="100"/>
        <v/>
      </c>
      <c r="Q956" s="13">
        <f t="shared" si="101"/>
        <v>1.5316887419759208E-2</v>
      </c>
      <c r="R956" s="49">
        <f t="shared" si="102"/>
        <v>1</v>
      </c>
    </row>
    <row r="957" spans="1:18" x14ac:dyDescent="0.35">
      <c r="A957" s="64" t="s">
        <v>77</v>
      </c>
      <c r="B957" s="14">
        <v>1.1090490848678192E-2</v>
      </c>
      <c r="C957" s="12">
        <v>2.1610188974205968E-3</v>
      </c>
      <c r="D957" s="12">
        <v>-1.1980414626523439E-3</v>
      </c>
      <c r="E957" s="12">
        <v>1.6419694072657753E-2</v>
      </c>
      <c r="F957" s="12">
        <v>1.7938822184105252E-2</v>
      </c>
      <c r="G957" s="12">
        <v>6.2640942119769338E-3</v>
      </c>
      <c r="H957" s="12">
        <v>2.2542760305824805E-2</v>
      </c>
      <c r="I957" s="12">
        <v>2.3773836289449513E-2</v>
      </c>
      <c r="J957" s="12">
        <v>1.3778139408733292E-2</v>
      </c>
      <c r="K957" s="12">
        <v>-3.4275921165380918E-3</v>
      </c>
      <c r="L957" s="12">
        <v>1.7949462677897099E-2</v>
      </c>
      <c r="M957" s="13">
        <f t="shared" si="97"/>
        <v>8.8166189840550181E-3</v>
      </c>
      <c r="N957" s="32">
        <f t="shared" si="98"/>
        <v>206.03569444613962</v>
      </c>
      <c r="O957" s="32">
        <f t="shared" si="99"/>
        <v>160.5145545427817</v>
      </c>
      <c r="P957" s="12" t="str">
        <f t="shared" si="100"/>
        <v/>
      </c>
      <c r="Q957" s="13">
        <f t="shared" si="101"/>
        <v>-2.2738718646231736E-3</v>
      </c>
      <c r="R957" s="49">
        <f t="shared" si="102"/>
        <v>1</v>
      </c>
    </row>
    <row r="958" spans="1:18" x14ac:dyDescent="0.35">
      <c r="A958" s="64" t="s">
        <v>77</v>
      </c>
      <c r="B958" s="14">
        <v>8.1332087706753597E-4</v>
      </c>
      <c r="C958" s="12">
        <v>1.2846393833731984E-3</v>
      </c>
      <c r="D958" s="12">
        <v>-1.3037809647978849E-3</v>
      </c>
      <c r="E958" s="12">
        <v>3.4331130811016131E-3</v>
      </c>
      <c r="F958" s="12">
        <v>-5.2130871305202664E-3</v>
      </c>
      <c r="G958" s="12">
        <v>-1.2948207171314619E-2</v>
      </c>
      <c r="H958" s="12">
        <v>8.2478994835428754E-3</v>
      </c>
      <c r="I958" s="12">
        <v>8.133718329334183E-3</v>
      </c>
      <c r="J958" s="12">
        <v>-7.8120819733531466E-3</v>
      </c>
      <c r="K958" s="12">
        <v>-2.2929206076238717E-3</v>
      </c>
      <c r="L958" s="12">
        <v>-1.6976717644373585E-2</v>
      </c>
      <c r="M958" s="13">
        <f t="shared" si="97"/>
        <v>-1.716388324734466E-3</v>
      </c>
      <c r="N958" s="32">
        <f t="shared" si="98"/>
        <v>205.68205718571372</v>
      </c>
      <c r="O958" s="32">
        <f t="shared" si="99"/>
        <v>160.64510438106453</v>
      </c>
      <c r="P958" s="12">
        <f t="shared" si="100"/>
        <v>-1.716388324734466E-3</v>
      </c>
      <c r="Q958" s="13">
        <f t="shared" si="101"/>
        <v>-2.529709201802002E-3</v>
      </c>
      <c r="R958" s="49" t="str">
        <f t="shared" si="102"/>
        <v/>
      </c>
    </row>
    <row r="959" spans="1:18" x14ac:dyDescent="0.35">
      <c r="A959" s="64" t="s">
        <v>77</v>
      </c>
      <c r="B959" s="14">
        <v>-4.9601540393225951E-3</v>
      </c>
      <c r="C959" s="12">
        <v>2.5659824046921909E-3</v>
      </c>
      <c r="D959" s="12">
        <v>-2.4020887728459783E-3</v>
      </c>
      <c r="E959" s="12">
        <v>-8.9283621962364945E-3</v>
      </c>
      <c r="F959" s="12">
        <v>1.6903396559329487E-2</v>
      </c>
      <c r="G959" s="12">
        <v>1.7469727547931413E-2</v>
      </c>
      <c r="H959" s="12">
        <v>5.7339449541284893E-3</v>
      </c>
      <c r="I959" s="12">
        <v>1.8516277381096513E-2</v>
      </c>
      <c r="J959" s="12">
        <v>7.7118049937983102E-3</v>
      </c>
      <c r="K959" s="12">
        <v>-6.1763860959495043E-3</v>
      </c>
      <c r="L959" s="12">
        <v>-8.1560386613646063E-3</v>
      </c>
      <c r="M959" s="13">
        <f t="shared" si="97"/>
        <v>-1.1044672965870056E-3</v>
      </c>
      <c r="N959" s="32">
        <f t="shared" si="98"/>
        <v>205.45488808005737</v>
      </c>
      <c r="O959" s="32">
        <f t="shared" si="99"/>
        <v>159.84827991767139</v>
      </c>
      <c r="P959" s="12">
        <f t="shared" si="100"/>
        <v>-1.1044672965870056E-3</v>
      </c>
      <c r="Q959" s="13">
        <f t="shared" si="101"/>
        <v>3.8556867427355897E-3</v>
      </c>
      <c r="R959" s="49" t="str">
        <f t="shared" si="102"/>
        <v/>
      </c>
    </row>
    <row r="960" spans="1:18" x14ac:dyDescent="0.35">
      <c r="A960" s="64">
        <v>10.75</v>
      </c>
      <c r="B960" s="14">
        <v>1.579342363752767E-2</v>
      </c>
      <c r="C960" s="12">
        <v>1.4990859232175469E-2</v>
      </c>
      <c r="D960" s="12">
        <v>5.7579564489111945E-3</v>
      </c>
      <c r="E960" s="12">
        <v>-1.0805826160976029E-2</v>
      </c>
      <c r="F960" s="12">
        <v>-2.9496989571964338E-4</v>
      </c>
      <c r="G960" s="12">
        <v>-2.1570693609372249E-2</v>
      </c>
      <c r="H960" s="12">
        <v>9.768148992778336E-3</v>
      </c>
      <c r="I960" s="12">
        <v>2.2179974651457268E-3</v>
      </c>
      <c r="J960" s="12">
        <v>2.0014984480359432E-2</v>
      </c>
      <c r="K960" s="12">
        <v>-7.9491255961843255E-3</v>
      </c>
      <c r="L960" s="12">
        <v>1.3110148659721377E-2</v>
      </c>
      <c r="M960" s="13">
        <f t="shared" si="97"/>
        <v>9.5880229822222331E-4</v>
      </c>
      <c r="N960" s="32">
        <f t="shared" si="98"/>
        <v>205.65187869892955</v>
      </c>
      <c r="O960" s="32">
        <f t="shared" si="99"/>
        <v>162.37283152014129</v>
      </c>
      <c r="P960" s="12" t="str">
        <f t="shared" si="100"/>
        <v/>
      </c>
      <c r="Q960" s="13">
        <f t="shared" si="101"/>
        <v>-1.4834621339305448E-2</v>
      </c>
      <c r="R960" s="49">
        <f t="shared" si="102"/>
        <v>1</v>
      </c>
    </row>
    <row r="961" spans="1:18" x14ac:dyDescent="0.35">
      <c r="A961" s="64" t="s">
        <v>77</v>
      </c>
      <c r="B961" s="14">
        <v>-1.3693569708273734E-2</v>
      </c>
      <c r="C961" s="12">
        <v>-1.6750720461095048E-2</v>
      </c>
      <c r="D961" s="12">
        <v>-1.2907255126470285E-2</v>
      </c>
      <c r="E961" s="12">
        <v>-2.964025337635956E-3</v>
      </c>
      <c r="F961" s="12">
        <v>-5.883782282699257E-3</v>
      </c>
      <c r="G961" s="12">
        <v>1.8435223313272076E-2</v>
      </c>
      <c r="H961" s="12">
        <v>9.7865773327798777E-4</v>
      </c>
      <c r="I961" s="12">
        <v>-1.7230477394878263E-2</v>
      </c>
      <c r="J961" s="12">
        <v>-6.4480587618048202E-2</v>
      </c>
      <c r="K961" s="12">
        <v>1.6754079254079235E-2</v>
      </c>
      <c r="L961" s="12">
        <v>-4.2403235124205629E-2</v>
      </c>
      <c r="M961" s="13">
        <f t="shared" si="97"/>
        <v>-1.0739253666667581E-2</v>
      </c>
      <c r="N961" s="32">
        <f t="shared" si="98"/>
        <v>203.44333100655498</v>
      </c>
      <c r="O961" s="32">
        <f t="shared" si="99"/>
        <v>160.14936783299044</v>
      </c>
      <c r="P961" s="12">
        <f t="shared" si="100"/>
        <v>-1.0739253666667581E-2</v>
      </c>
      <c r="Q961" s="13">
        <f t="shared" si="101"/>
        <v>2.9543160416061528E-3</v>
      </c>
      <c r="R961" s="49" t="str">
        <f t="shared" si="102"/>
        <v/>
      </c>
    </row>
    <row r="962" spans="1:18" x14ac:dyDescent="0.35">
      <c r="A962" s="64" t="s">
        <v>77</v>
      </c>
      <c r="B962" s="14">
        <v>-1.8381839946536194E-2</v>
      </c>
      <c r="C962" s="12">
        <v>6.8693899981682183E-3</v>
      </c>
      <c r="D962" s="12">
        <v>-2.847200253084381E-3</v>
      </c>
      <c r="E962" s="12">
        <v>-2.0666011363908776E-2</v>
      </c>
      <c r="F962" s="12">
        <v>2.9785079525813218E-2</v>
      </c>
      <c r="G962" s="12">
        <v>2.1025130629509725E-2</v>
      </c>
      <c r="H962" s="12">
        <v>2.4442522468317573E-3</v>
      </c>
      <c r="I962" s="12">
        <v>-6.5948206530480946E-2</v>
      </c>
      <c r="J962" s="12">
        <v>-4.6884639111659521E-2</v>
      </c>
      <c r="K962" s="12">
        <v>-1.905717151454378E-2</v>
      </c>
      <c r="L962" s="12">
        <v>-3.2124758687258614E-2</v>
      </c>
      <c r="M962" s="13">
        <f t="shared" si="97"/>
        <v>-2.6081301843857069E-2</v>
      </c>
      <c r="N962" s="32">
        <f t="shared" si="98"/>
        <v>198.1372640824533</v>
      </c>
      <c r="O962" s="32">
        <f t="shared" si="99"/>
        <v>157.20552778594546</v>
      </c>
      <c r="P962" s="12">
        <f t="shared" si="100"/>
        <v>-2.6081301843857069E-2</v>
      </c>
      <c r="Q962" s="13">
        <f t="shared" si="101"/>
        <v>-7.699461897320875E-3</v>
      </c>
      <c r="R962" s="49" t="str">
        <f t="shared" si="102"/>
        <v/>
      </c>
    </row>
    <row r="963" spans="1:18" x14ac:dyDescent="0.35">
      <c r="A963" s="64" t="s">
        <v>77</v>
      </c>
      <c r="B963" s="14">
        <v>-2.9968802370122227E-2</v>
      </c>
      <c r="C963" s="12">
        <v>-4.8167015373419497E-2</v>
      </c>
      <c r="D963" s="12">
        <v>-3.0721235194585472E-2</v>
      </c>
      <c r="E963" s="12">
        <v>-3.2656858185022952E-2</v>
      </c>
      <c r="F963" s="12">
        <v>-3.3687672719258099E-2</v>
      </c>
      <c r="G963" s="12">
        <v>-1.7606920921164781E-2</v>
      </c>
      <c r="H963" s="12">
        <v>-3.8037362142696374E-2</v>
      </c>
      <c r="I963" s="12">
        <v>-2.7380747373859204E-2</v>
      </c>
      <c r="J963" s="12">
        <v>-1.7181523977640389E-2</v>
      </c>
      <c r="K963" s="12">
        <v>-1.2708150744960456E-2</v>
      </c>
      <c r="L963" s="12">
        <v>-1.2684264655467903E-2</v>
      </c>
      <c r="M963" s="13">
        <f t="shared" si="97"/>
        <v>-2.3247358396660416E-2</v>
      </c>
      <c r="N963" s="32">
        <f t="shared" si="98"/>
        <v>193.53109609259477</v>
      </c>
      <c r="O963" s="32">
        <f t="shared" si="99"/>
        <v>152.49426639223771</v>
      </c>
      <c r="P963" s="12">
        <f t="shared" si="100"/>
        <v>-2.3247358396660416E-2</v>
      </c>
      <c r="Q963" s="13">
        <f t="shared" si="101"/>
        <v>6.7214439734618117E-3</v>
      </c>
      <c r="R963" s="49" t="str">
        <f t="shared" si="102"/>
        <v/>
      </c>
    </row>
    <row r="964" spans="1:18" x14ac:dyDescent="0.35">
      <c r="A964" s="64" t="s">
        <v>77</v>
      </c>
      <c r="B964" s="14">
        <v>1.0354142524675369E-2</v>
      </c>
      <c r="C964" s="12">
        <v>-9.7481722177092944E-3</v>
      </c>
      <c r="D964" s="12">
        <v>1.9038786754677961E-2</v>
      </c>
      <c r="E964" s="12">
        <v>1.1286853093761984E-2</v>
      </c>
      <c r="F964" s="12">
        <v>-2.8247596322549251E-3</v>
      </c>
      <c r="G964" s="12">
        <v>-1.4139534883720883E-2</v>
      </c>
      <c r="H964" s="12">
        <v>7.0971767274996544E-3</v>
      </c>
      <c r="I964" s="12">
        <v>2.3016997167138786E-2</v>
      </c>
      <c r="J964" s="12">
        <v>-1.191402742022396E-2</v>
      </c>
      <c r="K964" s="12">
        <v>2.2192632046158511E-3</v>
      </c>
      <c r="L964" s="12">
        <v>3.0429292929292862E-2</v>
      </c>
      <c r="M964" s="13">
        <f t="shared" si="97"/>
        <v>1.6902032872327534E-2</v>
      </c>
      <c r="N964" s="32">
        <f t="shared" si="98"/>
        <v>196.80216504056938</v>
      </c>
      <c r="O964" s="32">
        <f t="shared" si="99"/>
        <v>154.07321376065875</v>
      </c>
      <c r="P964" s="12" t="str">
        <f t="shared" si="100"/>
        <v/>
      </c>
      <c r="Q964" s="13">
        <f t="shared" si="101"/>
        <v>6.5478903476521647E-3</v>
      </c>
      <c r="R964" s="49">
        <f t="shared" si="102"/>
        <v>1</v>
      </c>
    </row>
    <row r="965" spans="1:18" x14ac:dyDescent="0.35">
      <c r="A965" s="64">
        <v>10.78</v>
      </c>
      <c r="B965" s="14">
        <v>-7.7346885418594358E-3</v>
      </c>
      <c r="C965" s="12">
        <v>1.249819041644562E-2</v>
      </c>
      <c r="D965" s="12">
        <v>0</v>
      </c>
      <c r="E965" s="12">
        <v>-2.9528790570806374E-3</v>
      </c>
      <c r="F965" s="12">
        <v>-3.9940177707398217E-3</v>
      </c>
      <c r="G965" s="12">
        <v>-4.4033465433723773E-4</v>
      </c>
      <c r="H965" s="12">
        <v>-6.7373964222101623E-3</v>
      </c>
      <c r="I965" s="12">
        <v>-1.003807545863622E-2</v>
      </c>
      <c r="J965" s="12">
        <v>-1.0906446921958191E-2</v>
      </c>
      <c r="K965" s="12">
        <v>-1.2252731030410358E-2</v>
      </c>
      <c r="L965" s="12">
        <v>-1.9605440509741223E-3</v>
      </c>
      <c r="M965" s="13">
        <f t="shared" si="97"/>
        <v>-5.4184466075087303E-3</v>
      </c>
      <c r="N965" s="32">
        <f t="shared" si="98"/>
        <v>195.73580301705493</v>
      </c>
      <c r="O965" s="32">
        <f t="shared" si="99"/>
        <v>152.88150543957673</v>
      </c>
      <c r="P965" s="12">
        <f t="shared" si="100"/>
        <v>-5.4184466075087303E-3</v>
      </c>
      <c r="Q965" s="13">
        <f t="shared" si="101"/>
        <v>2.3162419343507054E-3</v>
      </c>
      <c r="R965" s="49" t="str">
        <f t="shared" si="102"/>
        <v/>
      </c>
    </row>
    <row r="966" spans="1:18" x14ac:dyDescent="0.35">
      <c r="A966" s="64" t="s">
        <v>77</v>
      </c>
      <c r="B966" s="14">
        <v>2.3042600250024137E-2</v>
      </c>
      <c r="C966" s="12">
        <v>1.6633304737394106E-2</v>
      </c>
      <c r="D966" s="12">
        <v>3.1102783725910133E-2</v>
      </c>
      <c r="E966" s="12">
        <v>1.0691965966418193E-2</v>
      </c>
      <c r="F966" s="12">
        <v>2.8264556246471173E-4</v>
      </c>
      <c r="G966" s="12">
        <v>8.30711139081175E-3</v>
      </c>
      <c r="H966" s="12">
        <v>1.2903477311710487E-2</v>
      </c>
      <c r="I966" s="12">
        <v>2.0716783216783163E-2</v>
      </c>
      <c r="J966" s="12">
        <v>3.448909580985049E-2</v>
      </c>
      <c r="K966" s="12">
        <v>1.1209086833059434E-2</v>
      </c>
      <c r="L966" s="12">
        <v>3.179864947820743E-2</v>
      </c>
      <c r="M966" s="13">
        <f t="shared" si="97"/>
        <v>2.1934095859640249E-2</v>
      </c>
      <c r="N966" s="32">
        <f t="shared" si="98"/>
        <v>200.02909088359471</v>
      </c>
      <c r="O966" s="32">
        <f t="shared" si="99"/>
        <v>156.4042928550428</v>
      </c>
      <c r="P966" s="12" t="str">
        <f t="shared" si="100"/>
        <v/>
      </c>
      <c r="Q966" s="13">
        <f t="shared" si="101"/>
        <v>-1.1085043903838881E-3</v>
      </c>
      <c r="R966" s="49">
        <f t="shared" si="102"/>
        <v>1</v>
      </c>
    </row>
    <row r="967" spans="1:18" x14ac:dyDescent="0.35">
      <c r="A967" s="64" t="s">
        <v>77</v>
      </c>
      <c r="B967" s="14">
        <v>4.6716585421793244E-3</v>
      </c>
      <c r="C967" s="12">
        <v>1.3735877361586546E-2</v>
      </c>
      <c r="D967" s="12">
        <v>-6.022532578786266E-3</v>
      </c>
      <c r="E967" s="12">
        <v>8.2693883632569687E-3</v>
      </c>
      <c r="F967" s="12">
        <v>-1.3209946312517706E-2</v>
      </c>
      <c r="G967" s="12">
        <v>2.4965672200725209E-3</v>
      </c>
      <c r="H967" s="12">
        <v>-2.6940691990917642E-4</v>
      </c>
      <c r="I967" s="12">
        <v>1.8455082641089415E-2</v>
      </c>
      <c r="J967" s="12">
        <v>-5.6848463314976838E-3</v>
      </c>
      <c r="K967" s="12">
        <v>4.2861365651789551E-3</v>
      </c>
      <c r="L967" s="12">
        <v>6.2470252260826697E-3</v>
      </c>
      <c r="M967" s="13">
        <f t="shared" si="97"/>
        <v>5.0704395582220133E-3</v>
      </c>
      <c r="N967" s="32">
        <f t="shared" si="98"/>
        <v>201.04332629880605</v>
      </c>
      <c r="O967" s="32">
        <f t="shared" si="99"/>
        <v>157.13496030579256</v>
      </c>
      <c r="P967" s="12" t="str">
        <f t="shared" si="100"/>
        <v/>
      </c>
      <c r="Q967" s="13">
        <f t="shared" si="101"/>
        <v>3.9878101604268884E-4</v>
      </c>
      <c r="R967" s="49">
        <f t="shared" si="102"/>
        <v>1</v>
      </c>
    </row>
    <row r="968" spans="1:18" x14ac:dyDescent="0.35">
      <c r="A968" s="64" t="s">
        <v>77</v>
      </c>
      <c r="B968" s="14">
        <v>4.3037633603804082E-5</v>
      </c>
      <c r="C968" s="12">
        <v>5.9655937846836427E-3</v>
      </c>
      <c r="D968" s="12">
        <v>-1.0289892922434096E-2</v>
      </c>
      <c r="E968" s="12">
        <v>1.9457169597556501E-3</v>
      </c>
      <c r="F968" s="12">
        <v>1.1686591738850227E-2</v>
      </c>
      <c r="G968" s="12">
        <v>-4.6071473041963129E-3</v>
      </c>
      <c r="H968" s="12">
        <v>5.0046196489073047E-4</v>
      </c>
      <c r="I968" s="12">
        <v>-3.3634643682992627E-3</v>
      </c>
      <c r="J968" s="12">
        <v>-2.2512060032160108E-2</v>
      </c>
      <c r="K968" s="12">
        <v>1.1037527593819041E-2</v>
      </c>
      <c r="L968" s="12">
        <v>-6.5925619346065556E-3</v>
      </c>
      <c r="M968" s="13">
        <f t="shared" si="97"/>
        <v>-1.8548243713753935E-3</v>
      </c>
      <c r="N968" s="32">
        <f t="shared" si="98"/>
        <v>200.67042623748463</v>
      </c>
      <c r="O968" s="32">
        <f t="shared" si="99"/>
        <v>157.14172302264055</v>
      </c>
      <c r="P968" s="12">
        <f t="shared" si="100"/>
        <v>-1.8548243713753935E-3</v>
      </c>
      <c r="Q968" s="13">
        <f t="shared" si="101"/>
        <v>-1.8978620049791976E-3</v>
      </c>
      <c r="R968" s="49" t="str">
        <f t="shared" si="102"/>
        <v/>
      </c>
    </row>
    <row r="969" spans="1:18" x14ac:dyDescent="0.35">
      <c r="A969" s="64" t="s">
        <v>77</v>
      </c>
      <c r="B969" s="14">
        <v>1.6847572875482442E-2</v>
      </c>
      <c r="C969" s="12">
        <v>1.7193030846320179E-2</v>
      </c>
      <c r="D969" s="12">
        <v>7.9691788051510226E-3</v>
      </c>
      <c r="E969" s="12">
        <v>1.7698679973451981E-2</v>
      </c>
      <c r="F969" s="12">
        <v>1.5832581506837196E-2</v>
      </c>
      <c r="G969" s="12">
        <v>-9.3194896172129615E-3</v>
      </c>
      <c r="H969" s="12">
        <v>9.2346762091666257E-4</v>
      </c>
      <c r="I969" s="12">
        <v>8.1839274414681196E-3</v>
      </c>
      <c r="J969" s="12">
        <v>2.8209346249923772E-2</v>
      </c>
      <c r="K969" s="12">
        <v>-8.2969432314411451E-3</v>
      </c>
      <c r="L969" s="12">
        <v>8.2433116090825376E-3</v>
      </c>
      <c r="M969" s="13">
        <f t="shared" si="97"/>
        <v>5.7689354996396285E-3</v>
      </c>
      <c r="N969" s="32">
        <f t="shared" si="98"/>
        <v>201.82808098313384</v>
      </c>
      <c r="O969" s="32">
        <f t="shared" si="99"/>
        <v>159.78917965304336</v>
      </c>
      <c r="P969" s="12" t="str">
        <f t="shared" si="100"/>
        <v/>
      </c>
      <c r="Q969" s="13">
        <f t="shared" si="101"/>
        <v>-1.1078637375842814E-2</v>
      </c>
      <c r="R969" s="49">
        <f t="shared" si="102"/>
        <v>1</v>
      </c>
    </row>
    <row r="970" spans="1:18" x14ac:dyDescent="0.35">
      <c r="A970" s="64">
        <v>11.25</v>
      </c>
      <c r="B970" s="14">
        <v>3.8237680860733203E-3</v>
      </c>
      <c r="C970" s="12">
        <v>2.0337144664888118E-3</v>
      </c>
      <c r="D970" s="12">
        <v>6.9637153777684091E-3</v>
      </c>
      <c r="E970" s="12">
        <v>6.883891693437505E-3</v>
      </c>
      <c r="F970" s="12">
        <v>9.4559765951518493E-3</v>
      </c>
      <c r="G970" s="12">
        <v>5.6821769051085269E-4</v>
      </c>
      <c r="H970" s="12">
        <v>3.8826740475914612E-3</v>
      </c>
      <c r="I970" s="12">
        <v>1.9958994100171434E-2</v>
      </c>
      <c r="J970" s="12">
        <v>-1.5406494429959228E-3</v>
      </c>
      <c r="K970" s="12">
        <v>7.7792455599590138E-3</v>
      </c>
      <c r="L970" s="12">
        <v>-3.5714285714286698E-3</v>
      </c>
      <c r="M970" s="13">
        <f t="shared" si="97"/>
        <v>7.8449504885203282E-3</v>
      </c>
      <c r="N970" s="32">
        <f t="shared" si="98"/>
        <v>203.41141228563959</v>
      </c>
      <c r="O970" s="32">
        <f t="shared" si="99"/>
        <v>160.40017641870051</v>
      </c>
      <c r="P970" s="12" t="str">
        <f t="shared" si="100"/>
        <v/>
      </c>
      <c r="Q970" s="13">
        <f t="shared" si="101"/>
        <v>4.0211824024470079E-3</v>
      </c>
      <c r="R970" s="49">
        <f t="shared" si="102"/>
        <v>1</v>
      </c>
    </row>
    <row r="971" spans="1:18" x14ac:dyDescent="0.35">
      <c r="A971" s="64" t="s">
        <v>77</v>
      </c>
      <c r="B971" s="14">
        <v>1.6133201104998829E-2</v>
      </c>
      <c r="C971" s="12">
        <v>1.3530579108785856E-2</v>
      </c>
      <c r="D971" s="12">
        <v>8.4754575707155499E-3</v>
      </c>
      <c r="E971" s="12">
        <v>1.0003358441682986E-2</v>
      </c>
      <c r="F971" s="12">
        <v>-1.0350716787133063E-4</v>
      </c>
      <c r="G971" s="12">
        <v>3.8490661282182259E-3</v>
      </c>
      <c r="H971" s="12">
        <v>2.1674197748334345E-2</v>
      </c>
      <c r="I971" s="12">
        <v>2.354775188710212E-2</v>
      </c>
      <c r="J971" s="12">
        <v>4.6943620178041545E-2</v>
      </c>
      <c r="K971" s="12">
        <v>6.5831634139236872E-2</v>
      </c>
      <c r="L971" s="12">
        <v>2.3845493053704203E-2</v>
      </c>
      <c r="M971" s="13">
        <f t="shared" si="97"/>
        <v>2.7039630289747547E-2</v>
      </c>
      <c r="N971" s="32">
        <f t="shared" si="98"/>
        <v>208.91158167055869</v>
      </c>
      <c r="O971" s="32">
        <f t="shared" si="99"/>
        <v>162.9879447221407</v>
      </c>
      <c r="P971" s="12" t="str">
        <f t="shared" si="100"/>
        <v/>
      </c>
      <c r="Q971" s="13">
        <f t="shared" si="101"/>
        <v>1.0906429184748719E-2</v>
      </c>
      <c r="R971" s="49">
        <f t="shared" si="102"/>
        <v>1</v>
      </c>
    </row>
    <row r="972" spans="1:18" x14ac:dyDescent="0.35">
      <c r="A972" s="64" t="s">
        <v>77</v>
      </c>
      <c r="B972" s="14">
        <v>1.9898181923141411E-3</v>
      </c>
      <c r="C972" s="12">
        <v>5.9184763260946571E-3</v>
      </c>
      <c r="D972" s="12">
        <v>-8.7651456560966512E-4</v>
      </c>
      <c r="E972" s="12">
        <v>-6.0803268175663172E-3</v>
      </c>
      <c r="F972" s="12">
        <v>-3.3298252273081808E-3</v>
      </c>
      <c r="G972" s="12">
        <v>1.8857250612860366E-3</v>
      </c>
      <c r="H972" s="12">
        <v>2.1739130434781373E-3</v>
      </c>
      <c r="I972" s="12">
        <v>8.8577154308617789E-3</v>
      </c>
      <c r="J972" s="12">
        <v>2.0293634147724227E-2</v>
      </c>
      <c r="K972" s="12">
        <v>3.6895326591963595E-3</v>
      </c>
      <c r="L972" s="12">
        <v>-6.2492767040850383E-3</v>
      </c>
      <c r="M972" s="13">
        <f t="shared" si="97"/>
        <v>3.825216029995325E-4</v>
      </c>
      <c r="N972" s="32">
        <f t="shared" si="98"/>
        <v>208.99149486366449</v>
      </c>
      <c r="O972" s="32">
        <f t="shared" si="99"/>
        <v>163.3122610996767</v>
      </c>
      <c r="P972" s="12" t="str">
        <f t="shared" si="100"/>
        <v/>
      </c>
      <c r="Q972" s="13">
        <f t="shared" si="101"/>
        <v>-1.6072965893146086E-3</v>
      </c>
      <c r="R972" s="49">
        <f t="shared" si="102"/>
        <v>1</v>
      </c>
    </row>
    <row r="973" spans="1:18" x14ac:dyDescent="0.35">
      <c r="A973" s="64" t="s">
        <v>77</v>
      </c>
      <c r="B973" s="14">
        <v>9.7222847369131671E-3</v>
      </c>
      <c r="C973" s="12">
        <v>-7.0780800707814784E-4</v>
      </c>
      <c r="D973" s="12">
        <v>4.9024667148311885E-3</v>
      </c>
      <c r="E973" s="12">
        <v>7.3123521399383051E-3</v>
      </c>
      <c r="F973" s="12">
        <v>1.9041683977287782E-3</v>
      </c>
      <c r="G973" s="12">
        <v>1.5057406361753678E-3</v>
      </c>
      <c r="H973" s="12">
        <v>-3.4033959159247562E-3</v>
      </c>
      <c r="I973" s="12">
        <v>9.2964125382384299E-3</v>
      </c>
      <c r="J973" s="12">
        <v>-1.9445524751375842E-3</v>
      </c>
      <c r="K973" s="12">
        <v>3.6759700476514112E-3</v>
      </c>
      <c r="L973" s="12">
        <v>3.4063118667753134E-3</v>
      </c>
      <c r="M973" s="13">
        <f t="shared" si="97"/>
        <v>5.5543096653599966E-3</v>
      </c>
      <c r="N973" s="32">
        <f t="shared" si="98"/>
        <v>210.15229834356379</v>
      </c>
      <c r="O973" s="32">
        <f t="shared" si="99"/>
        <v>164.90002940311686</v>
      </c>
      <c r="P973" s="12" t="str">
        <f t="shared" si="100"/>
        <v/>
      </c>
      <c r="Q973" s="13">
        <f t="shared" si="101"/>
        <v>-4.1679750715531705E-3</v>
      </c>
      <c r="R973" s="49">
        <f t="shared" si="102"/>
        <v>1</v>
      </c>
    </row>
    <row r="974" spans="1:18" x14ac:dyDescent="0.35">
      <c r="A974" s="64">
        <v>11.25</v>
      </c>
      <c r="B974" s="14">
        <v>-1.9845762938528466E-3</v>
      </c>
      <c r="C974" s="12">
        <v>2.744698747177754E-3</v>
      </c>
      <c r="D974" s="12">
        <v>6.6759102346840571E-3</v>
      </c>
      <c r="E974" s="12">
        <v>7.7574549854104724E-3</v>
      </c>
      <c r="F974" s="12">
        <v>3.2309340336569292E-3</v>
      </c>
      <c r="G974" s="12">
        <v>3.3201779114202523E-3</v>
      </c>
      <c r="H974" s="12">
        <v>5.8918452358613926E-3</v>
      </c>
      <c r="I974" s="12">
        <v>-3.81814603424524E-3</v>
      </c>
      <c r="J974" s="12">
        <v>-4.1972834558004823E-2</v>
      </c>
      <c r="K974" s="12">
        <v>1.1123168746608902E-2</v>
      </c>
      <c r="L974" s="12">
        <v>-3.9170172638908207E-3</v>
      </c>
      <c r="M974" s="13">
        <f t="shared" si="97"/>
        <v>3.9984713669808675E-3</v>
      </c>
      <c r="N974" s="32">
        <f t="shared" si="98"/>
        <v>210.99258629119575</v>
      </c>
      <c r="O974" s="32">
        <f t="shared" si="99"/>
        <v>164.5727727139078</v>
      </c>
      <c r="P974" s="12" t="str">
        <f t="shared" si="100"/>
        <v/>
      </c>
      <c r="Q974" s="13">
        <f t="shared" si="101"/>
        <v>5.9830476608337142E-3</v>
      </c>
      <c r="R974" s="49">
        <f t="shared" si="102"/>
        <v>1</v>
      </c>
    </row>
    <row r="975" spans="1:18" x14ac:dyDescent="0.35">
      <c r="A975" s="64" t="s">
        <v>77</v>
      </c>
      <c r="B975" s="14">
        <v>4.2396804070665706E-3</v>
      </c>
      <c r="C975" s="12">
        <v>-4.8562977351984671E-4</v>
      </c>
      <c r="D975" s="12">
        <v>6.0194868132428248E-3</v>
      </c>
      <c r="E975" s="12">
        <v>-1.5536723163842581E-3</v>
      </c>
      <c r="F975" s="12">
        <v>-4.4432963058640418E-3</v>
      </c>
      <c r="G975" s="12">
        <v>7.9295704295705427E-3</v>
      </c>
      <c r="H975" s="12">
        <v>5.9692583196535587E-4</v>
      </c>
      <c r="I975" s="12">
        <v>-2.6789947842579376E-2</v>
      </c>
      <c r="J975" s="12">
        <v>7.728065078442814E-3</v>
      </c>
      <c r="K975" s="12">
        <v>9.3909310437347848E-3</v>
      </c>
      <c r="L975" s="12">
        <v>-9.6125837459948293E-4</v>
      </c>
      <c r="M975" s="13">
        <f t="shared" si="97"/>
        <v>-1.7833133433666807E-3</v>
      </c>
      <c r="N975" s="32">
        <f t="shared" si="98"/>
        <v>210.61632039671122</v>
      </c>
      <c r="O975" s="32">
        <f t="shared" si="99"/>
        <v>165.27050867391958</v>
      </c>
      <c r="P975" s="12">
        <f t="shared" si="100"/>
        <v>-1.7833133433666807E-3</v>
      </c>
      <c r="Q975" s="13">
        <f t="shared" si="101"/>
        <v>-6.0229937504332511E-3</v>
      </c>
      <c r="R975" s="49" t="str">
        <f t="shared" si="102"/>
        <v/>
      </c>
    </row>
    <row r="976" spans="1:18" x14ac:dyDescent="0.35">
      <c r="A976" s="64" t="s">
        <v>77</v>
      </c>
      <c r="B976" s="14">
        <v>-8.9328126528905871E-3</v>
      </c>
      <c r="C976" s="12">
        <v>-8.2597173144876024E-3</v>
      </c>
      <c r="D976" s="12">
        <v>-6.3384209725673157E-3</v>
      </c>
      <c r="E976" s="12">
        <v>-2.0252746734568672E-2</v>
      </c>
      <c r="F976" s="12">
        <v>1.1244312972475967E-3</v>
      </c>
      <c r="G976" s="12">
        <v>5.699064610047655E-3</v>
      </c>
      <c r="H976" s="12">
        <v>-9.6942580164049996E-4</v>
      </c>
      <c r="I976" s="12">
        <v>5.9277304100688877E-3</v>
      </c>
      <c r="J976" s="12">
        <v>-3.8632301216630083E-3</v>
      </c>
      <c r="K976" s="12">
        <v>4.5188729399256999E-3</v>
      </c>
      <c r="L976" s="12">
        <v>-1.7785812170161286E-3</v>
      </c>
      <c r="M976" s="13">
        <f t="shared" si="97"/>
        <v>-2.7042772020888194E-3</v>
      </c>
      <c r="N976" s="32">
        <f t="shared" si="98"/>
        <v>210.04675548307458</v>
      </c>
      <c r="O976" s="32">
        <f t="shared" si="99"/>
        <v>163.79417818288752</v>
      </c>
      <c r="P976" s="12">
        <f t="shared" si="100"/>
        <v>-2.7042772020888194E-3</v>
      </c>
      <c r="Q976" s="13">
        <f t="shared" si="101"/>
        <v>6.2285354508017678E-3</v>
      </c>
      <c r="R976" s="49" t="str">
        <f t="shared" si="102"/>
        <v/>
      </c>
    </row>
    <row r="977" spans="1:18" x14ac:dyDescent="0.35">
      <c r="A977" s="64" t="s">
        <v>77</v>
      </c>
      <c r="B977" s="14">
        <v>1.1483420217425433E-2</v>
      </c>
      <c r="C977" s="12">
        <v>1.0288157484523275E-2</v>
      </c>
      <c r="D977" s="12">
        <v>7.1443151663608262E-4</v>
      </c>
      <c r="E977" s="12">
        <v>2.9839971122609388E-3</v>
      </c>
      <c r="F977" s="12">
        <v>1.0004838263754534E-2</v>
      </c>
      <c r="G977" s="12">
        <v>1.0963966738527953E-2</v>
      </c>
      <c r="H977" s="12">
        <v>-1.8660894230051461E-3</v>
      </c>
      <c r="I977" s="12">
        <v>1.4288020665159884E-2</v>
      </c>
      <c r="J977" s="12">
        <v>1.2734429266033853E-2</v>
      </c>
      <c r="K977" s="12">
        <v>1.587721619476179E-3</v>
      </c>
      <c r="L977" s="12">
        <v>1.7671456945904884E-2</v>
      </c>
      <c r="M977" s="13">
        <f t="shared" ref="M977:M1040" si="103">SUMPRODUCT($C$2:$L$2,C977:L977)</f>
        <v>6.7237457245596707E-3</v>
      </c>
      <c r="N977" s="32">
        <f t="shared" ref="N977:N1040" si="104">+(N976*(1+M977))</f>
        <v>211.45905645721155</v>
      </c>
      <c r="O977" s="32">
        <f t="shared" ref="O977:O1040" si="105">+(O976*(1+B977))</f>
        <v>165.67509556012948</v>
      </c>
      <c r="P977" s="12" t="str">
        <f t="shared" ref="P977:P1040" si="106">+IF(M977&lt;0,M977,"")</f>
        <v/>
      </c>
      <c r="Q977" s="13">
        <f t="shared" ref="Q977:Q1040" si="107">M977-B977</f>
        <v>-4.7596744928657623E-3</v>
      </c>
      <c r="R977" s="49">
        <f t="shared" ref="R977:R1040" si="108">+IF(M977&gt;0,1,"")</f>
        <v>1</v>
      </c>
    </row>
    <row r="978" spans="1:18" x14ac:dyDescent="0.35">
      <c r="A978" s="64" t="s">
        <v>77</v>
      </c>
      <c r="B978" s="14">
        <v>-3.1537231503155905E-3</v>
      </c>
      <c r="C978" s="12">
        <v>1.4988538176687882E-3</v>
      </c>
      <c r="D978" s="12">
        <v>9.5869454360020256E-3</v>
      </c>
      <c r="E978" s="12">
        <v>-7.9176563737134442E-3</v>
      </c>
      <c r="F978" s="12">
        <v>4.482386956596196E-3</v>
      </c>
      <c r="G978" s="12">
        <v>2.9245110583075995E-3</v>
      </c>
      <c r="H978" s="12">
        <v>2.8791504636553888E-3</v>
      </c>
      <c r="I978" s="12">
        <v>1.0266613609231978E-2</v>
      </c>
      <c r="J978" s="12">
        <v>-8.4590763603110686E-3</v>
      </c>
      <c r="K978" s="12">
        <v>4.3593130779391309E-3</v>
      </c>
      <c r="L978" s="12">
        <v>7.8929996268763958E-3</v>
      </c>
      <c r="M978" s="13">
        <f t="shared" si="103"/>
        <v>5.8279702146150905E-3</v>
      </c>
      <c r="N978" s="32">
        <f t="shared" si="104"/>
        <v>212.69143353985478</v>
      </c>
      <c r="O978" s="32">
        <f t="shared" si="105"/>
        <v>165.15260217583074</v>
      </c>
      <c r="P978" s="12" t="str">
        <f t="shared" si="106"/>
        <v/>
      </c>
      <c r="Q978" s="13">
        <f t="shared" si="107"/>
        <v>8.9816933649306818E-3</v>
      </c>
      <c r="R978" s="49">
        <f t="shared" si="108"/>
        <v>1</v>
      </c>
    </row>
    <row r="979" spans="1:18" x14ac:dyDescent="0.35">
      <c r="A979" s="64">
        <v>11.09</v>
      </c>
      <c r="B979" s="14">
        <v>1.5952029967027936E-3</v>
      </c>
      <c r="C979" s="12">
        <v>3.7415265428295541E-3</v>
      </c>
      <c r="D979" s="12">
        <v>3.7882614405495563E-3</v>
      </c>
      <c r="E979" s="12">
        <v>8.4645336041977437E-4</v>
      </c>
      <c r="F979" s="12">
        <v>3.7470406894568598E-4</v>
      </c>
      <c r="G979" s="12">
        <v>-1.0084442014458572E-2</v>
      </c>
      <c r="H979" s="12">
        <v>9.35833861526425E-3</v>
      </c>
      <c r="I979" s="12">
        <v>4.5296990704271067E-3</v>
      </c>
      <c r="J979" s="12">
        <v>-2.4786718930134288E-3</v>
      </c>
      <c r="K979" s="12">
        <v>1.3152702880441236E-3</v>
      </c>
      <c r="L979" s="12">
        <v>-1.139081899989014E-4</v>
      </c>
      <c r="M979" s="13">
        <f t="shared" si="103"/>
        <v>2.3050442648634832E-3</v>
      </c>
      <c r="N979" s="32">
        <f t="shared" si="104"/>
        <v>213.18169670892144</v>
      </c>
      <c r="O979" s="32">
        <f t="shared" si="105"/>
        <v>165.41605410173489</v>
      </c>
      <c r="P979" s="12" t="str">
        <f t="shared" si="106"/>
        <v/>
      </c>
      <c r="Q979" s="13">
        <f t="shared" si="107"/>
        <v>7.0984126816068952E-4</v>
      </c>
      <c r="R979" s="49">
        <f t="shared" si="108"/>
        <v>1</v>
      </c>
    </row>
    <row r="980" spans="1:18" x14ac:dyDescent="0.35">
      <c r="A980" s="64" t="s">
        <v>77</v>
      </c>
      <c r="B980" s="14">
        <v>-5.9760389633474187E-3</v>
      </c>
      <c r="C980" s="12">
        <v>-6.7534973468402759E-3</v>
      </c>
      <c r="D980" s="12">
        <v>-1.3586272832485369E-3</v>
      </c>
      <c r="E980" s="12">
        <v>-7.8291127005605254E-3</v>
      </c>
      <c r="F980" s="12">
        <v>2.0260492040520273E-3</v>
      </c>
      <c r="G980" s="12">
        <v>5.9527462411783638E-3</v>
      </c>
      <c r="H980" s="12">
        <v>-5.6515957446809928E-3</v>
      </c>
      <c r="I980" s="12">
        <v>8.0774810806569786E-3</v>
      </c>
      <c r="J980" s="12">
        <v>-1.3522103438312616E-2</v>
      </c>
      <c r="K980" s="12">
        <v>-6.5677131222907636E-4</v>
      </c>
      <c r="L980" s="12">
        <v>-8.3162451583504993E-3</v>
      </c>
      <c r="M980" s="13">
        <f t="shared" si="103"/>
        <v>-1.4673094507522324E-3</v>
      </c>
      <c r="N980" s="32">
        <f t="shared" si="104"/>
        <v>212.86889319061305</v>
      </c>
      <c r="O980" s="32">
        <f t="shared" si="105"/>
        <v>164.42752131725973</v>
      </c>
      <c r="P980" s="12">
        <f t="shared" si="106"/>
        <v>-1.4673094507522324E-3</v>
      </c>
      <c r="Q980" s="13">
        <f t="shared" si="107"/>
        <v>4.5087295125951863E-3</v>
      </c>
      <c r="R980" s="49" t="str">
        <f t="shared" si="108"/>
        <v/>
      </c>
    </row>
    <row r="981" spans="1:18" x14ac:dyDescent="0.35">
      <c r="A981" s="64" t="s">
        <v>77</v>
      </c>
      <c r="B981" s="14">
        <v>-3.9340650694441592E-5</v>
      </c>
      <c r="C981" s="12">
        <v>1.4570179698882857E-2</v>
      </c>
      <c r="D981" s="12">
        <v>2.2170714501663635E-3</v>
      </c>
      <c r="E981" s="12">
        <v>6.1373599610325957E-3</v>
      </c>
      <c r="F981" s="12">
        <v>5.148333163421448E-3</v>
      </c>
      <c r="G981" s="12">
        <v>1.8911664226453073E-3</v>
      </c>
      <c r="H981" s="12">
        <v>1.9057171514543558E-2</v>
      </c>
      <c r="I981" s="12">
        <v>1.0696643198879752E-2</v>
      </c>
      <c r="J981" s="12">
        <v>9.0797258508581447E-3</v>
      </c>
      <c r="K981" s="12">
        <v>4.4689800210304664E-3</v>
      </c>
      <c r="L981" s="12">
        <v>9.8793796668581457E-3</v>
      </c>
      <c r="M981" s="13">
        <f t="shared" si="103"/>
        <v>6.201991975576822E-3</v>
      </c>
      <c r="N981" s="32">
        <f t="shared" si="104"/>
        <v>214.18910435803116</v>
      </c>
      <c r="O981" s="32">
        <f t="shared" si="105"/>
        <v>164.42105263157904</v>
      </c>
      <c r="P981" s="12" t="str">
        <f t="shared" si="106"/>
        <v/>
      </c>
      <c r="Q981" s="13">
        <f t="shared" si="107"/>
        <v>6.2413326262712636E-3</v>
      </c>
      <c r="R981" s="49">
        <f t="shared" si="108"/>
        <v>1</v>
      </c>
    </row>
    <row r="982" spans="1:18" x14ac:dyDescent="0.35">
      <c r="A982" s="64" t="s">
        <v>77</v>
      </c>
      <c r="B982" s="14">
        <v>1.0093062182132906E-2</v>
      </c>
      <c r="C982" s="12">
        <v>-3.4379215805735441E-3</v>
      </c>
      <c r="D982" s="12">
        <v>1.6239316239316182E-2</v>
      </c>
      <c r="E982" s="12">
        <v>9.7308288148720834E-3</v>
      </c>
      <c r="F982" s="12">
        <v>-2.3158713254559649E-3</v>
      </c>
      <c r="G982" s="12">
        <v>9.9251050356208292E-3</v>
      </c>
      <c r="H982" s="12">
        <v>7.4730242053078211E-3</v>
      </c>
      <c r="I982" s="12">
        <v>-4.5797413793103869E-3</v>
      </c>
      <c r="J982" s="12">
        <v>8.5916637640777171E-3</v>
      </c>
      <c r="K982" s="12">
        <v>1.0599319549856157E-2</v>
      </c>
      <c r="L982" s="12">
        <v>1.2683426231373085E-2</v>
      </c>
      <c r="M982" s="13">
        <f t="shared" si="103"/>
        <v>9.4593496358615463E-3</v>
      </c>
      <c r="N982" s="32">
        <f t="shared" si="104"/>
        <v>216.2151939843458</v>
      </c>
      <c r="O982" s="32">
        <f t="shared" si="105"/>
        <v>166.08056453984133</v>
      </c>
      <c r="P982" s="12" t="str">
        <f t="shared" si="106"/>
        <v/>
      </c>
      <c r="Q982" s="13">
        <f t="shared" si="107"/>
        <v>-6.3371254627135956E-4</v>
      </c>
      <c r="R982" s="49">
        <f t="shared" si="108"/>
        <v>1</v>
      </c>
    </row>
    <row r="983" spans="1:18" x14ac:dyDescent="0.35">
      <c r="A983" s="64">
        <v>11.26</v>
      </c>
      <c r="B983" s="14">
        <v>-2.1151122441753323E-2</v>
      </c>
      <c r="C983" s="12">
        <v>-2.7205240174672407E-2</v>
      </c>
      <c r="D983" s="12">
        <v>-4.20521446593769E-3</v>
      </c>
      <c r="E983" s="12">
        <v>-1.8459030541305044E-2</v>
      </c>
      <c r="F983" s="12">
        <v>1.4368010843781587E-2</v>
      </c>
      <c r="G983" s="12">
        <v>7.8379356083442264E-3</v>
      </c>
      <c r="H983" s="12">
        <v>7.8517928863479636E-3</v>
      </c>
      <c r="I983" s="12">
        <v>-1.6779431664411315E-2</v>
      </c>
      <c r="J983" s="12">
        <v>-7.321284678254858E-2</v>
      </c>
      <c r="K983" s="12">
        <v>-7.7690016832843156E-4</v>
      </c>
      <c r="L983" s="12">
        <v>-4.453805110923903E-2</v>
      </c>
      <c r="M983" s="13">
        <f t="shared" si="103"/>
        <v>-1.4701509745978697E-2</v>
      </c>
      <c r="N983" s="32">
        <f t="shared" si="104"/>
        <v>213.03650420275625</v>
      </c>
      <c r="O983" s="32">
        <f t="shared" si="105"/>
        <v>162.56777418406364</v>
      </c>
      <c r="P983" s="12">
        <f t="shared" si="106"/>
        <v>-1.4701509745978697E-2</v>
      </c>
      <c r="Q983" s="13">
        <f t="shared" si="107"/>
        <v>6.4496126957746258E-3</v>
      </c>
      <c r="R983" s="49" t="str">
        <f t="shared" si="108"/>
        <v/>
      </c>
    </row>
    <row r="984" spans="1:18" x14ac:dyDescent="0.35">
      <c r="A984" s="64" t="s">
        <v>77</v>
      </c>
      <c r="B984" s="14">
        <v>-1.6024800458679378E-3</v>
      </c>
      <c r="C984" s="12">
        <v>-8.6187547694932531E-3</v>
      </c>
      <c r="D984" s="12">
        <v>1.4060015898251343E-2</v>
      </c>
      <c r="E984" s="12">
        <v>-1.3188745603751606E-3</v>
      </c>
      <c r="F984" s="12">
        <v>9.1868777978219018E-3</v>
      </c>
      <c r="G984" s="12">
        <v>1.1964584828907388E-3</v>
      </c>
      <c r="H984" s="12">
        <v>7.0007898326991391E-3</v>
      </c>
      <c r="I984" s="12">
        <v>-1.0105776414612078E-2</v>
      </c>
      <c r="J984" s="12">
        <v>1.3662899018755281E-2</v>
      </c>
      <c r="K984" s="12">
        <v>9.0708824672791621E-4</v>
      </c>
      <c r="L984" s="12">
        <v>-1.0257465318598613E-2</v>
      </c>
      <c r="M984" s="13">
        <f t="shared" si="103"/>
        <v>1.8982354123656901E-4</v>
      </c>
      <c r="N984" s="32">
        <f t="shared" si="104"/>
        <v>213.07694354639668</v>
      </c>
      <c r="O984" s="32">
        <f t="shared" si="105"/>
        <v>162.30726256983252</v>
      </c>
      <c r="P984" s="12" t="str">
        <f t="shared" si="106"/>
        <v/>
      </c>
      <c r="Q984" s="13">
        <f t="shared" si="107"/>
        <v>1.7923035871045068E-3</v>
      </c>
      <c r="R984" s="49">
        <f t="shared" si="108"/>
        <v>1</v>
      </c>
    </row>
    <row r="985" spans="1:18" x14ac:dyDescent="0.35">
      <c r="A985" s="64" t="s">
        <v>77</v>
      </c>
      <c r="B985" s="14">
        <v>-3.0180776693048417E-3</v>
      </c>
      <c r="C985" s="12">
        <v>6.9277790355444235E-3</v>
      </c>
      <c r="D985" s="12">
        <v>-7.4469648718828996E-3</v>
      </c>
      <c r="E985" s="12">
        <v>-1.2472487160675172E-3</v>
      </c>
      <c r="F985" s="12">
        <v>-1.4383130855043058E-2</v>
      </c>
      <c r="G985" s="12">
        <v>-1.4161089866156829E-2</v>
      </c>
      <c r="H985" s="12">
        <v>-6.6669043459659516E-3</v>
      </c>
      <c r="I985" s="12">
        <v>3.9723524271062516E-4</v>
      </c>
      <c r="J985" s="12">
        <v>-6.5555691704447527E-3</v>
      </c>
      <c r="K985" s="12">
        <v>-3.6250647332988217E-3</v>
      </c>
      <c r="L985" s="12">
        <v>-9.472902746844869E-3</v>
      </c>
      <c r="M985" s="13">
        <f t="shared" si="103"/>
        <v>-4.5647122653734596E-3</v>
      </c>
      <c r="N985" s="32">
        <f t="shared" si="104"/>
        <v>212.10430860872214</v>
      </c>
      <c r="O985" s="32">
        <f t="shared" si="105"/>
        <v>161.81740664510451</v>
      </c>
      <c r="P985" s="12">
        <f t="shared" si="106"/>
        <v>-4.5647122653734596E-3</v>
      </c>
      <c r="Q985" s="13">
        <f t="shared" si="107"/>
        <v>-1.5466345960686179E-3</v>
      </c>
      <c r="R985" s="49" t="str">
        <f t="shared" si="108"/>
        <v/>
      </c>
    </row>
    <row r="986" spans="1:18" x14ac:dyDescent="0.35">
      <c r="A986" s="64" t="s">
        <v>77</v>
      </c>
      <c r="B986" s="14">
        <v>-1.726020776209658E-2</v>
      </c>
      <c r="C986" s="12">
        <v>-7.0150193362712443E-3</v>
      </c>
      <c r="D986" s="12">
        <v>-9.1317439162841296E-3</v>
      </c>
      <c r="E986" s="12">
        <v>-1.6381400132226553E-2</v>
      </c>
      <c r="F986" s="12">
        <v>2.3342121614131628E-3</v>
      </c>
      <c r="G986" s="12">
        <v>-3.697193769319429E-3</v>
      </c>
      <c r="H986" s="12">
        <v>2.6918383461345119E-3</v>
      </c>
      <c r="I986" s="12">
        <v>-3.089263024142308E-2</v>
      </c>
      <c r="J986" s="12">
        <v>-2.7937095282146163E-2</v>
      </c>
      <c r="K986" s="12">
        <v>-4.1580041580040472E-3</v>
      </c>
      <c r="L986" s="12">
        <v>-1.2591437822280782E-2</v>
      </c>
      <c r="M986" s="13">
        <f t="shared" si="103"/>
        <v>-1.3804596767208143E-2</v>
      </c>
      <c r="N986" s="32">
        <f t="shared" si="104"/>
        <v>209.17629415579125</v>
      </c>
      <c r="O986" s="32">
        <f t="shared" si="105"/>
        <v>159.02440458688633</v>
      </c>
      <c r="P986" s="12">
        <f t="shared" si="106"/>
        <v>-1.3804596767208143E-2</v>
      </c>
      <c r="Q986" s="13">
        <f t="shared" si="107"/>
        <v>3.4556109948884368E-3</v>
      </c>
      <c r="R986" s="49" t="str">
        <f t="shared" si="108"/>
        <v/>
      </c>
    </row>
    <row r="987" spans="1:18" x14ac:dyDescent="0.35">
      <c r="A987" s="64">
        <v>11.3</v>
      </c>
      <c r="B987" s="14">
        <v>1.1580091782812829E-2</v>
      </c>
      <c r="C987" s="12">
        <v>4.0757177791861388E-4</v>
      </c>
      <c r="D987" s="12">
        <v>1.3898575271495517E-2</v>
      </c>
      <c r="E987" s="12">
        <v>1.0007468259895624E-2</v>
      </c>
      <c r="F987" s="12">
        <v>-4.6575526068891593E-3</v>
      </c>
      <c r="G987" s="12">
        <v>1.3566127266090966E-2</v>
      </c>
      <c r="H987" s="12">
        <v>2.233597021870648E-2</v>
      </c>
      <c r="I987" s="12">
        <v>2.8107842333852329E-2</v>
      </c>
      <c r="J987" s="12">
        <v>3.3561730744829266E-2</v>
      </c>
      <c r="K987" s="12">
        <v>9.1336116910230025E-3</v>
      </c>
      <c r="L987" s="12">
        <v>1.4209375759047793E-2</v>
      </c>
      <c r="M987" s="13">
        <f t="shared" si="103"/>
        <v>1.5080602069169594E-2</v>
      </c>
      <c r="N987" s="32">
        <f t="shared" si="104"/>
        <v>212.33079861025831</v>
      </c>
      <c r="O987" s="32">
        <f t="shared" si="105"/>
        <v>160.86592178770965</v>
      </c>
      <c r="P987" s="12" t="str">
        <f t="shared" si="106"/>
        <v/>
      </c>
      <c r="Q987" s="13">
        <f t="shared" si="107"/>
        <v>3.5005102863567648E-3</v>
      </c>
      <c r="R987" s="49">
        <f t="shared" si="108"/>
        <v>1</v>
      </c>
    </row>
    <row r="988" spans="1:18" x14ac:dyDescent="0.35">
      <c r="A988" s="64" t="s">
        <v>77</v>
      </c>
      <c r="B988" s="14">
        <v>4.4726332239699573E-3</v>
      </c>
      <c r="C988" s="12">
        <v>-3.621384274138717E-3</v>
      </c>
      <c r="D988" s="12">
        <v>8.794772269444362E-3</v>
      </c>
      <c r="E988" s="12">
        <v>2.0901114068815785E-2</v>
      </c>
      <c r="F988" s="12">
        <v>8.2982662851371902E-3</v>
      </c>
      <c r="G988" s="12">
        <v>4.6215713342534492E-3</v>
      </c>
      <c r="H988" s="12">
        <v>-9.4534505094368004E-4</v>
      </c>
      <c r="I988" s="12">
        <v>-2.1919336840427239E-2</v>
      </c>
      <c r="J988" s="12">
        <v>-1.7432938432263234E-2</v>
      </c>
      <c r="K988" s="12">
        <v>1.9006982156710706E-2</v>
      </c>
      <c r="L988" s="12">
        <v>3.5923841456120265E-4</v>
      </c>
      <c r="M988" s="13">
        <f t="shared" si="103"/>
        <v>5.4126835790292253E-3</v>
      </c>
      <c r="N988" s="32">
        <f t="shared" si="104"/>
        <v>213.48007803721819</v>
      </c>
      <c r="O988" s="32">
        <f t="shared" si="105"/>
        <v>161.58541605410193</v>
      </c>
      <c r="P988" s="12" t="str">
        <f t="shared" si="106"/>
        <v/>
      </c>
      <c r="Q988" s="13">
        <f t="shared" si="107"/>
        <v>9.4005035505926801E-4</v>
      </c>
      <c r="R988" s="49">
        <f t="shared" si="108"/>
        <v>1</v>
      </c>
    </row>
    <row r="989" spans="1:18" x14ac:dyDescent="0.35">
      <c r="A989" s="64" t="s">
        <v>77</v>
      </c>
      <c r="B989" s="14">
        <v>1.0665050805019227E-2</v>
      </c>
      <c r="C989" s="12">
        <v>1.1585116532642603E-2</v>
      </c>
      <c r="D989" s="12">
        <v>2.2257938827196622E-2</v>
      </c>
      <c r="E989" s="12">
        <v>2.134234669241919E-2</v>
      </c>
      <c r="F989" s="12">
        <v>-1.5491711600420621E-2</v>
      </c>
      <c r="G989" s="12">
        <v>-1.5294539371490057E-2</v>
      </c>
      <c r="H989" s="12">
        <v>-4.8363355996354773E-3</v>
      </c>
      <c r="I989" s="12">
        <v>3.5693912476570944E-2</v>
      </c>
      <c r="J989" s="12">
        <v>7.8715561941651302E-3</v>
      </c>
      <c r="K989" s="12">
        <v>3.806623524933439E-4</v>
      </c>
      <c r="L989" s="12">
        <v>2.51376586066554E-3</v>
      </c>
      <c r="M989" s="13">
        <f t="shared" si="103"/>
        <v>1.6463102868605653E-2</v>
      </c>
      <c r="N989" s="32">
        <f t="shared" si="104"/>
        <v>216.99462252234289</v>
      </c>
      <c r="O989" s="32">
        <f t="shared" si="105"/>
        <v>163.3087327256691</v>
      </c>
      <c r="P989" s="12" t="str">
        <f t="shared" si="106"/>
        <v/>
      </c>
      <c r="Q989" s="13">
        <f t="shared" si="107"/>
        <v>5.7980520635864258E-3</v>
      </c>
      <c r="R989" s="49">
        <f t="shared" si="108"/>
        <v>1</v>
      </c>
    </row>
    <row r="990" spans="1:18" x14ac:dyDescent="0.35">
      <c r="A990" s="64" t="s">
        <v>77</v>
      </c>
      <c r="B990" s="14">
        <v>7.4953232999588337E-3</v>
      </c>
      <c r="C990" s="12">
        <v>4.9402676726861827E-4</v>
      </c>
      <c r="D990" s="12">
        <v>8.1947686883607762E-3</v>
      </c>
      <c r="E990" s="12">
        <v>9.3608169440242417E-3</v>
      </c>
      <c r="F990" s="12">
        <v>-2.2551928783383079E-3</v>
      </c>
      <c r="G990" s="12">
        <v>-1.0921004732435957E-3</v>
      </c>
      <c r="H990" s="12">
        <v>4.965488096915216E-3</v>
      </c>
      <c r="I990" s="12">
        <v>3.8161932488787187E-3</v>
      </c>
      <c r="J990" s="12">
        <v>8.925804252154057E-3</v>
      </c>
      <c r="K990" s="12">
        <v>1.0400811770674645E-2</v>
      </c>
      <c r="L990" s="12">
        <v>1.3671641791044742E-2</v>
      </c>
      <c r="M990" s="13">
        <f t="shared" si="103"/>
        <v>8.9391344416322981E-3</v>
      </c>
      <c r="N990" s="32">
        <f t="shared" si="104"/>
        <v>218.93436662618137</v>
      </c>
      <c r="O990" s="32">
        <f t="shared" si="105"/>
        <v>164.53278447515456</v>
      </c>
      <c r="P990" s="12" t="str">
        <f t="shared" si="106"/>
        <v/>
      </c>
      <c r="Q990" s="13">
        <f t="shared" si="107"/>
        <v>1.4438111416734643E-3</v>
      </c>
      <c r="R990" s="49">
        <f t="shared" si="108"/>
        <v>1</v>
      </c>
    </row>
    <row r="991" spans="1:18" x14ac:dyDescent="0.35">
      <c r="A991" s="64" t="s">
        <v>77</v>
      </c>
      <c r="B991" s="14">
        <v>5.4076658041088965E-3</v>
      </c>
      <c r="C991" s="12">
        <v>-1.2120123894600043E-3</v>
      </c>
      <c r="D991" s="12">
        <v>1.502764519635158E-2</v>
      </c>
      <c r="E991" s="12">
        <v>8.4074941451990348E-3</v>
      </c>
      <c r="F991" s="12">
        <v>1.002685156860772E-2</v>
      </c>
      <c r="G991" s="12">
        <v>5.3449951409136887E-3</v>
      </c>
      <c r="H991" s="12">
        <v>6.9383607246733536E-3</v>
      </c>
      <c r="I991" s="12">
        <v>1.5089163237311354E-2</v>
      </c>
      <c r="J991" s="12">
        <v>-3.686182957547457E-2</v>
      </c>
      <c r="K991" s="12">
        <v>1.1800150640220997E-2</v>
      </c>
      <c r="L991" s="12">
        <v>1.6873785264149843E-2</v>
      </c>
      <c r="M991" s="13">
        <f t="shared" si="103"/>
        <v>1.371164985599921E-2</v>
      </c>
      <c r="N991" s="32">
        <f t="shared" si="104"/>
        <v>221.93631800280454</v>
      </c>
      <c r="O991" s="32">
        <f t="shared" si="105"/>
        <v>165.42252278741566</v>
      </c>
      <c r="P991" s="12" t="str">
        <f t="shared" si="106"/>
        <v/>
      </c>
      <c r="Q991" s="13">
        <f t="shared" si="107"/>
        <v>8.3039840518903136E-3</v>
      </c>
      <c r="R991" s="49">
        <f t="shared" si="108"/>
        <v>1</v>
      </c>
    </row>
    <row r="992" spans="1:18" x14ac:dyDescent="0.35">
      <c r="A992" s="64">
        <v>11.28</v>
      </c>
      <c r="B992" s="14">
        <v>1.2566610143582846E-3</v>
      </c>
      <c r="C992" s="12">
        <v>-2.7775280898876487E-2</v>
      </c>
      <c r="D992" s="12">
        <v>1.1034033241771102E-2</v>
      </c>
      <c r="E992" s="12">
        <v>1.7417961401797744E-3</v>
      </c>
      <c r="F992" s="12">
        <v>-8.7158433167318083E-3</v>
      </c>
      <c r="G992" s="12">
        <v>8.8811019816337211E-3</v>
      </c>
      <c r="H992" s="12">
        <v>1.0892639638071966E-2</v>
      </c>
      <c r="I992" s="12">
        <v>8.0694980694979712E-3</v>
      </c>
      <c r="J992" s="12">
        <v>-7.7821011673151474E-3</v>
      </c>
      <c r="K992" s="12">
        <v>-4.9627791563267021E-4</v>
      </c>
      <c r="L992" s="12">
        <v>7.6742637050766227E-3</v>
      </c>
      <c r="M992" s="13">
        <f t="shared" si="103"/>
        <v>6.0204937691487118E-3</v>
      </c>
      <c r="N992" s="32">
        <f t="shared" si="104"/>
        <v>223.27248422248826</v>
      </c>
      <c r="O992" s="32">
        <f t="shared" si="105"/>
        <v>165.63040282269941</v>
      </c>
      <c r="P992" s="12" t="str">
        <f t="shared" si="106"/>
        <v/>
      </c>
      <c r="Q992" s="13">
        <f t="shared" si="107"/>
        <v>4.7638327547904272E-3</v>
      </c>
      <c r="R992" s="49">
        <f t="shared" si="108"/>
        <v>1</v>
      </c>
    </row>
    <row r="993" spans="1:18" x14ac:dyDescent="0.35">
      <c r="A993" s="64" t="s">
        <v>77</v>
      </c>
      <c r="B993" s="14">
        <v>2.6450846693371055E-4</v>
      </c>
      <c r="C993" s="12">
        <v>2.1727071005916976E-3</v>
      </c>
      <c r="D993" s="12">
        <v>-1.3952845827960969E-2</v>
      </c>
      <c r="E993" s="12">
        <v>8.8329392126860196E-3</v>
      </c>
      <c r="F993" s="12">
        <v>-1.8976813660589897E-2</v>
      </c>
      <c r="G993" s="12">
        <v>4.7907060302998516E-4</v>
      </c>
      <c r="H993" s="12">
        <v>3.7179840264389696E-3</v>
      </c>
      <c r="I993" s="12">
        <v>1.6507717645256381E-2</v>
      </c>
      <c r="J993" s="12">
        <v>5.4001928640305952E-3</v>
      </c>
      <c r="K993" s="12">
        <v>-2.432969215491565E-2</v>
      </c>
      <c r="L993" s="12">
        <v>1.6467410047131814E-2</v>
      </c>
      <c r="M993" s="13">
        <f t="shared" si="103"/>
        <v>-2.0686037146587059E-3</v>
      </c>
      <c r="N993" s="32">
        <f t="shared" si="104"/>
        <v>222.81062193224454</v>
      </c>
      <c r="O993" s="32">
        <f t="shared" si="105"/>
        <v>165.67421346662766</v>
      </c>
      <c r="P993" s="12">
        <f t="shared" si="106"/>
        <v>-2.0686037146587059E-3</v>
      </c>
      <c r="Q993" s="13">
        <f t="shared" si="107"/>
        <v>-2.3331121815924165E-3</v>
      </c>
      <c r="R993" s="49" t="str">
        <f t="shared" si="108"/>
        <v/>
      </c>
    </row>
    <row r="994" spans="1:18" x14ac:dyDescent="0.35">
      <c r="A994" s="64" t="s">
        <v>77</v>
      </c>
      <c r="B994" s="14">
        <v>-2.8964004415590328E-3</v>
      </c>
      <c r="C994" s="12">
        <v>1.798975967526184E-2</v>
      </c>
      <c r="D994" s="12">
        <v>3.7827487974595453E-3</v>
      </c>
      <c r="E994" s="12">
        <v>-9.9735723313799651E-3</v>
      </c>
      <c r="F994" s="12">
        <v>4.6543013357325247E-3</v>
      </c>
      <c r="G994" s="12">
        <v>-5.5066738492846046E-3</v>
      </c>
      <c r="H994" s="12">
        <v>-1.0563863355741443E-2</v>
      </c>
      <c r="I994" s="12">
        <v>-1.2132629992464117E-2</v>
      </c>
      <c r="J994" s="12">
        <v>-8.1846665387810269E-3</v>
      </c>
      <c r="K994" s="12">
        <v>5.4707379134861789E-3</v>
      </c>
      <c r="L994" s="12">
        <v>4.0430885803952599E-3</v>
      </c>
      <c r="M994" s="13">
        <f t="shared" si="103"/>
        <v>-7.7084601200301994E-4</v>
      </c>
      <c r="N994" s="32">
        <f t="shared" si="104"/>
        <v>222.63886925289614</v>
      </c>
      <c r="O994" s="32">
        <f t="shared" si="105"/>
        <v>165.19435460158797</v>
      </c>
      <c r="P994" s="12">
        <f t="shared" si="106"/>
        <v>-7.7084601200301994E-4</v>
      </c>
      <c r="Q994" s="13">
        <f t="shared" si="107"/>
        <v>2.1255544295560127E-3</v>
      </c>
      <c r="R994" s="49" t="str">
        <f t="shared" si="108"/>
        <v/>
      </c>
    </row>
    <row r="995" spans="1:18" x14ac:dyDescent="0.35">
      <c r="A995" s="64" t="s">
        <v>77</v>
      </c>
      <c r="B995" s="14">
        <v>1.6976786407179478E-2</v>
      </c>
      <c r="C995" s="12">
        <v>3.7065567085051487E-2</v>
      </c>
      <c r="D995" s="12">
        <v>-4.8850842095469194E-3</v>
      </c>
      <c r="E995" s="12">
        <v>1.8291126018430415E-2</v>
      </c>
      <c r="F995" s="12">
        <v>-6.1655041763539753E-3</v>
      </c>
      <c r="G995" s="12">
        <v>-8.0048149262714752E-3</v>
      </c>
      <c r="H995" s="12">
        <v>-1.1231281198003318E-2</v>
      </c>
      <c r="I995" s="12">
        <v>2.5059119688763509E-2</v>
      </c>
      <c r="J995" s="12">
        <v>-3.3524595448392036E-3</v>
      </c>
      <c r="K995" s="12">
        <v>-1.2526888523345492E-2</v>
      </c>
      <c r="L995" s="12">
        <v>5.1222122099571887E-2</v>
      </c>
      <c r="M995" s="13">
        <f t="shared" si="103"/>
        <v>1.1936277021432573E-2</v>
      </c>
      <c r="N995" s="32">
        <f t="shared" si="104"/>
        <v>225.29634847203724</v>
      </c>
      <c r="O995" s="32">
        <f t="shared" si="105"/>
        <v>167.998823875331</v>
      </c>
      <c r="P995" s="12" t="str">
        <f t="shared" si="106"/>
        <v/>
      </c>
      <c r="Q995" s="13">
        <f t="shared" si="107"/>
        <v>-5.0405093857469052E-3</v>
      </c>
      <c r="R995" s="49">
        <f t="shared" si="108"/>
        <v>1</v>
      </c>
    </row>
    <row r="996" spans="1:18" x14ac:dyDescent="0.35">
      <c r="A996" s="64" t="s">
        <v>77</v>
      </c>
      <c r="B996" s="14">
        <v>-1.9409693295342478E-3</v>
      </c>
      <c r="C996" s="12">
        <v>-2.9274260497226257E-3</v>
      </c>
      <c r="D996" s="12">
        <v>1.7812894478470342E-2</v>
      </c>
      <c r="E996" s="12">
        <v>-7.795937906038497E-3</v>
      </c>
      <c r="F996" s="12">
        <v>-3.5870864886410336E-3</v>
      </c>
      <c r="G996" s="12">
        <v>-4.0043684018929993E-3</v>
      </c>
      <c r="H996" s="12">
        <v>-1.6477352404993262E-3</v>
      </c>
      <c r="I996" s="12">
        <v>8.930232558139739E-4</v>
      </c>
      <c r="J996" s="12">
        <v>-8.4093408370529144E-3</v>
      </c>
      <c r="K996" s="12">
        <v>1.3070220399794996E-2</v>
      </c>
      <c r="L996" s="12">
        <v>-1.2027537435375435E-2</v>
      </c>
      <c r="M996" s="13">
        <f t="shared" si="103"/>
        <v>4.8590306593622856E-3</v>
      </c>
      <c r="N996" s="32">
        <f t="shared" si="104"/>
        <v>226.39107033670524</v>
      </c>
      <c r="O996" s="32">
        <f t="shared" si="105"/>
        <v>167.67274331079116</v>
      </c>
      <c r="P996" s="12" t="str">
        <f t="shared" si="106"/>
        <v/>
      </c>
      <c r="Q996" s="13">
        <f t="shared" si="107"/>
        <v>6.7999999888965334E-3</v>
      </c>
      <c r="R996" s="49">
        <f t="shared" si="108"/>
        <v>1</v>
      </c>
    </row>
    <row r="997" spans="1:18" x14ac:dyDescent="0.35">
      <c r="A997" s="64">
        <v>11.3</v>
      </c>
      <c r="B997" s="14">
        <v>2.8092695373120868E-3</v>
      </c>
      <c r="C997" s="12">
        <v>-7.5810692375108957E-3</v>
      </c>
      <c r="D997" s="12">
        <v>1.2861736334405238E-2</v>
      </c>
      <c r="E997" s="12">
        <v>-4.0434672731867183E-3</v>
      </c>
      <c r="F997" s="12">
        <v>-2.7652173913044198E-3</v>
      </c>
      <c r="G997" s="12">
        <v>-5.7261208576997458E-3</v>
      </c>
      <c r="H997" s="12">
        <v>1.3554798609404228E-2</v>
      </c>
      <c r="I997" s="12">
        <v>-6.28276144094575E-3</v>
      </c>
      <c r="J997" s="12">
        <v>1.9635984082458258E-2</v>
      </c>
      <c r="K997" s="12">
        <v>1.6063749051353327E-2</v>
      </c>
      <c r="L997" s="12">
        <v>6.3716718182311727E-3</v>
      </c>
      <c r="M997" s="13">
        <f t="shared" si="103"/>
        <v>6.4392234707252903E-3</v>
      </c>
      <c r="N997" s="32">
        <f t="shared" si="104"/>
        <v>227.84885303037998</v>
      </c>
      <c r="O997" s="32">
        <f t="shared" si="105"/>
        <v>168.14378124081171</v>
      </c>
      <c r="P997" s="12" t="str">
        <f t="shared" si="106"/>
        <v/>
      </c>
      <c r="Q997" s="13">
        <f t="shared" si="107"/>
        <v>3.6299539334132035E-3</v>
      </c>
      <c r="R997" s="49">
        <f t="shared" si="108"/>
        <v>1</v>
      </c>
    </row>
    <row r="998" spans="1:18" x14ac:dyDescent="0.35">
      <c r="A998" s="64" t="s">
        <v>77</v>
      </c>
      <c r="B998" s="14">
        <v>2.5111172898120149E-3</v>
      </c>
      <c r="C998" s="12">
        <v>3.9740362961981912E-3</v>
      </c>
      <c r="D998" s="12">
        <v>2.1315192743764921E-3</v>
      </c>
      <c r="E998" s="12">
        <v>-1.0011303084127232E-2</v>
      </c>
      <c r="F998" s="12">
        <v>3.1042360614570441E-3</v>
      </c>
      <c r="G998" s="12">
        <v>-2.6957480700894321E-3</v>
      </c>
      <c r="H998" s="12">
        <v>-5.4914596542286032E-2</v>
      </c>
      <c r="I998" s="12">
        <v>-4.0778151889264702E-3</v>
      </c>
      <c r="J998" s="12">
        <v>-3.1349968010236928E-3</v>
      </c>
      <c r="K998" s="12">
        <v>4.2325407693266648E-3</v>
      </c>
      <c r="L998" s="12">
        <v>3.9766144893175648E-2</v>
      </c>
      <c r="M998" s="13">
        <f t="shared" si="103"/>
        <v>6.1221178397286779E-3</v>
      </c>
      <c r="N998" s="32">
        <f t="shared" si="104"/>
        <v>229.24377055827898</v>
      </c>
      <c r="O998" s="32">
        <f t="shared" si="105"/>
        <v>168.56600999705987</v>
      </c>
      <c r="P998" s="12" t="str">
        <f t="shared" si="106"/>
        <v/>
      </c>
      <c r="Q998" s="13">
        <f t="shared" si="107"/>
        <v>3.611000549916663E-3</v>
      </c>
      <c r="R998" s="49">
        <f t="shared" si="108"/>
        <v>1</v>
      </c>
    </row>
    <row r="999" spans="1:18" x14ac:dyDescent="0.35">
      <c r="A999" s="64" t="s">
        <v>77</v>
      </c>
      <c r="B999" s="14">
        <v>-1.8611774432969463E-3</v>
      </c>
      <c r="C999" s="12">
        <v>-4.3981176056647753E-3</v>
      </c>
      <c r="D999" s="12">
        <v>1.1766303118070365E-3</v>
      </c>
      <c r="E999" s="12">
        <v>6.8504322296525366E-3</v>
      </c>
      <c r="F999" s="12">
        <v>1.9471826700740991E-3</v>
      </c>
      <c r="G999" s="12">
        <v>-1.3392308637424799E-2</v>
      </c>
      <c r="H999" s="12">
        <v>-1.1547767431629774E-2</v>
      </c>
      <c r="I999" s="12">
        <v>-1.502573156528797E-4</v>
      </c>
      <c r="J999" s="12">
        <v>-2.3040883126885348E-2</v>
      </c>
      <c r="K999" s="12">
        <v>9.0492128424446427E-3</v>
      </c>
      <c r="L999" s="12">
        <v>-1.9899981861995708E-2</v>
      </c>
      <c r="M999" s="13">
        <f t="shared" si="103"/>
        <v>-1.1484683006462645E-4</v>
      </c>
      <c r="N999" s="32">
        <f t="shared" si="104"/>
        <v>229.21744263791831</v>
      </c>
      <c r="O999" s="32">
        <f t="shared" si="105"/>
        <v>168.25227874154677</v>
      </c>
      <c r="P999" s="12">
        <f t="shared" si="106"/>
        <v>-1.1484683006462645E-4</v>
      </c>
      <c r="Q999" s="13">
        <f t="shared" si="107"/>
        <v>1.7463306132323199E-3</v>
      </c>
      <c r="R999" s="49" t="str">
        <f t="shared" si="108"/>
        <v/>
      </c>
    </row>
    <row r="1000" spans="1:18" x14ac:dyDescent="0.35">
      <c r="A1000" s="64" t="s">
        <v>77</v>
      </c>
      <c r="B1000" s="14">
        <v>4.0386141140038578E-3</v>
      </c>
      <c r="C1000" s="12">
        <v>5.0801784688783158E-3</v>
      </c>
      <c r="D1000" s="12">
        <v>9.9444017538308227E-3</v>
      </c>
      <c r="E1000" s="12">
        <v>-1.851380435537231E-3</v>
      </c>
      <c r="F1000" s="12">
        <v>-2.6027658725338298E-3</v>
      </c>
      <c r="G1000" s="12">
        <v>4.9190535491905329E-3</v>
      </c>
      <c r="H1000" s="12">
        <v>7.6400993954679475E-3</v>
      </c>
      <c r="I1000" s="12">
        <v>7.4388548671899812E-3</v>
      </c>
      <c r="J1000" s="12">
        <v>1.5503875968992276E-2</v>
      </c>
      <c r="K1000" s="12">
        <v>-1.8181818181818188E-2</v>
      </c>
      <c r="L1000" s="12">
        <v>3.3602115003304567E-2</v>
      </c>
      <c r="M1000" s="13">
        <f t="shared" si="103"/>
        <v>5.5543710462921834E-3</v>
      </c>
      <c r="N1000" s="32">
        <f t="shared" si="104"/>
        <v>230.49060136461151</v>
      </c>
      <c r="O1000" s="32">
        <f t="shared" si="105"/>
        <v>168.9317847691857</v>
      </c>
      <c r="P1000" s="12" t="str">
        <f t="shared" si="106"/>
        <v/>
      </c>
      <c r="Q1000" s="13">
        <f t="shared" si="107"/>
        <v>1.5157569322883256E-3</v>
      </c>
      <c r="R1000" s="49">
        <f t="shared" si="108"/>
        <v>1</v>
      </c>
    </row>
    <row r="1001" spans="1:18" x14ac:dyDescent="0.35">
      <c r="A1001" s="64" t="s">
        <v>77</v>
      </c>
      <c r="B1001" s="14">
        <v>-1.2531829977877607E-3</v>
      </c>
      <c r="C1001" s="12">
        <v>1.1867088607593335E-3</v>
      </c>
      <c r="D1001" s="12">
        <v>-1.1591997493622164E-2</v>
      </c>
      <c r="E1001" s="12">
        <v>-7.6279242308316952E-3</v>
      </c>
      <c r="F1001" s="12">
        <v>1.2247525269219572E-2</v>
      </c>
      <c r="G1001" s="12">
        <v>6.196170766470388E-5</v>
      </c>
      <c r="H1001" s="12">
        <v>1.280871581581966E-2</v>
      </c>
      <c r="I1001" s="12">
        <v>1.0852134999067786E-2</v>
      </c>
      <c r="J1001" s="12">
        <v>1.1256307413636923E-2</v>
      </c>
      <c r="K1001" s="12">
        <v>-1.7517517517517955E-3</v>
      </c>
      <c r="L1001" s="12">
        <v>3.0693677102511252E-4</v>
      </c>
      <c r="M1001" s="13">
        <f t="shared" si="103"/>
        <v>-2.4932546374880717E-3</v>
      </c>
      <c r="N1001" s="32">
        <f t="shared" si="104"/>
        <v>229.91592960386177</v>
      </c>
      <c r="O1001" s="32">
        <f t="shared" si="105"/>
        <v>168.72008232872702</v>
      </c>
      <c r="P1001" s="12">
        <f t="shared" si="106"/>
        <v>-2.4932546374880717E-3</v>
      </c>
      <c r="Q1001" s="13">
        <f t="shared" si="107"/>
        <v>-1.2400716397003111E-3</v>
      </c>
      <c r="R1001" s="49" t="str">
        <f t="shared" si="108"/>
        <v/>
      </c>
    </row>
    <row r="1002" spans="1:18" x14ac:dyDescent="0.35">
      <c r="A1002" s="64">
        <v>11.28</v>
      </c>
      <c r="B1002" s="14">
        <v>4.2365423122701085E-3</v>
      </c>
      <c r="C1002" s="12">
        <v>2.2871943456692634E-2</v>
      </c>
      <c r="D1002" s="12">
        <v>1.0867596449919414E-3</v>
      </c>
      <c r="E1002" s="12">
        <v>5.3268538853326053E-3</v>
      </c>
      <c r="F1002" s="12">
        <v>4.8637965111282266E-3</v>
      </c>
      <c r="G1002" s="12">
        <v>4.0892193308550429E-3</v>
      </c>
      <c r="H1002" s="12">
        <v>-7.9950576007570273E-4</v>
      </c>
      <c r="I1002" s="12">
        <v>5.1649081384197437E-4</v>
      </c>
      <c r="J1002" s="12">
        <v>-2.7379733879222101E-2</v>
      </c>
      <c r="K1002" s="12">
        <v>1.2158435698169878E-2</v>
      </c>
      <c r="L1002" s="12">
        <v>1.0228086325048125E-4</v>
      </c>
      <c r="M1002" s="13">
        <f t="shared" si="103"/>
        <v>3.8760561035616377E-3</v>
      </c>
      <c r="N1002" s="32">
        <f t="shared" si="104"/>
        <v>230.80709664610885</v>
      </c>
      <c r="O1002" s="32">
        <f t="shared" si="105"/>
        <v>169.43487209644238</v>
      </c>
      <c r="P1002" s="12" t="str">
        <f t="shared" si="106"/>
        <v/>
      </c>
      <c r="Q1002" s="13">
        <f t="shared" si="107"/>
        <v>-3.6048620870847078E-4</v>
      </c>
      <c r="R1002" s="49">
        <f t="shared" si="108"/>
        <v>1</v>
      </c>
    </row>
    <row r="1003" spans="1:18" x14ac:dyDescent="0.35">
      <c r="A1003" s="64" t="s">
        <v>77</v>
      </c>
      <c r="B1003" s="14">
        <v>-9.3241104524439677E-3</v>
      </c>
      <c r="C1003" s="12">
        <v>-2.9141630901287519E-2</v>
      </c>
      <c r="D1003" s="12">
        <v>-7.8252216392257212E-3</v>
      </c>
      <c r="E1003" s="12">
        <v>-2.2333255867999058E-2</v>
      </c>
      <c r="F1003" s="12">
        <v>-2.3602654443456439E-3</v>
      </c>
      <c r="G1003" s="12">
        <v>-4.3193878810310338E-4</v>
      </c>
      <c r="H1003" s="12">
        <v>9.6381160210947669E-3</v>
      </c>
      <c r="I1003" s="12">
        <v>-9.587020648967437E-3</v>
      </c>
      <c r="J1003" s="12">
        <v>1.4338332017890032E-2</v>
      </c>
      <c r="K1003" s="12">
        <v>6.4396284829721928E-3</v>
      </c>
      <c r="L1003" s="12">
        <v>3.2470852935160277E-3</v>
      </c>
      <c r="M1003" s="13">
        <f t="shared" si="103"/>
        <v>-5.1041161361421433E-3</v>
      </c>
      <c r="N1003" s="32">
        <f t="shared" si="104"/>
        <v>229.62903041978132</v>
      </c>
      <c r="O1003" s="32">
        <f t="shared" si="105"/>
        <v>167.85504263451944</v>
      </c>
      <c r="P1003" s="12">
        <f t="shared" si="106"/>
        <v>-5.1041161361421433E-3</v>
      </c>
      <c r="Q1003" s="13">
        <f t="shared" si="107"/>
        <v>4.2199943163018245E-3</v>
      </c>
      <c r="R1003" s="49" t="str">
        <f t="shared" si="108"/>
        <v/>
      </c>
    </row>
    <row r="1004" spans="1:18" x14ac:dyDescent="0.35">
      <c r="A1004" s="64" t="s">
        <v>77</v>
      </c>
      <c r="B1004" s="14">
        <v>1.3838405955768351E-4</v>
      </c>
      <c r="C1004" s="12">
        <v>2.5197825029839027E-3</v>
      </c>
      <c r="D1004" s="12">
        <v>1.7323911556872407E-3</v>
      </c>
      <c r="E1004" s="12">
        <v>-8.4622881456654087E-3</v>
      </c>
      <c r="F1004" s="12">
        <v>1.5446596948397007E-2</v>
      </c>
      <c r="G1004" s="12">
        <v>-5.062040866720352E-3</v>
      </c>
      <c r="H1004" s="12">
        <v>-2.1613832853026871E-3</v>
      </c>
      <c r="I1004" s="12">
        <v>8.6373790022338248E-3</v>
      </c>
      <c r="J1004" s="12">
        <v>-8.6240435741149479E-3</v>
      </c>
      <c r="K1004" s="12">
        <v>-1.0335917312661369E-2</v>
      </c>
      <c r="L1004" s="12">
        <v>4.2304849766814367E-3</v>
      </c>
      <c r="M1004" s="13">
        <f t="shared" si="103"/>
        <v>-6.2990074065911723E-4</v>
      </c>
      <c r="N1004" s="32">
        <f t="shared" si="104"/>
        <v>229.48438692344305</v>
      </c>
      <c r="O1004" s="32">
        <f t="shared" si="105"/>
        <v>167.87827109673643</v>
      </c>
      <c r="P1004" s="12">
        <f t="shared" si="106"/>
        <v>-6.2990074065911723E-4</v>
      </c>
      <c r="Q1004" s="13">
        <f t="shared" si="107"/>
        <v>-7.6828480021680075E-4</v>
      </c>
      <c r="R1004" s="49" t="str">
        <f t="shared" si="108"/>
        <v/>
      </c>
    </row>
    <row r="1005" spans="1:18" x14ac:dyDescent="0.35">
      <c r="A1005" s="64" t="s">
        <v>77</v>
      </c>
      <c r="B1005" s="14">
        <v>-1.681396399709989E-3</v>
      </c>
      <c r="C1005" s="12">
        <v>-4.8946115177705973E-3</v>
      </c>
      <c r="D1005" s="12">
        <v>1.3607609338733839E-2</v>
      </c>
      <c r="E1005" s="12">
        <v>-1.4144271570013522E-3</v>
      </c>
      <c r="F1005" s="12">
        <v>7.4285424861986193E-4</v>
      </c>
      <c r="G1005" s="12">
        <v>-4.1571011974932404E-3</v>
      </c>
      <c r="H1005" s="12">
        <v>-5.0541516245483642E-4</v>
      </c>
      <c r="I1005" s="12">
        <v>-8.6003248191349746E-3</v>
      </c>
      <c r="J1005" s="12">
        <v>-1.5501340833278698E-2</v>
      </c>
      <c r="K1005" s="12">
        <v>0</v>
      </c>
      <c r="L1005" s="12">
        <v>-7.5117370892019419E-3</v>
      </c>
      <c r="M1005" s="13">
        <f t="shared" si="103"/>
        <v>6.0635131719812647E-4</v>
      </c>
      <c r="N1005" s="32">
        <f t="shared" si="104"/>
        <v>229.62353508373047</v>
      </c>
      <c r="O1005" s="32">
        <f t="shared" si="105"/>
        <v>167.59600117612484</v>
      </c>
      <c r="P1005" s="12" t="str">
        <f t="shared" si="106"/>
        <v/>
      </c>
      <c r="Q1005" s="13">
        <f t="shared" si="107"/>
        <v>2.2877477169081155E-3</v>
      </c>
      <c r="R1005" s="49">
        <f t="shared" si="108"/>
        <v>1</v>
      </c>
    </row>
    <row r="1006" spans="1:18" x14ac:dyDescent="0.35">
      <c r="A1006" s="64" t="s">
        <v>77</v>
      </c>
      <c r="B1006" s="14">
        <v>8.9702698624898325E-3</v>
      </c>
      <c r="C1006" s="12">
        <v>5.0073115611291019E-3</v>
      </c>
      <c r="D1006" s="12">
        <v>1.4727011494252817E-2</v>
      </c>
      <c r="E1006" s="12">
        <v>-1.1523503144956759E-3</v>
      </c>
      <c r="F1006" s="12">
        <v>-2.6149304091099834E-3</v>
      </c>
      <c r="G1006" s="12">
        <v>-1.3084112149532867E-3</v>
      </c>
      <c r="H1006" s="12">
        <v>3.8647691974282861E-3</v>
      </c>
      <c r="I1006" s="12">
        <v>2.7476823411147322E-2</v>
      </c>
      <c r="J1006" s="12">
        <v>2.9763486579856391E-2</v>
      </c>
      <c r="K1006" s="12">
        <v>6.3409175680715357E-3</v>
      </c>
      <c r="L1006" s="12">
        <v>1.5341737196041816E-2</v>
      </c>
      <c r="M1006" s="13">
        <f t="shared" si="103"/>
        <v>1.3203939867763165E-2</v>
      </c>
      <c r="N1006" s="32">
        <f t="shared" si="104"/>
        <v>232.65547043319927</v>
      </c>
      <c r="O1006" s="32">
        <f t="shared" si="105"/>
        <v>169.09938253454885</v>
      </c>
      <c r="P1006" s="12" t="str">
        <f t="shared" si="106"/>
        <v/>
      </c>
      <c r="Q1006" s="13">
        <f t="shared" si="107"/>
        <v>4.2336700052733323E-3</v>
      </c>
      <c r="R1006" s="49">
        <f t="shared" si="108"/>
        <v>1</v>
      </c>
    </row>
    <row r="1007" spans="1:18" x14ac:dyDescent="0.35">
      <c r="A1007" s="64">
        <v>11.15</v>
      </c>
      <c r="B1007" s="14">
        <v>-9.5860422495291919E-3</v>
      </c>
      <c r="C1007" s="12">
        <v>-2.253086419753092E-2</v>
      </c>
      <c r="D1007" s="12">
        <v>4.9557522123893083E-3</v>
      </c>
      <c r="E1007" s="12">
        <v>-1.5670816709128399E-2</v>
      </c>
      <c r="F1007" s="12">
        <v>-1.2922868741542803E-2</v>
      </c>
      <c r="G1007" s="12">
        <v>-4.7414062012601788E-3</v>
      </c>
      <c r="H1007" s="12">
        <v>-1.4895837081279395E-2</v>
      </c>
      <c r="I1007" s="12">
        <v>-7.8994093560894596E-3</v>
      </c>
      <c r="J1007" s="12">
        <v>5.8709677419355177E-3</v>
      </c>
      <c r="K1007" s="12">
        <v>-2.2732888559426789E-2</v>
      </c>
      <c r="L1007" s="12">
        <v>2.9212521090937749E-3</v>
      </c>
      <c r="M1007" s="13">
        <f t="shared" si="103"/>
        <v>-6.9271742376501881E-3</v>
      </c>
      <c r="N1007" s="32">
        <f t="shared" si="104"/>
        <v>231.04382545216603</v>
      </c>
      <c r="O1007" s="32">
        <f t="shared" si="105"/>
        <v>167.47838870920336</v>
      </c>
      <c r="P1007" s="12">
        <f t="shared" si="106"/>
        <v>-6.9271742376501881E-3</v>
      </c>
      <c r="Q1007" s="13">
        <f t="shared" si="107"/>
        <v>2.6588680118790039E-3</v>
      </c>
      <c r="R1007" s="49" t="str">
        <f t="shared" si="108"/>
        <v/>
      </c>
    </row>
    <row r="1008" spans="1:18" x14ac:dyDescent="0.35">
      <c r="A1008" s="64" t="s">
        <v>77</v>
      </c>
      <c r="B1008" s="14">
        <v>9.68935768284096E-3</v>
      </c>
      <c r="C1008" s="12">
        <v>1.8404077766250193E-2</v>
      </c>
      <c r="D1008" s="12">
        <v>6.604438182458594E-3</v>
      </c>
      <c r="E1008" s="12">
        <v>1.2623919519460847E-2</v>
      </c>
      <c r="F1008" s="12">
        <v>-3.3929673041330766E-3</v>
      </c>
      <c r="G1008" s="12">
        <v>1.002946154328388E-3</v>
      </c>
      <c r="H1008" s="12">
        <v>4.2733481865662171E-3</v>
      </c>
      <c r="I1008" s="12">
        <v>-1.7093392746265423E-2</v>
      </c>
      <c r="J1008" s="12">
        <v>-8.0815855301135109E-3</v>
      </c>
      <c r="K1008" s="12">
        <v>7.7117572692793068E-3</v>
      </c>
      <c r="L1008" s="12">
        <v>-2.5838041431261782E-2</v>
      </c>
      <c r="M1008" s="13">
        <f t="shared" si="103"/>
        <v>-2.394162095740001E-3</v>
      </c>
      <c r="N1008" s="32">
        <f t="shared" si="104"/>
        <v>230.4906690828137</v>
      </c>
      <c r="O1008" s="32">
        <f t="shared" si="105"/>
        <v>169.10114672155271</v>
      </c>
      <c r="P1008" s="12">
        <f t="shared" si="106"/>
        <v>-2.394162095740001E-3</v>
      </c>
      <c r="Q1008" s="13">
        <f t="shared" si="107"/>
        <v>-1.2083519778580961E-2</v>
      </c>
      <c r="R1008" s="49" t="str">
        <f t="shared" si="108"/>
        <v/>
      </c>
    </row>
    <row r="1009" spans="1:18" x14ac:dyDescent="0.35">
      <c r="A1009" s="64" t="s">
        <v>77</v>
      </c>
      <c r="B1009" s="14">
        <v>7.1133846739683815E-3</v>
      </c>
      <c r="C1009" s="12">
        <v>1.6698409886167331E-2</v>
      </c>
      <c r="D1009" s="12">
        <v>2.4844720496894457E-2</v>
      </c>
      <c r="E1009" s="12">
        <v>6.6311398326541759E-3</v>
      </c>
      <c r="F1009" s="12">
        <v>1.6575535609890224E-2</v>
      </c>
      <c r="G1009" s="12">
        <v>6.0116475671614378E-3</v>
      </c>
      <c r="H1009" s="12">
        <v>7.1646784986907353E-3</v>
      </c>
      <c r="I1009" s="12">
        <v>8.583850470067933E-3</v>
      </c>
      <c r="J1009" s="12">
        <v>-3.4141610087293883E-2</v>
      </c>
      <c r="K1009" s="12">
        <v>8.6563793752354457E-3</v>
      </c>
      <c r="L1009" s="12">
        <v>2.121352716774938E-2</v>
      </c>
      <c r="M1009" s="13">
        <f t="shared" si="103"/>
        <v>1.4943048902263273E-2</v>
      </c>
      <c r="N1009" s="32">
        <f t="shared" si="104"/>
        <v>233.93490242243357</v>
      </c>
      <c r="O1009" s="32">
        <f t="shared" si="105"/>
        <v>170.30402822699227</v>
      </c>
      <c r="P1009" s="12" t="str">
        <f t="shared" si="106"/>
        <v/>
      </c>
      <c r="Q1009" s="13">
        <f t="shared" si="107"/>
        <v>7.8296642282948917E-3</v>
      </c>
      <c r="R1009" s="49">
        <f t="shared" si="108"/>
        <v>1</v>
      </c>
    </row>
    <row r="1010" spans="1:18" x14ac:dyDescent="0.35">
      <c r="A1010" s="64" t="s">
        <v>77</v>
      </c>
      <c r="B1010" s="14">
        <v>-2.0700823889336917E-3</v>
      </c>
      <c r="C1010" s="12">
        <v>-2.178269582643555E-3</v>
      </c>
      <c r="D1010" s="12">
        <v>-5.4630815194195437E-3</v>
      </c>
      <c r="E1010" s="12">
        <v>-3.8806113160542166E-3</v>
      </c>
      <c r="F1010" s="12">
        <v>1.0960386996380356E-2</v>
      </c>
      <c r="G1010" s="12">
        <v>-8.7145969498925169E-4</v>
      </c>
      <c r="H1010" s="12">
        <v>1.9499512512188844E-3</v>
      </c>
      <c r="I1010" s="12">
        <v>-3.5001105298061441E-3</v>
      </c>
      <c r="J1010" s="12">
        <v>-1.8410658097342214E-2</v>
      </c>
      <c r="K1010" s="12">
        <v>-9.8258706467662105E-3</v>
      </c>
      <c r="L1010" s="12">
        <v>1.1358186728589459E-3</v>
      </c>
      <c r="M1010" s="13">
        <f t="shared" si="103"/>
        <v>-4.7188274466528389E-3</v>
      </c>
      <c r="N1010" s="32">
        <f t="shared" si="104"/>
        <v>232.83100398415252</v>
      </c>
      <c r="O1010" s="32">
        <f t="shared" si="105"/>
        <v>169.95148485739512</v>
      </c>
      <c r="P1010" s="12">
        <f t="shared" si="106"/>
        <v>-4.7188274466528389E-3</v>
      </c>
      <c r="Q1010" s="13">
        <f t="shared" si="107"/>
        <v>-2.6487450577191473E-3</v>
      </c>
      <c r="R1010" s="49" t="str">
        <f t="shared" si="108"/>
        <v/>
      </c>
    </row>
    <row r="1011" spans="1:18" x14ac:dyDescent="0.35">
      <c r="A1011" s="64">
        <v>11.06</v>
      </c>
      <c r="B1011" s="14">
        <v>6.0518507625366702E-3</v>
      </c>
      <c r="C1011" s="12">
        <v>-6.5054139015018331E-3</v>
      </c>
      <c r="D1011" s="12">
        <v>1.029954510342268E-3</v>
      </c>
      <c r="E1011" s="12">
        <v>1.1542901115815241E-3</v>
      </c>
      <c r="F1011" s="12">
        <v>5.855780491883511E-4</v>
      </c>
      <c r="G1011" s="12">
        <v>5.9186343529999963E-3</v>
      </c>
      <c r="H1011" s="12">
        <v>1.3334774930622295E-3</v>
      </c>
      <c r="I1011" s="12">
        <v>2.1037453321995025E-2</v>
      </c>
      <c r="J1011" s="12">
        <v>3.000954849270232E-2</v>
      </c>
      <c r="K1011" s="12">
        <v>6.1550056525561114E-3</v>
      </c>
      <c r="L1011" s="12">
        <v>1.3563937071399801E-2</v>
      </c>
      <c r="M1011" s="13">
        <f t="shared" si="103"/>
        <v>8.178997811916517E-3</v>
      </c>
      <c r="N1011" s="32">
        <f t="shared" si="104"/>
        <v>234.73532825628521</v>
      </c>
      <c r="O1011" s="32">
        <f t="shared" si="105"/>
        <v>170.98000588062359</v>
      </c>
      <c r="P1011" s="12" t="str">
        <f t="shared" si="106"/>
        <v/>
      </c>
      <c r="Q1011" s="13">
        <f t="shared" si="107"/>
        <v>2.1271470493798468E-3</v>
      </c>
      <c r="R1011" s="49">
        <f t="shared" si="108"/>
        <v>1</v>
      </c>
    </row>
    <row r="1012" spans="1:18" x14ac:dyDescent="0.35">
      <c r="A1012" s="64" t="s">
        <v>77</v>
      </c>
      <c r="B1012" s="14">
        <v>7.7076128584032677E-3</v>
      </c>
      <c r="C1012" s="12">
        <v>1.6479894528675043E-2</v>
      </c>
      <c r="D1012" s="12">
        <v>8.5741232958929103E-3</v>
      </c>
      <c r="E1012" s="12">
        <v>6.7736356648731011E-3</v>
      </c>
      <c r="F1012" s="12">
        <v>1.2289942312515789E-2</v>
      </c>
      <c r="G1012" s="12">
        <v>8.6708782360944703E-4</v>
      </c>
      <c r="H1012" s="12">
        <v>1.0221710336884682E-2</v>
      </c>
      <c r="I1012" s="12">
        <v>1.3035921205097889E-3</v>
      </c>
      <c r="J1012" s="12">
        <v>-1.3441928221427646E-2</v>
      </c>
      <c r="K1012" s="12">
        <v>2.3720349563047805E-3</v>
      </c>
      <c r="L1012" s="12">
        <v>-2.007362817770264E-2</v>
      </c>
      <c r="M1012" s="13">
        <f t="shared" si="103"/>
        <v>6.6217591019158799E-4</v>
      </c>
      <c r="N1012" s="32">
        <f t="shared" si="104"/>
        <v>234.89076433592746</v>
      </c>
      <c r="O1012" s="32">
        <f t="shared" si="105"/>
        <v>172.29785357247894</v>
      </c>
      <c r="P1012" s="12" t="str">
        <f t="shared" si="106"/>
        <v/>
      </c>
      <c r="Q1012" s="13">
        <f t="shared" si="107"/>
        <v>-7.0454369482116797E-3</v>
      </c>
      <c r="R1012" s="49">
        <f t="shared" si="108"/>
        <v>1</v>
      </c>
    </row>
    <row r="1013" spans="1:18" x14ac:dyDescent="0.35">
      <c r="A1013" s="64" t="s">
        <v>77</v>
      </c>
      <c r="B1013" s="14">
        <v>-7.6094097971791674E-3</v>
      </c>
      <c r="C1013" s="12">
        <v>1.1024643320363126E-2</v>
      </c>
      <c r="D1013" s="12">
        <v>-9.776417580549146E-3</v>
      </c>
      <c r="E1013" s="12">
        <v>-9.5433506704201143E-4</v>
      </c>
      <c r="F1013" s="12">
        <v>-8.1119920713577875E-2</v>
      </c>
      <c r="G1013" s="12">
        <v>1.5470297029702929E-2</v>
      </c>
      <c r="H1013" s="12">
        <v>-4.9522588000570078E-3</v>
      </c>
      <c r="I1013" s="12">
        <v>2.8569362071459992E-3</v>
      </c>
      <c r="J1013" s="12">
        <v>2.2551849117390388E-2</v>
      </c>
      <c r="K1013" s="12">
        <v>1.6938597583758819E-2</v>
      </c>
      <c r="L1013" s="12">
        <v>-1.5128823454753082E-2</v>
      </c>
      <c r="M1013" s="13">
        <f t="shared" si="103"/>
        <v>-1.0507990794071899E-3</v>
      </c>
      <c r="N1013" s="32">
        <f t="shared" si="104"/>
        <v>234.64394133700202</v>
      </c>
      <c r="O1013" s="32">
        <f t="shared" si="105"/>
        <v>170.98676859747158</v>
      </c>
      <c r="P1013" s="12">
        <f t="shared" si="106"/>
        <v>-1.0507990794071899E-3</v>
      </c>
      <c r="Q1013" s="13">
        <f t="shared" si="107"/>
        <v>6.5586107177719776E-3</v>
      </c>
      <c r="R1013" s="49" t="str">
        <f t="shared" si="108"/>
        <v/>
      </c>
    </row>
    <row r="1014" spans="1:18" x14ac:dyDescent="0.35">
      <c r="A1014" s="64" t="s">
        <v>77</v>
      </c>
      <c r="B1014" s="14">
        <v>4.6790685197222182E-3</v>
      </c>
      <c r="C1014" s="12">
        <v>-8.8518280949325678E-3</v>
      </c>
      <c r="D1014" s="12">
        <v>3.047733516483353E-3</v>
      </c>
      <c r="E1014" s="12">
        <v>-6.2568658356020324E-3</v>
      </c>
      <c r="F1014" s="12">
        <v>2.7054234302252622E-2</v>
      </c>
      <c r="G1014" s="12">
        <v>1.0968921389398201E-3</v>
      </c>
      <c r="H1014" s="12">
        <v>2.9467578502631486E-2</v>
      </c>
      <c r="I1014" s="12">
        <v>1.5758537376942883E-2</v>
      </c>
      <c r="J1014" s="12">
        <v>1.6737774860518639E-2</v>
      </c>
      <c r="K1014" s="12">
        <v>-5.2663808940600632E-3</v>
      </c>
      <c r="L1014" s="12">
        <v>1.4510683265032576E-2</v>
      </c>
      <c r="M1014" s="13">
        <f t="shared" si="103"/>
        <v>4.2923370156062535E-3</v>
      </c>
      <c r="N1014" s="32">
        <f t="shared" si="104"/>
        <v>235.65111221189059</v>
      </c>
      <c r="O1014" s="32">
        <f t="shared" si="105"/>
        <v>171.78682740370505</v>
      </c>
      <c r="P1014" s="12" t="str">
        <f t="shared" si="106"/>
        <v/>
      </c>
      <c r="Q1014" s="13">
        <f t="shared" si="107"/>
        <v>-3.8673150411596465E-4</v>
      </c>
      <c r="R1014" s="49">
        <f t="shared" si="108"/>
        <v>1</v>
      </c>
    </row>
    <row r="1015" spans="1:18" x14ac:dyDescent="0.35">
      <c r="A1015" s="64" t="s">
        <v>77</v>
      </c>
      <c r="B1015" s="14">
        <v>-1.7116048520571248E-4</v>
      </c>
      <c r="C1015" s="12">
        <v>1.5963413581845387E-3</v>
      </c>
      <c r="D1015" s="12">
        <v>-3.3808362220224542E-3</v>
      </c>
      <c r="E1015" s="12">
        <v>1.4418917619918314E-3</v>
      </c>
      <c r="F1015" s="12">
        <v>-9.2939405607870285E-3</v>
      </c>
      <c r="G1015" s="12">
        <v>1.1565619673727934E-3</v>
      </c>
      <c r="H1015" s="12">
        <v>9.9819143016137701E-3</v>
      </c>
      <c r="I1015" s="12">
        <v>1.4555523998863729E-2</v>
      </c>
      <c r="J1015" s="12">
        <v>2.6468689477081586E-3</v>
      </c>
      <c r="K1015" s="12">
        <v>-4.063038660428453E-3</v>
      </c>
      <c r="L1015" s="12">
        <v>2.210253544027152E-3</v>
      </c>
      <c r="M1015" s="13">
        <f t="shared" si="103"/>
        <v>1.5413973432622692E-3</v>
      </c>
      <c r="N1015" s="32">
        <f t="shared" si="104"/>
        <v>236.01434421019081</v>
      </c>
      <c r="O1015" s="32">
        <f t="shared" si="105"/>
        <v>171.75742428697467</v>
      </c>
      <c r="P1015" s="12" t="str">
        <f t="shared" si="106"/>
        <v/>
      </c>
      <c r="Q1015" s="13">
        <f t="shared" si="107"/>
        <v>1.7125578284679817E-3</v>
      </c>
      <c r="R1015" s="49">
        <f t="shared" si="108"/>
        <v>1</v>
      </c>
    </row>
    <row r="1016" spans="1:18" x14ac:dyDescent="0.35">
      <c r="A1016" s="64">
        <v>11.05</v>
      </c>
      <c r="B1016" s="14">
        <v>3.9716030382763723E-3</v>
      </c>
      <c r="C1016" s="12">
        <v>1.2276545337066569E-2</v>
      </c>
      <c r="D1016" s="12">
        <v>-2.9199587770525337E-3</v>
      </c>
      <c r="E1016" s="12">
        <v>3.45555768861594E-3</v>
      </c>
      <c r="F1016" s="12">
        <v>6.3247531049592798E-3</v>
      </c>
      <c r="G1016" s="12">
        <v>3.9520885267829708E-3</v>
      </c>
      <c r="H1016" s="12">
        <v>7.9203829332974429E-4</v>
      </c>
      <c r="I1016" s="12">
        <v>-3.1457764714115544E-2</v>
      </c>
      <c r="J1016" s="12">
        <v>-1.9960079840319889E-3</v>
      </c>
      <c r="K1016" s="12">
        <v>5.1922363703795771E-3</v>
      </c>
      <c r="L1016" s="12">
        <v>-1.5969986564932093E-3</v>
      </c>
      <c r="M1016" s="13">
        <f t="shared" si="103"/>
        <v>-5.4888147653622925E-3</v>
      </c>
      <c r="N1016" s="32">
        <f t="shared" si="104"/>
        <v>234.71890519285262</v>
      </c>
      <c r="O1016" s="32">
        <f t="shared" si="105"/>
        <v>172.43957659511935</v>
      </c>
      <c r="P1016" s="12">
        <f t="shared" si="106"/>
        <v>-5.4888147653622925E-3</v>
      </c>
      <c r="Q1016" s="13">
        <f t="shared" si="107"/>
        <v>-9.4604178036386648E-3</v>
      </c>
      <c r="R1016" s="49" t="str">
        <f t="shared" si="108"/>
        <v/>
      </c>
    </row>
    <row r="1017" spans="1:18" x14ac:dyDescent="0.35">
      <c r="A1017" s="64" t="s">
        <v>77</v>
      </c>
      <c r="B1017" s="14">
        <v>-1.8227794573267841E-3</v>
      </c>
      <c r="C1017" s="12">
        <v>6.2978723404254477E-3</v>
      </c>
      <c r="D1017" s="12">
        <v>-1.9379844961240345E-3</v>
      </c>
      <c r="E1017" s="12">
        <v>1.4826860531853558E-3</v>
      </c>
      <c r="F1017" s="12">
        <v>3.2653921103913408E-3</v>
      </c>
      <c r="G1017" s="12">
        <v>-1.3868701550387552E-2</v>
      </c>
      <c r="H1017" s="12">
        <v>-1.2972266189525739E-2</v>
      </c>
      <c r="I1017" s="12">
        <v>-2.1857726073918893E-2</v>
      </c>
      <c r="J1017" s="12">
        <v>3.1096774193548393E-2</v>
      </c>
      <c r="K1017" s="12">
        <v>-6.1493051285205214E-3</v>
      </c>
      <c r="L1017" s="12">
        <v>-8.5817295485705047E-3</v>
      </c>
      <c r="M1017" s="13">
        <f t="shared" si="103"/>
        <v>-7.3710272519863403E-3</v>
      </c>
      <c r="N1017" s="32">
        <f t="shared" si="104"/>
        <v>232.9887857461197</v>
      </c>
      <c r="O1017" s="32">
        <f t="shared" si="105"/>
        <v>172.12525727727163</v>
      </c>
      <c r="P1017" s="12">
        <f t="shared" si="106"/>
        <v>-7.3710272519863403E-3</v>
      </c>
      <c r="Q1017" s="13">
        <f t="shared" si="107"/>
        <v>-5.5482477946595561E-3</v>
      </c>
      <c r="R1017" s="49" t="str">
        <f t="shared" si="108"/>
        <v/>
      </c>
    </row>
    <row r="1018" spans="1:18" x14ac:dyDescent="0.35">
      <c r="A1018" s="64" t="s">
        <v>77</v>
      </c>
      <c r="B1018" s="14">
        <v>-4.7489058725858069E-4</v>
      </c>
      <c r="C1018" s="12">
        <v>-2.6217861975641465E-3</v>
      </c>
      <c r="D1018" s="12">
        <v>2.1574973031284195E-3</v>
      </c>
      <c r="E1018" s="12">
        <v>2.0846267730073142E-2</v>
      </c>
      <c r="F1018" s="12">
        <v>-2.8172957460583792E-3</v>
      </c>
      <c r="G1018" s="12">
        <v>3.8076521525516327E-3</v>
      </c>
      <c r="H1018" s="12">
        <v>-7.1814537214571761E-3</v>
      </c>
      <c r="I1018" s="12">
        <v>6.1313437246064417E-3</v>
      </c>
      <c r="J1018" s="12">
        <v>3.7542235014398351E-4</v>
      </c>
      <c r="K1018" s="12">
        <v>1.4973394381883276E-2</v>
      </c>
      <c r="L1018" s="12">
        <v>-5.1731202622414818E-3</v>
      </c>
      <c r="M1018" s="13">
        <f t="shared" si="103"/>
        <v>7.1396600675022832E-3</v>
      </c>
      <c r="N1018" s="32">
        <f t="shared" si="104"/>
        <v>234.6522464758871</v>
      </c>
      <c r="O1018" s="32">
        <f t="shared" si="105"/>
        <v>172.04351661276118</v>
      </c>
      <c r="P1018" s="12" t="str">
        <f t="shared" si="106"/>
        <v/>
      </c>
      <c r="Q1018" s="13">
        <f t="shared" si="107"/>
        <v>7.6145506547608639E-3</v>
      </c>
      <c r="R1018" s="49">
        <f t="shared" si="108"/>
        <v>1</v>
      </c>
    </row>
    <row r="1019" spans="1:18" x14ac:dyDescent="0.35">
      <c r="A1019" s="64" t="s">
        <v>77</v>
      </c>
      <c r="B1019" s="14">
        <v>-9.1912770030079249E-3</v>
      </c>
      <c r="C1019" s="12">
        <v>-2.1622996692953533E-2</v>
      </c>
      <c r="D1019" s="12">
        <v>2.1528525296017342E-3</v>
      </c>
      <c r="E1019" s="12">
        <v>-6.8068583191035481E-3</v>
      </c>
      <c r="F1019" s="12">
        <v>-9.1601445969186068E-3</v>
      </c>
      <c r="G1019" s="12">
        <v>1.4744570204955787E-2</v>
      </c>
      <c r="H1019" s="12">
        <v>-3.6167000245795888E-3</v>
      </c>
      <c r="I1019" s="12">
        <v>-4.2951541850219099E-3</v>
      </c>
      <c r="J1019" s="12">
        <v>-1.7638228671503553E-2</v>
      </c>
      <c r="K1019" s="12">
        <v>1.524018532065341E-2</v>
      </c>
      <c r="L1019" s="12">
        <v>-7.0277506049527538E-3</v>
      </c>
      <c r="M1019" s="13">
        <f t="shared" si="103"/>
        <v>1.033188768284186E-3</v>
      </c>
      <c r="N1019" s="32">
        <f t="shared" si="104"/>
        <v>234.89468654139864</v>
      </c>
      <c r="O1019" s="32">
        <f t="shared" si="105"/>
        <v>170.46221699500171</v>
      </c>
      <c r="P1019" s="12" t="str">
        <f t="shared" si="106"/>
        <v/>
      </c>
      <c r="Q1019" s="13">
        <f t="shared" si="107"/>
        <v>1.022446577129211E-2</v>
      </c>
      <c r="R1019" s="49">
        <f t="shared" si="108"/>
        <v>1</v>
      </c>
    </row>
    <row r="1020" spans="1:18" x14ac:dyDescent="0.35">
      <c r="A1020" s="64" t="s">
        <v>77</v>
      </c>
      <c r="B1020" s="14">
        <v>2.1457820892740731E-3</v>
      </c>
      <c r="C1020" s="12">
        <v>-8.2336626798407142E-4</v>
      </c>
      <c r="D1020" s="12">
        <v>-6.1697099892588647E-2</v>
      </c>
      <c r="E1020" s="12">
        <v>3.061705134244086E-4</v>
      </c>
      <c r="F1020" s="12">
        <v>-6.7830830263531094E-3</v>
      </c>
      <c r="G1020" s="12">
        <v>-1.3203906909441843E-2</v>
      </c>
      <c r="H1020" s="12">
        <v>-1.903016633774901E-3</v>
      </c>
      <c r="I1020" s="12">
        <v>-4.6086347380451809E-3</v>
      </c>
      <c r="J1020" s="12">
        <v>-1.1842607920540038E-2</v>
      </c>
      <c r="K1020" s="12">
        <v>-2.76209919538839E-3</v>
      </c>
      <c r="L1020" s="12">
        <v>3.4480076737612997E-3</v>
      </c>
      <c r="M1020" s="13">
        <f t="shared" si="103"/>
        <v>-1.7819289831276692E-2</v>
      </c>
      <c r="N1020" s="32">
        <f t="shared" si="104"/>
        <v>230.70903004209057</v>
      </c>
      <c r="O1020" s="32">
        <f t="shared" si="105"/>
        <v>170.82799176712754</v>
      </c>
      <c r="P1020" s="12">
        <f t="shared" si="106"/>
        <v>-1.7819289831276692E-2</v>
      </c>
      <c r="Q1020" s="13">
        <f t="shared" si="107"/>
        <v>-1.9965071920550765E-2</v>
      </c>
      <c r="R1020" s="49" t="str">
        <f t="shared" si="108"/>
        <v/>
      </c>
    </row>
    <row r="1021" spans="1:18" x14ac:dyDescent="0.35">
      <c r="A1021" s="64">
        <v>11</v>
      </c>
      <c r="B1021" s="14">
        <v>-2.994908655286066E-4</v>
      </c>
      <c r="C1021" s="12">
        <v>3.6431452487313276E-3</v>
      </c>
      <c r="D1021" s="12">
        <v>-1.7033746966436225E-2</v>
      </c>
      <c r="E1021" s="12">
        <v>8.0521743225105968E-3</v>
      </c>
      <c r="F1021" s="12">
        <v>6.6867566555517399E-3</v>
      </c>
      <c r="G1021" s="12">
        <v>-1.7046495998044753E-2</v>
      </c>
      <c r="H1021" s="12">
        <v>-5.2609279005719767E-3</v>
      </c>
      <c r="I1021" s="12">
        <v>-9.7414623305429604E-3</v>
      </c>
      <c r="J1021" s="12">
        <v>-1.224226804123707E-3</v>
      </c>
      <c r="K1021" s="12">
        <v>-6.3824662813102284E-3</v>
      </c>
      <c r="L1021" s="12">
        <v>-2.8161008629152828E-3</v>
      </c>
      <c r="M1021" s="13">
        <f t="shared" si="103"/>
        <v>-7.3421344001421245E-3</v>
      </c>
      <c r="N1021" s="32">
        <f t="shared" si="104"/>
        <v>229.01513333619513</v>
      </c>
      <c r="O1021" s="32">
        <f t="shared" si="105"/>
        <v>170.7768303440167</v>
      </c>
      <c r="P1021" s="12">
        <f t="shared" si="106"/>
        <v>-7.3421344001421245E-3</v>
      </c>
      <c r="Q1021" s="13">
        <f t="shared" si="107"/>
        <v>-7.0426435346135179E-3</v>
      </c>
      <c r="R1021" s="49" t="str">
        <f t="shared" si="108"/>
        <v/>
      </c>
    </row>
    <row r="1022" spans="1:18" x14ac:dyDescent="0.35">
      <c r="A1022" s="64" t="s">
        <v>77</v>
      </c>
      <c r="B1022" s="14">
        <v>2.6514603692762151E-3</v>
      </c>
      <c r="C1022" s="12">
        <v>8.5994555118620308E-3</v>
      </c>
      <c r="D1022" s="12">
        <v>-8.1986304560487389E-3</v>
      </c>
      <c r="E1022" s="12">
        <v>-3.6435828564755912E-3</v>
      </c>
      <c r="F1022" s="12">
        <v>1.2044778234379105E-3</v>
      </c>
      <c r="G1022" s="12">
        <v>4.4753853804078148E-3</v>
      </c>
      <c r="H1022" s="12">
        <v>8.7317644553295271E-3</v>
      </c>
      <c r="I1022" s="12">
        <v>1.5410510566672864E-2</v>
      </c>
      <c r="J1022" s="12">
        <v>-2.7869169730985077E-2</v>
      </c>
      <c r="K1022" s="12">
        <v>2.9087383347472517E-3</v>
      </c>
      <c r="L1022" s="12">
        <v>1.2021659714485544E-2</v>
      </c>
      <c r="M1022" s="13">
        <f t="shared" si="103"/>
        <v>2.9058463998435933E-3</v>
      </c>
      <c r="N1022" s="32">
        <f t="shared" si="104"/>
        <v>229.68061613690983</v>
      </c>
      <c r="O1022" s="32">
        <f t="shared" si="105"/>
        <v>171.22963834166447</v>
      </c>
      <c r="P1022" s="12" t="str">
        <f t="shared" si="106"/>
        <v/>
      </c>
      <c r="Q1022" s="13">
        <f t="shared" si="107"/>
        <v>2.5438603056737816E-4</v>
      </c>
      <c r="R1022" s="49">
        <f t="shared" si="108"/>
        <v>1</v>
      </c>
    </row>
    <row r="1023" spans="1:18" x14ac:dyDescent="0.35">
      <c r="A1023" s="64" t="s">
        <v>77</v>
      </c>
      <c r="B1023" s="14">
        <v>1.6141440228589765E-3</v>
      </c>
      <c r="C1023" s="12">
        <v>1.1568123393315144E-3</v>
      </c>
      <c r="D1023" s="12">
        <v>-1.1648114226668449E-2</v>
      </c>
      <c r="E1023" s="12">
        <v>1.2564757729904619E-2</v>
      </c>
      <c r="F1023" s="12">
        <v>-5.5020876088033299E-3</v>
      </c>
      <c r="G1023" s="12">
        <v>-9.3440594059405191E-3</v>
      </c>
      <c r="H1023" s="12">
        <v>-8.1283648263485997E-3</v>
      </c>
      <c r="I1023" s="12">
        <v>-3.8309942166722122E-3</v>
      </c>
      <c r="J1023" s="12">
        <v>1.5196761563474714E-2</v>
      </c>
      <c r="K1023" s="12">
        <v>-1.2688821752265822E-2</v>
      </c>
      <c r="L1023" s="12">
        <v>-7.9363047541025633E-3</v>
      </c>
      <c r="M1023" s="13">
        <f t="shared" si="103"/>
        <v>-6.3805024097355976E-3</v>
      </c>
      <c r="N1023" s="32">
        <f t="shared" si="104"/>
        <v>228.2151384121787</v>
      </c>
      <c r="O1023" s="32">
        <f t="shared" si="105"/>
        <v>171.50602763892996</v>
      </c>
      <c r="P1023" s="12">
        <f t="shared" si="106"/>
        <v>-6.3805024097355976E-3</v>
      </c>
      <c r="Q1023" s="13">
        <f t="shared" si="107"/>
        <v>-7.9946464325945741E-3</v>
      </c>
      <c r="R1023" s="49" t="str">
        <f t="shared" si="108"/>
        <v/>
      </c>
    </row>
    <row r="1024" spans="1:18" x14ac:dyDescent="0.35">
      <c r="A1024" s="64" t="s">
        <v>77</v>
      </c>
      <c r="B1024" s="14">
        <v>-3.3002338451409985E-3</v>
      </c>
      <c r="C1024" s="12">
        <v>-1.5277956091924505E-2</v>
      </c>
      <c r="D1024" s="12">
        <v>-2.627952288171842E-2</v>
      </c>
      <c r="E1024" s="12">
        <v>1.3427480032410788E-3</v>
      </c>
      <c r="F1024" s="12">
        <v>1.4765267820611161E-3</v>
      </c>
      <c r="G1024" s="12">
        <v>3.2481729027422634E-3</v>
      </c>
      <c r="H1024" s="12">
        <v>2.9374201787994991E-2</v>
      </c>
      <c r="I1024" s="12">
        <v>1.3497023259253726E-2</v>
      </c>
      <c r="J1024" s="12">
        <v>8.5632108772388804E-3</v>
      </c>
      <c r="K1024" s="12">
        <v>-3.7943696450428721E-3</v>
      </c>
      <c r="L1024" s="12">
        <v>-2.1341384738458369E-2</v>
      </c>
      <c r="M1024" s="13">
        <f t="shared" si="103"/>
        <v>-8.9113872796176448E-3</v>
      </c>
      <c r="N1024" s="32">
        <f t="shared" si="104"/>
        <v>226.18142493071625</v>
      </c>
      <c r="O1024" s="32">
        <f t="shared" si="105"/>
        <v>170.94001764187027</v>
      </c>
      <c r="P1024" s="12">
        <f t="shared" si="106"/>
        <v>-8.9113872796176448E-3</v>
      </c>
      <c r="Q1024" s="13">
        <f t="shared" si="107"/>
        <v>-5.6111534344766463E-3</v>
      </c>
      <c r="R1024" s="49" t="str">
        <f t="shared" si="108"/>
        <v/>
      </c>
    </row>
    <row r="1025" spans="1:18" x14ac:dyDescent="0.35">
      <c r="A1025" s="64" t="s">
        <v>77</v>
      </c>
      <c r="B1025" s="14">
        <v>-1.8614747655095742E-2</v>
      </c>
      <c r="C1025" s="12">
        <v>-1.8209474141677506E-2</v>
      </c>
      <c r="D1025" s="12">
        <v>8.8823816495851027E-3</v>
      </c>
      <c r="E1025" s="12">
        <v>-6.0527593461725093E-2</v>
      </c>
      <c r="F1025" s="12">
        <v>2.7355407133720089E-3</v>
      </c>
      <c r="G1025" s="12">
        <v>-4.6696967810223589E-3</v>
      </c>
      <c r="H1025" s="12">
        <v>-1.0683760683760646E-3</v>
      </c>
      <c r="I1025" s="12">
        <v>-1.4594279042615343E-2</v>
      </c>
      <c r="J1025" s="12">
        <v>-3.2276881197744411E-2</v>
      </c>
      <c r="K1025" s="12">
        <v>6.8804521439980171E-3</v>
      </c>
      <c r="L1025" s="12">
        <v>-8.0160320641282645E-3</v>
      </c>
      <c r="M1025" s="13">
        <f t="shared" si="103"/>
        <v>-8.6038975107362511E-3</v>
      </c>
      <c r="N1025" s="32">
        <f t="shared" si="104"/>
        <v>224.23538313178008</v>
      </c>
      <c r="O1025" s="32">
        <f t="shared" si="105"/>
        <v>167.75801234930924</v>
      </c>
      <c r="P1025" s="12">
        <f t="shared" si="106"/>
        <v>-8.6038975107362511E-3</v>
      </c>
      <c r="Q1025" s="13">
        <f t="shared" si="107"/>
        <v>1.0010850144359491E-2</v>
      </c>
      <c r="R1025" s="49" t="str">
        <f t="shared" si="108"/>
        <v/>
      </c>
    </row>
    <row r="1026" spans="1:18" x14ac:dyDescent="0.35">
      <c r="A1026" s="64">
        <v>11</v>
      </c>
      <c r="B1026" s="14">
        <v>4.0925781489629109E-3</v>
      </c>
      <c r="C1026" s="12">
        <v>-1.327962462927712E-2</v>
      </c>
      <c r="D1026" s="12">
        <v>7.4013157894736725E-3</v>
      </c>
      <c r="E1026" s="12">
        <v>9.892949427833031E-3</v>
      </c>
      <c r="F1026" s="12">
        <v>5.4207263064658395E-3</v>
      </c>
      <c r="G1026" s="12">
        <v>1.6889778556234969E-3</v>
      </c>
      <c r="H1026" s="12">
        <v>3.070553734690229E-3</v>
      </c>
      <c r="I1026" s="12">
        <v>9.6638033175355798E-3</v>
      </c>
      <c r="J1026" s="12">
        <v>3.5362668274060649E-2</v>
      </c>
      <c r="K1026" s="12">
        <v>2.9286150091518692E-3</v>
      </c>
      <c r="L1026" s="12">
        <v>9.1174906964381908E-3</v>
      </c>
      <c r="M1026" s="13">
        <f t="shared" si="103"/>
        <v>7.4742251429450422E-3</v>
      </c>
      <c r="N1026" s="32">
        <f t="shared" si="104"/>
        <v>225.91136887032152</v>
      </c>
      <c r="O1026" s="32">
        <f t="shared" si="105"/>
        <v>168.44457512496348</v>
      </c>
      <c r="P1026" s="12" t="str">
        <f t="shared" si="106"/>
        <v/>
      </c>
      <c r="Q1026" s="13">
        <f t="shared" si="107"/>
        <v>3.3816469939821313E-3</v>
      </c>
      <c r="R1026" s="49">
        <f t="shared" si="108"/>
        <v>1</v>
      </c>
    </row>
    <row r="1027" spans="1:18" x14ac:dyDescent="0.35">
      <c r="A1027" s="64" t="s">
        <v>77</v>
      </c>
      <c r="B1027" s="14">
        <v>-2.8121072475911779E-3</v>
      </c>
      <c r="C1027" s="12">
        <v>-4.0375039253510714E-3</v>
      </c>
      <c r="D1027" s="12">
        <v>-9.2677070828331987E-3</v>
      </c>
      <c r="E1027" s="12">
        <v>-4.6543363306285057E-3</v>
      </c>
      <c r="F1027" s="12">
        <v>-1.7249277609415636E-2</v>
      </c>
      <c r="G1027" s="12">
        <v>-1.1802910135514821E-2</v>
      </c>
      <c r="H1027" s="12">
        <v>3.8178441218958969E-3</v>
      </c>
      <c r="I1027" s="12">
        <v>-9.167919615680864E-3</v>
      </c>
      <c r="J1027" s="12">
        <v>3.1049873859887445E-3</v>
      </c>
      <c r="K1027" s="12">
        <v>3.1634018737072278E-3</v>
      </c>
      <c r="L1027" s="12">
        <v>-8.1921871295735915E-3</v>
      </c>
      <c r="M1027" s="13">
        <f t="shared" si="103"/>
        <v>-5.6428495671620562E-3</v>
      </c>
      <c r="N1027" s="32">
        <f t="shared" si="104"/>
        <v>224.63658500027464</v>
      </c>
      <c r="O1027" s="32">
        <f t="shared" si="105"/>
        <v>167.97089091443715</v>
      </c>
      <c r="P1027" s="12">
        <f t="shared" si="106"/>
        <v>-5.6428495671620562E-3</v>
      </c>
      <c r="Q1027" s="13">
        <f t="shared" si="107"/>
        <v>-2.8307423195708782E-3</v>
      </c>
      <c r="R1027" s="49" t="str">
        <f t="shared" si="108"/>
        <v/>
      </c>
    </row>
    <row r="1028" spans="1:18" x14ac:dyDescent="0.35">
      <c r="A1028" s="64" t="s">
        <v>77</v>
      </c>
      <c r="B1028" s="14">
        <v>1.2265675189796932E-2</v>
      </c>
      <c r="C1028" s="12">
        <v>6.486194315571403E-3</v>
      </c>
      <c r="D1028" s="12">
        <v>6.0585498255136816E-3</v>
      </c>
      <c r="E1028" s="12">
        <v>7.3446604318661013E-3</v>
      </c>
      <c r="F1028" s="12">
        <v>1.6601825125051484E-2</v>
      </c>
      <c r="G1028" s="12">
        <v>6.9514661274006073E-4</v>
      </c>
      <c r="H1028" s="12">
        <v>4.9340414596539262E-3</v>
      </c>
      <c r="I1028" s="12">
        <v>2.1281320552203997E-2</v>
      </c>
      <c r="J1028" s="12">
        <v>-2.6246211388405216E-2</v>
      </c>
      <c r="K1028" s="12">
        <v>1.4918132201334089E-2</v>
      </c>
      <c r="L1028" s="12">
        <v>1.8192924678636091E-2</v>
      </c>
      <c r="M1028" s="13">
        <f t="shared" si="103"/>
        <v>1.32153931342033E-2</v>
      </c>
      <c r="N1028" s="32">
        <f t="shared" si="104"/>
        <v>227.60524578337817</v>
      </c>
      <c r="O1028" s="32">
        <f t="shared" si="105"/>
        <v>170.03116730373443</v>
      </c>
      <c r="P1028" s="12" t="str">
        <f t="shared" si="106"/>
        <v/>
      </c>
      <c r="Q1028" s="13">
        <f t="shared" si="107"/>
        <v>9.4971794440636831E-4</v>
      </c>
      <c r="R1028" s="49">
        <f t="shared" si="108"/>
        <v>1</v>
      </c>
    </row>
    <row r="1029" spans="1:18" x14ac:dyDescent="0.35">
      <c r="A1029" s="64" t="s">
        <v>77</v>
      </c>
      <c r="B1029" s="14">
        <v>2.5295879476236127E-2</v>
      </c>
      <c r="C1029" s="12">
        <v>-3.2669501006936663E-3</v>
      </c>
      <c r="D1029" s="12">
        <v>2.9050440815146628E-2</v>
      </c>
      <c r="E1029" s="12">
        <v>2.1192825548048466E-2</v>
      </c>
      <c r="F1029" s="12">
        <v>5.230763804384253E-2</v>
      </c>
      <c r="G1029" s="12">
        <v>-2.9681086201452933E-3</v>
      </c>
      <c r="H1029" s="12">
        <v>4.810937979474228E-2</v>
      </c>
      <c r="I1029" s="12">
        <v>6.9652823077480663E-2</v>
      </c>
      <c r="J1029" s="12">
        <v>-2.5430463576158968E-2</v>
      </c>
      <c r="K1029" s="12">
        <v>-2.8680688336520932E-3</v>
      </c>
      <c r="L1029" s="12">
        <v>8.7409030440566582E-2</v>
      </c>
      <c r="M1029" s="13">
        <f t="shared" si="103"/>
        <v>3.856320934187564E-2</v>
      </c>
      <c r="N1029" s="32">
        <f t="shared" si="104"/>
        <v>236.38243452383165</v>
      </c>
      <c r="O1029" s="32">
        <f t="shared" si="105"/>
        <v>174.33225521905345</v>
      </c>
      <c r="P1029" s="12" t="str">
        <f t="shared" si="106"/>
        <v/>
      </c>
      <c r="Q1029" s="13">
        <f t="shared" si="107"/>
        <v>1.3267329865639513E-2</v>
      </c>
      <c r="R1029" s="49">
        <f t="shared" si="108"/>
        <v>1</v>
      </c>
    </row>
    <row r="1030" spans="1:18" x14ac:dyDescent="0.35">
      <c r="A1030" s="64" t="s">
        <v>77</v>
      </c>
      <c r="B1030" s="14">
        <v>7.4312198939459062E-3</v>
      </c>
      <c r="C1030" s="12">
        <v>2.1372126436781658E-2</v>
      </c>
      <c r="D1030" s="12">
        <v>4.2134831460671762E-4</v>
      </c>
      <c r="E1030" s="12">
        <v>1.2494645152077766E-2</v>
      </c>
      <c r="F1030" s="12">
        <v>1.468099012887758E-2</v>
      </c>
      <c r="G1030" s="12">
        <v>-7.2840131745629533E-3</v>
      </c>
      <c r="H1030" s="12">
        <v>-5.2049446974624658E-3</v>
      </c>
      <c r="I1030" s="12">
        <v>-2.8255861227808765E-2</v>
      </c>
      <c r="J1030" s="12">
        <v>2.5958140799130058E-2</v>
      </c>
      <c r="K1030" s="12">
        <v>4.9137104506231655E-3</v>
      </c>
      <c r="L1030" s="12">
        <v>-2.0797351755901028E-2</v>
      </c>
      <c r="M1030" s="13">
        <f t="shared" si="103"/>
        <v>-6.027949189812698E-3</v>
      </c>
      <c r="N1030" s="32">
        <f t="shared" si="104"/>
        <v>234.95753321915774</v>
      </c>
      <c r="O1030" s="32">
        <f t="shared" si="105"/>
        <v>175.62775654219374</v>
      </c>
      <c r="P1030" s="12">
        <f t="shared" si="106"/>
        <v>-6.027949189812698E-3</v>
      </c>
      <c r="Q1030" s="13">
        <f t="shared" si="107"/>
        <v>-1.3459169083758604E-2</v>
      </c>
      <c r="R1030" s="49" t="str">
        <f t="shared" si="108"/>
        <v/>
      </c>
    </row>
    <row r="1031" spans="1:18" x14ac:dyDescent="0.35">
      <c r="A1031" s="64">
        <v>11</v>
      </c>
      <c r="B1031" s="14">
        <v>3.7568431802581514E-3</v>
      </c>
      <c r="C1031" s="12">
        <v>-2.2859152452961995E-3</v>
      </c>
      <c r="D1031" s="12">
        <v>1.4039028499235329E-4</v>
      </c>
      <c r="E1031" s="12">
        <v>-6.7931269539054373E-3</v>
      </c>
      <c r="F1031" s="12">
        <v>1.7111239573870618E-2</v>
      </c>
      <c r="G1031" s="12">
        <v>-8.0393032603840453E-3</v>
      </c>
      <c r="H1031" s="12">
        <v>6.7691301504251289E-3</v>
      </c>
      <c r="I1031" s="12">
        <v>2.7194756293147382E-3</v>
      </c>
      <c r="J1031" s="12">
        <v>4.6363756788980748E-3</v>
      </c>
      <c r="K1031" s="12">
        <v>1.168753726893268E-2</v>
      </c>
      <c r="L1031" s="12">
        <v>-3.6353837485607832E-2</v>
      </c>
      <c r="M1031" s="13">
        <f t="shared" si="103"/>
        <v>-3.9513010333789168E-3</v>
      </c>
      <c r="N1031" s="32">
        <f t="shared" si="104"/>
        <v>234.02914527534872</v>
      </c>
      <c r="O1031" s="32">
        <f t="shared" si="105"/>
        <v>176.28756248162333</v>
      </c>
      <c r="P1031" s="12">
        <f t="shared" si="106"/>
        <v>-3.9513010333789168E-3</v>
      </c>
      <c r="Q1031" s="13">
        <f t="shared" si="107"/>
        <v>-7.7081442136370682E-3</v>
      </c>
      <c r="R1031" s="49" t="str">
        <f t="shared" si="108"/>
        <v/>
      </c>
    </row>
    <row r="1032" spans="1:18" x14ac:dyDescent="0.35">
      <c r="A1032" s="64" t="s">
        <v>77</v>
      </c>
      <c r="B1032" s="14">
        <v>9.6905366322297404E-4</v>
      </c>
      <c r="C1032" s="12">
        <v>-1.2028551286570432E-2</v>
      </c>
      <c r="D1032" s="12">
        <v>-7.0185289163393616E-4</v>
      </c>
      <c r="E1032" s="12">
        <v>-1.072087849671044E-2</v>
      </c>
      <c r="F1032" s="12">
        <v>1.5329403549796394E-2</v>
      </c>
      <c r="G1032" s="12">
        <v>-2.7658069080852554E-3</v>
      </c>
      <c r="H1032" s="12">
        <v>9.9067788352227293E-3</v>
      </c>
      <c r="I1032" s="12">
        <v>1.8671766342141849E-2</v>
      </c>
      <c r="J1032" s="12">
        <v>-1.7932489451476741E-2</v>
      </c>
      <c r="K1032" s="12">
        <v>-7.3087351172934634E-3</v>
      </c>
      <c r="L1032" s="12">
        <v>8.0585708111955423E-3</v>
      </c>
      <c r="M1032" s="13">
        <f t="shared" si="103"/>
        <v>1.6486572731617894E-3</v>
      </c>
      <c r="N1032" s="32">
        <f t="shared" si="104"/>
        <v>234.41497912783876</v>
      </c>
      <c r="O1032" s="32">
        <f t="shared" si="105"/>
        <v>176.45839458982678</v>
      </c>
      <c r="P1032" s="12" t="str">
        <f t="shared" si="106"/>
        <v/>
      </c>
      <c r="Q1032" s="13">
        <f t="shared" si="107"/>
        <v>6.7960360993881536E-4</v>
      </c>
      <c r="R1032" s="49">
        <f t="shared" si="108"/>
        <v>1</v>
      </c>
    </row>
    <row r="1033" spans="1:18" x14ac:dyDescent="0.35">
      <c r="A1033" s="64" t="s">
        <v>77</v>
      </c>
      <c r="B1033" s="14">
        <v>-2.8926824797754769E-3</v>
      </c>
      <c r="C1033" s="12">
        <v>0</v>
      </c>
      <c r="D1033" s="12">
        <v>-1.268904808727811E-2</v>
      </c>
      <c r="E1033" s="12">
        <v>1.2009282074591399E-2</v>
      </c>
      <c r="F1033" s="12">
        <v>-1.6921231507397105E-2</v>
      </c>
      <c r="G1033" s="12">
        <v>-1.547987616099078E-2</v>
      </c>
      <c r="H1033" s="12">
        <v>-3.4413997169689958E-3</v>
      </c>
      <c r="I1033" s="12">
        <v>-1.5223401713486129E-2</v>
      </c>
      <c r="J1033" s="12">
        <v>-2.544307196562845E-2</v>
      </c>
      <c r="K1033" s="12">
        <v>9.2625578909868445E-3</v>
      </c>
      <c r="L1033" s="12">
        <v>-8.9020023200686582E-3</v>
      </c>
      <c r="M1033" s="13">
        <f t="shared" si="103"/>
        <v>-4.1893177235697264E-3</v>
      </c>
      <c r="N1033" s="32">
        <f t="shared" si="104"/>
        <v>233.43294030110829</v>
      </c>
      <c r="O1033" s="32">
        <f t="shared" si="105"/>
        <v>175.94795648338749</v>
      </c>
      <c r="P1033" s="12">
        <f t="shared" si="106"/>
        <v>-4.1893177235697264E-3</v>
      </c>
      <c r="Q1033" s="13">
        <f t="shared" si="107"/>
        <v>-1.2966352437942495E-3</v>
      </c>
      <c r="R1033" s="49" t="str">
        <f t="shared" si="108"/>
        <v/>
      </c>
    </row>
    <row r="1034" spans="1:18" x14ac:dyDescent="0.35">
      <c r="A1034" s="64" t="s">
        <v>77</v>
      </c>
      <c r="B1034" s="14">
        <v>2.3228648443596178E-4</v>
      </c>
      <c r="C1034" s="12">
        <v>3.9691388306650754E-3</v>
      </c>
      <c r="D1034" s="12">
        <v>2.8454898985086352E-4</v>
      </c>
      <c r="E1034" s="12">
        <v>5.1296598349999112E-3</v>
      </c>
      <c r="F1034" s="12">
        <v>-1.4316625180991305E-2</v>
      </c>
      <c r="G1034" s="12">
        <v>3.9308176100629755E-3</v>
      </c>
      <c r="H1034" s="12">
        <v>-1.1941261900919597E-3</v>
      </c>
      <c r="I1034" s="12">
        <v>-3.0154933971092701E-3</v>
      </c>
      <c r="J1034" s="12">
        <v>-3.582007301784107E-2</v>
      </c>
      <c r="K1034" s="12">
        <v>6.0007059654076933E-3</v>
      </c>
      <c r="L1034" s="12">
        <v>-1.5114119233607282E-2</v>
      </c>
      <c r="M1034" s="13">
        <f t="shared" si="103"/>
        <v>-1.0185115232554682E-3</v>
      </c>
      <c r="N1034" s="32">
        <f t="shared" si="104"/>
        <v>233.19518616150421</v>
      </c>
      <c r="O1034" s="32">
        <f t="shared" si="105"/>
        <v>175.98882681564271</v>
      </c>
      <c r="P1034" s="12">
        <f t="shared" si="106"/>
        <v>-1.0185115232554682E-3</v>
      </c>
      <c r="Q1034" s="13">
        <f t="shared" si="107"/>
        <v>-1.25079800769143E-3</v>
      </c>
      <c r="R1034" s="49" t="str">
        <f t="shared" si="108"/>
        <v/>
      </c>
    </row>
    <row r="1035" spans="1:18" x14ac:dyDescent="0.35">
      <c r="A1035" s="64" t="s">
        <v>77</v>
      </c>
      <c r="B1035" s="14">
        <v>-6.0497412027306074E-3</v>
      </c>
      <c r="C1035" s="12">
        <v>1.377043354655294E-2</v>
      </c>
      <c r="D1035" s="12">
        <v>-9.1503887729943445E-3</v>
      </c>
      <c r="E1035" s="12">
        <v>3.9746001881466597E-3</v>
      </c>
      <c r="F1035" s="12">
        <v>-2.0994602802581475E-2</v>
      </c>
      <c r="G1035" s="12">
        <v>-8.9402244844688505E-3</v>
      </c>
      <c r="H1035" s="12">
        <v>-3.9744086855371119E-3</v>
      </c>
      <c r="I1035" s="12">
        <v>2.2945348352108041E-3</v>
      </c>
      <c r="J1035" s="12">
        <v>-1.3074230192184122E-2</v>
      </c>
      <c r="K1035" s="12">
        <v>-1.2046783625730972E-2</v>
      </c>
      <c r="L1035" s="12">
        <v>7.4921848761211329E-4</v>
      </c>
      <c r="M1035" s="13">
        <f t="shared" si="103"/>
        <v>-4.0871226927426691E-3</v>
      </c>
      <c r="N1035" s="32">
        <f t="shared" si="104"/>
        <v>232.24208882430517</v>
      </c>
      <c r="O1035" s="32">
        <f t="shared" si="105"/>
        <v>174.92413995883589</v>
      </c>
      <c r="P1035" s="12">
        <f t="shared" si="106"/>
        <v>-4.0871226927426691E-3</v>
      </c>
      <c r="Q1035" s="13">
        <f t="shared" si="107"/>
        <v>1.9626185099879383E-3</v>
      </c>
      <c r="R1035" s="49" t="str">
        <f t="shared" si="108"/>
        <v/>
      </c>
    </row>
    <row r="1036" spans="1:18" x14ac:dyDescent="0.35">
      <c r="A1036" s="64">
        <v>11.18</v>
      </c>
      <c r="B1036" s="14">
        <v>-1.3203522508181798E-2</v>
      </c>
      <c r="C1036" s="12">
        <v>-1.4109192884059207E-2</v>
      </c>
      <c r="D1036" s="12">
        <v>-1.9139671754629384E-2</v>
      </c>
      <c r="E1036" s="12">
        <v>-2.7852608400290468E-2</v>
      </c>
      <c r="F1036" s="12">
        <v>-1.5510410520104267E-3</v>
      </c>
      <c r="G1036" s="12">
        <v>1.4025153091459686E-2</v>
      </c>
      <c r="H1036" s="12">
        <v>4.5093268450933088E-3</v>
      </c>
      <c r="I1036" s="12">
        <v>-4.960110995490874E-3</v>
      </c>
      <c r="J1036" s="12">
        <v>1.4840017373678904E-2</v>
      </c>
      <c r="K1036" s="12">
        <v>-2.6044749615248275E-3</v>
      </c>
      <c r="L1036" s="12">
        <v>-8.4933911606774881E-3</v>
      </c>
      <c r="M1036" s="13">
        <f t="shared" si="103"/>
        <v>-1.2108411106218447E-2</v>
      </c>
      <c r="N1036" s="32">
        <f t="shared" si="104"/>
        <v>229.43000613665359</v>
      </c>
      <c r="O1036" s="32">
        <f t="shared" si="105"/>
        <v>172.61452513966506</v>
      </c>
      <c r="P1036" s="12">
        <f t="shared" si="106"/>
        <v>-1.2108411106218447E-2</v>
      </c>
      <c r="Q1036" s="13">
        <f t="shared" si="107"/>
        <v>1.0951114019633508E-3</v>
      </c>
      <c r="R1036" s="49" t="str">
        <f t="shared" si="108"/>
        <v/>
      </c>
    </row>
    <row r="1037" spans="1:18" x14ac:dyDescent="0.35">
      <c r="A1037" s="64" t="s">
        <v>77</v>
      </c>
      <c r="B1037" s="14">
        <v>3.9178144727474162E-3</v>
      </c>
      <c r="C1037" s="12">
        <v>1.3422222222222224E-2</v>
      </c>
      <c r="D1037" s="12">
        <v>1.5122688911654247E-2</v>
      </c>
      <c r="E1037" s="12">
        <v>1.8313253012047781E-3</v>
      </c>
      <c r="F1037" s="12">
        <v>-4.3564155817841232E-3</v>
      </c>
      <c r="G1037" s="12">
        <v>5.0000000000001155E-3</v>
      </c>
      <c r="H1037" s="12">
        <v>8.1384834000777229E-3</v>
      </c>
      <c r="I1037" s="12">
        <v>-4.6362463833792278E-3</v>
      </c>
      <c r="J1037" s="12">
        <v>2.6250089164705059E-2</v>
      </c>
      <c r="K1037" s="12">
        <v>-2.0178041543026382E-3</v>
      </c>
      <c r="L1037" s="12">
        <v>1.0154398937693987E-3</v>
      </c>
      <c r="M1037" s="13">
        <f t="shared" si="103"/>
        <v>3.2358685569366719E-3</v>
      </c>
      <c r="N1037" s="32">
        <f t="shared" si="104"/>
        <v>230.17241147952899</v>
      </c>
      <c r="O1037" s="32">
        <f t="shared" si="105"/>
        <v>173.29079682446365</v>
      </c>
      <c r="P1037" s="12" t="str">
        <f t="shared" si="106"/>
        <v/>
      </c>
      <c r="Q1037" s="13">
        <f t="shared" si="107"/>
        <v>-6.8194591581074429E-4</v>
      </c>
      <c r="R1037" s="49">
        <f t="shared" si="108"/>
        <v>1</v>
      </c>
    </row>
    <row r="1038" spans="1:18" x14ac:dyDescent="0.35">
      <c r="A1038" s="64" t="s">
        <v>77</v>
      </c>
      <c r="B1038" s="14">
        <v>3.9636081050355987E-3</v>
      </c>
      <c r="C1038" s="12">
        <v>1.1402508551880963E-3</v>
      </c>
      <c r="D1038" s="12">
        <v>1.0380123984814249E-2</v>
      </c>
      <c r="E1038" s="12">
        <v>4.8826245911102184E-3</v>
      </c>
      <c r="F1038" s="12">
        <v>-2.1453404562028267E-2</v>
      </c>
      <c r="G1038" s="12">
        <v>-1.1436324869160797E-2</v>
      </c>
      <c r="H1038" s="12">
        <v>-9.9308047155310941E-4</v>
      </c>
      <c r="I1038" s="12">
        <v>3.5021363031351171E-5</v>
      </c>
      <c r="J1038" s="12">
        <v>1.2024744561061951E-2</v>
      </c>
      <c r="K1038" s="12">
        <v>2.9971455756422349E-2</v>
      </c>
      <c r="L1038" s="12">
        <v>-5.5402382562554919E-3</v>
      </c>
      <c r="M1038" s="13">
        <f t="shared" si="103"/>
        <v>9.2998066213346355E-3</v>
      </c>
      <c r="N1038" s="32">
        <f t="shared" si="104"/>
        <v>232.31297039585485</v>
      </c>
      <c r="O1038" s="32">
        <f t="shared" si="105"/>
        <v>173.97765363128516</v>
      </c>
      <c r="P1038" s="12" t="str">
        <f t="shared" si="106"/>
        <v/>
      </c>
      <c r="Q1038" s="13">
        <f t="shared" si="107"/>
        <v>5.3361985162990368E-3</v>
      </c>
      <c r="R1038" s="49">
        <f t="shared" si="108"/>
        <v>1</v>
      </c>
    </row>
    <row r="1039" spans="1:18" x14ac:dyDescent="0.35">
      <c r="A1039" s="64" t="s">
        <v>77</v>
      </c>
      <c r="B1039" s="14">
        <v>2.1970667468895755E-5</v>
      </c>
      <c r="C1039" s="12">
        <v>3.1540213772560666E-3</v>
      </c>
      <c r="D1039" s="12">
        <v>2.0689655172413834E-2</v>
      </c>
      <c r="E1039" s="12">
        <v>-5.5051580937791611E-3</v>
      </c>
      <c r="F1039" s="12">
        <v>4.0727902946273931E-2</v>
      </c>
      <c r="G1039" s="12">
        <v>7.1895424836609934E-4</v>
      </c>
      <c r="H1039" s="12">
        <v>-1.4301747635081075E-2</v>
      </c>
      <c r="I1039" s="12">
        <v>7.5643495009629635E-3</v>
      </c>
      <c r="J1039" s="12">
        <v>3.296703296703507E-3</v>
      </c>
      <c r="K1039" s="12">
        <v>6.6974595842956841E-3</v>
      </c>
      <c r="L1039" s="12">
        <v>-2.1708994847382534E-3</v>
      </c>
      <c r="M1039" s="13">
        <f t="shared" si="103"/>
        <v>7.50276560040407E-3</v>
      </c>
      <c r="N1039" s="32">
        <f t="shared" si="104"/>
        <v>234.05596015866857</v>
      </c>
      <c r="O1039" s="32">
        <f t="shared" si="105"/>
        <v>173.98147603646012</v>
      </c>
      <c r="P1039" s="12" t="str">
        <f t="shared" si="106"/>
        <v/>
      </c>
      <c r="Q1039" s="13">
        <f t="shared" si="107"/>
        <v>7.4807949329351742E-3</v>
      </c>
      <c r="R1039" s="49">
        <f t="shared" si="108"/>
        <v>1</v>
      </c>
    </row>
    <row r="1040" spans="1:18" x14ac:dyDescent="0.35">
      <c r="A1040" s="64">
        <v>10.99</v>
      </c>
      <c r="B1040" s="14">
        <v>5.3404449131417842E-3</v>
      </c>
      <c r="C1040" s="12">
        <v>-2.0960698689955759E-3</v>
      </c>
      <c r="D1040" s="12">
        <v>3.6346691519105301E-2</v>
      </c>
      <c r="E1040" s="12">
        <v>-6.3058076006642372E-3</v>
      </c>
      <c r="F1040" s="12">
        <v>-5.0124895920066193E-3</v>
      </c>
      <c r="G1040" s="12">
        <v>1.5609692378028672E-2</v>
      </c>
      <c r="H1040" s="12">
        <v>8.1655226259800262E-3</v>
      </c>
      <c r="I1040" s="12">
        <v>1.8386569809878184E-2</v>
      </c>
      <c r="J1040" s="12">
        <v>-1.8277656078861004E-2</v>
      </c>
      <c r="K1040" s="12">
        <v>1.3879330121587374E-2</v>
      </c>
      <c r="L1040" s="12">
        <v>2.1205766710353791E-2</v>
      </c>
      <c r="M1040" s="13">
        <f t="shared" si="103"/>
        <v>1.9359336758078185E-2</v>
      </c>
      <c r="N1040" s="32">
        <f t="shared" si="104"/>
        <v>238.58712831161557</v>
      </c>
      <c r="O1040" s="32">
        <f t="shared" si="105"/>
        <v>174.91061452513995</v>
      </c>
      <c r="P1040" s="12" t="str">
        <f t="shared" si="106"/>
        <v/>
      </c>
      <c r="Q1040" s="13">
        <f t="shared" si="107"/>
        <v>1.4018891844936401E-2</v>
      </c>
      <c r="R1040" s="49">
        <f t="shared" si="108"/>
        <v>1</v>
      </c>
    </row>
    <row r="1041" spans="1:18" x14ac:dyDescent="0.35">
      <c r="A1041" s="64" t="s">
        <v>77</v>
      </c>
      <c r="B1041" s="14">
        <v>3.4679787718681077E-3</v>
      </c>
      <c r="C1041" s="12">
        <v>5.9075792053211451E-3</v>
      </c>
      <c r="D1041" s="12">
        <v>2.5629496402876928E-3</v>
      </c>
      <c r="E1041" s="12">
        <v>1.0003148690871155E-2</v>
      </c>
      <c r="F1041" s="12">
        <v>-1.1079683341980617E-2</v>
      </c>
      <c r="G1041" s="12">
        <v>-2.1221864951769254E-3</v>
      </c>
      <c r="H1041" s="12">
        <v>6.4536947402604738E-5</v>
      </c>
      <c r="I1041" s="12">
        <v>2.8327645051194672E-2</v>
      </c>
      <c r="J1041" s="12">
        <v>4.1001324872742551E-2</v>
      </c>
      <c r="K1041" s="12">
        <v>2.3192668853942777E-2</v>
      </c>
      <c r="L1041" s="12">
        <v>2.027772786775861E-2</v>
      </c>
      <c r="M1041" s="13">
        <f t="shared" ref="M1041:M1104" si="109">SUMPRODUCT($C$2:$L$2,C1041:L1041)</f>
        <v>1.6187863868027667E-2</v>
      </c>
      <c r="N1041" s="32">
        <f t="shared" ref="N1041:N1104" si="110">+(N1040*(1+M1041))</f>
        <v>242.44934426538768</v>
      </c>
      <c r="O1041" s="32">
        <f t="shared" ref="O1041:O1104" si="111">+(O1040*(1+B1041))</f>
        <v>175.51720082328754</v>
      </c>
      <c r="P1041" s="12" t="str">
        <f t="shared" ref="P1041:P1104" si="112">+IF(M1041&lt;0,M1041,"")</f>
        <v/>
      </c>
      <c r="Q1041" s="13">
        <f t="shared" ref="Q1041:Q1104" si="113">M1041-B1041</f>
        <v>1.271988509615956E-2</v>
      </c>
      <c r="R1041" s="49">
        <f t="shared" ref="R1041:R1104" si="114">+IF(M1041&gt;0,1,"")</f>
        <v>1</v>
      </c>
    </row>
    <row r="1042" spans="1:18" x14ac:dyDescent="0.35">
      <c r="A1042" s="64" t="s">
        <v>77</v>
      </c>
      <c r="B1042" s="14">
        <v>3.0204344198856425E-3</v>
      </c>
      <c r="C1042" s="12">
        <v>1.3050854830991332E-2</v>
      </c>
      <c r="D1042" s="12">
        <v>1.4172310176256975E-2</v>
      </c>
      <c r="E1042" s="12">
        <v>4.2925659472423661E-3</v>
      </c>
      <c r="F1042" s="12">
        <v>2.5318597999560044E-2</v>
      </c>
      <c r="G1042" s="12">
        <v>3.9311722626798051E-3</v>
      </c>
      <c r="H1042" s="12">
        <v>1.0551109963861549E-2</v>
      </c>
      <c r="I1042" s="12">
        <v>1.2977099236641143E-2</v>
      </c>
      <c r="J1042" s="12">
        <v>2.5520798445977544E-2</v>
      </c>
      <c r="K1042" s="12">
        <v>-1.0393631136665138E-2</v>
      </c>
      <c r="L1042" s="12">
        <v>2.0528818335052268E-2</v>
      </c>
      <c r="M1042" s="13">
        <f t="shared" si="109"/>
        <v>8.1539058660006145E-3</v>
      </c>
      <c r="N1042" s="32">
        <f t="shared" si="110"/>
        <v>244.42625339580121</v>
      </c>
      <c r="O1042" s="32">
        <f t="shared" si="111"/>
        <v>176.04733901793617</v>
      </c>
      <c r="P1042" s="12" t="str">
        <f t="shared" si="112"/>
        <v/>
      </c>
      <c r="Q1042" s="13">
        <f t="shared" si="113"/>
        <v>5.1334714461149719E-3</v>
      </c>
      <c r="R1042" s="49">
        <f t="shared" si="114"/>
        <v>1</v>
      </c>
    </row>
    <row r="1043" spans="1:18" x14ac:dyDescent="0.35">
      <c r="A1043" s="64" t="s">
        <v>77</v>
      </c>
      <c r="B1043" s="14">
        <v>5.722044904524104E-3</v>
      </c>
      <c r="C1043" s="12">
        <v>9.4043887147334804E-3</v>
      </c>
      <c r="D1043" s="12">
        <v>1.194003449343306E-2</v>
      </c>
      <c r="E1043" s="12">
        <v>2.1968050813056639E-2</v>
      </c>
      <c r="F1043" s="12">
        <v>1.5846029414190443E-3</v>
      </c>
      <c r="G1043" s="12">
        <v>-8.0883296957247053E-3</v>
      </c>
      <c r="H1043" s="12">
        <v>-4.3743414540694525E-3</v>
      </c>
      <c r="I1043" s="12">
        <v>1.1795157432588077E-3</v>
      </c>
      <c r="J1043" s="12">
        <v>-1.52841280209014E-2</v>
      </c>
      <c r="K1043" s="12">
        <v>2.0223463687150778E-2</v>
      </c>
      <c r="L1043" s="12">
        <v>5.3740909651176505E-3</v>
      </c>
      <c r="M1043" s="13">
        <f t="shared" si="109"/>
        <v>1.1997750199928331E-2</v>
      </c>
      <c r="N1043" s="32">
        <f t="shared" si="110"/>
        <v>247.35881852634844</v>
      </c>
      <c r="O1043" s="32">
        <f t="shared" si="111"/>
        <v>177.05468979711878</v>
      </c>
      <c r="P1043" s="12" t="str">
        <f t="shared" si="112"/>
        <v/>
      </c>
      <c r="Q1043" s="13">
        <f t="shared" si="113"/>
        <v>6.2757052954042266E-3</v>
      </c>
      <c r="R1043" s="49">
        <f t="shared" si="114"/>
        <v>1</v>
      </c>
    </row>
    <row r="1044" spans="1:18" x14ac:dyDescent="0.35">
      <c r="A1044" s="64" t="s">
        <v>77</v>
      </c>
      <c r="B1044" s="14">
        <v>-3.8012963267421984E-3</v>
      </c>
      <c r="C1044" s="12">
        <v>-5.530502850336072E-4</v>
      </c>
      <c r="D1044" s="12">
        <v>-8.3468076738191233E-3</v>
      </c>
      <c r="E1044" s="12">
        <v>-1.1682515946634275E-2</v>
      </c>
      <c r="F1044" s="12">
        <v>2.6203464130918341E-3</v>
      </c>
      <c r="G1044" s="12">
        <v>5.6950556562256338E-3</v>
      </c>
      <c r="H1044" s="12">
        <v>9.2360977487011553E-3</v>
      </c>
      <c r="I1044" s="12">
        <v>-4.3197957914716811E-3</v>
      </c>
      <c r="J1044" s="12">
        <v>1.0878217033696069E-2</v>
      </c>
      <c r="K1044" s="12">
        <v>6.2424707041943694E-3</v>
      </c>
      <c r="L1044" s="12">
        <v>-1.0126768506485528E-2</v>
      </c>
      <c r="M1044" s="13">
        <f t="shared" si="109"/>
        <v>-5.0729777138189859E-3</v>
      </c>
      <c r="N1044" s="32">
        <f t="shared" si="110"/>
        <v>246.10397275264768</v>
      </c>
      <c r="O1044" s="32">
        <f t="shared" si="111"/>
        <v>176.38165245516052</v>
      </c>
      <c r="P1044" s="12">
        <f t="shared" si="112"/>
        <v>-5.0729777138189859E-3</v>
      </c>
      <c r="Q1044" s="13">
        <f t="shared" si="113"/>
        <v>-1.2716813870767875E-3</v>
      </c>
      <c r="R1044" s="49" t="str">
        <f t="shared" si="114"/>
        <v/>
      </c>
    </row>
    <row r="1045" spans="1:18" x14ac:dyDescent="0.35">
      <c r="A1045" s="64" t="s">
        <v>77</v>
      </c>
      <c r="B1045" s="14">
        <v>5.6078443139726541E-3</v>
      </c>
      <c r="C1045" s="12">
        <v>1.0215808964372464E-2</v>
      </c>
      <c r="D1045" s="12">
        <v>2.1593513132380782E-3</v>
      </c>
      <c r="E1045" s="12">
        <v>1.1111373791341528E-3</v>
      </c>
      <c r="F1045" s="12">
        <v>2.9915513330485144E-3</v>
      </c>
      <c r="G1045" s="12">
        <v>-2.5096525096526268E-3</v>
      </c>
      <c r="H1045" s="12">
        <v>1.2074992055925993E-3</v>
      </c>
      <c r="I1045" s="12">
        <v>1.4133114215284515E-3</v>
      </c>
      <c r="J1045" s="12">
        <v>1.9947506561679651E-2</v>
      </c>
      <c r="K1045" s="12">
        <v>6.7479320853287561E-3</v>
      </c>
      <c r="L1045" s="12">
        <v>5.9697795392619213E-3</v>
      </c>
      <c r="M1045" s="13">
        <f t="shared" si="109"/>
        <v>3.5451673205258646E-3</v>
      </c>
      <c r="N1045" s="32">
        <f t="shared" si="110"/>
        <v>246.97645251430194</v>
      </c>
      <c r="O1045" s="32">
        <f t="shared" si="111"/>
        <v>177.3707733019703</v>
      </c>
      <c r="P1045" s="12" t="str">
        <f t="shared" si="112"/>
        <v/>
      </c>
      <c r="Q1045" s="13">
        <f t="shared" si="113"/>
        <v>-2.0626769934467895E-3</v>
      </c>
      <c r="R1045" s="49">
        <f t="shared" si="114"/>
        <v>1</v>
      </c>
    </row>
    <row r="1046" spans="1:18" x14ac:dyDescent="0.35">
      <c r="A1046" s="64" t="s">
        <v>77</v>
      </c>
      <c r="B1046" s="14">
        <v>2.4484531809998433E-3</v>
      </c>
      <c r="C1046" s="12">
        <v>9.5226056545738569E-3</v>
      </c>
      <c r="D1046" s="12">
        <v>-8.7946880084510681E-5</v>
      </c>
      <c r="E1046" s="12">
        <v>1.7758465970811876E-2</v>
      </c>
      <c r="F1046" s="12">
        <v>-2.7531956735498131E-3</v>
      </c>
      <c r="G1046" s="12">
        <v>-1.3547513063671968E-3</v>
      </c>
      <c r="H1046" s="12">
        <v>4.9828614954932071E-3</v>
      </c>
      <c r="I1046" s="12">
        <v>-7.9427596166470327E-3</v>
      </c>
      <c r="J1046" s="12">
        <v>7.0766855378281424E-3</v>
      </c>
      <c r="K1046" s="12">
        <v>1.5135135135135869E-3</v>
      </c>
      <c r="L1046" s="12">
        <v>-8.8645933367806906E-3</v>
      </c>
      <c r="M1046" s="13">
        <f t="shared" si="109"/>
        <v>-2.5592180144369601E-4</v>
      </c>
      <c r="N1046" s="32">
        <f t="shared" si="110"/>
        <v>246.91324585566031</v>
      </c>
      <c r="O1046" s="32">
        <f t="shared" si="111"/>
        <v>177.80505733607791</v>
      </c>
      <c r="P1046" s="12">
        <f t="shared" si="112"/>
        <v>-2.5592180144369601E-4</v>
      </c>
      <c r="Q1046" s="13">
        <f t="shared" si="113"/>
        <v>-2.7043749824435396E-3</v>
      </c>
      <c r="R1046" s="49" t="str">
        <f t="shared" si="114"/>
        <v/>
      </c>
    </row>
    <row r="1047" spans="1:18" x14ac:dyDescent="0.35">
      <c r="A1047" s="64" t="s">
        <v>77</v>
      </c>
      <c r="B1047" s="14">
        <v>4.5145233705135013E-4</v>
      </c>
      <c r="C1047" s="12">
        <v>1.2771818523310774E-2</v>
      </c>
      <c r="D1047" s="12">
        <v>7.0803465411848343E-3</v>
      </c>
      <c r="E1047" s="12">
        <v>5.104645227156368E-4</v>
      </c>
      <c r="F1047" s="12">
        <v>-5.4065601787943729E-3</v>
      </c>
      <c r="G1047" s="12">
        <v>-1.5762273901808732E-2</v>
      </c>
      <c r="H1047" s="12">
        <v>-1.1495341860097819E-2</v>
      </c>
      <c r="I1047" s="12">
        <v>-4.9626149672454822E-4</v>
      </c>
      <c r="J1047" s="12">
        <v>-9.8377411524210867E-3</v>
      </c>
      <c r="K1047" s="12">
        <v>9.3911917098445929E-3</v>
      </c>
      <c r="L1047" s="12">
        <v>-8.0743335569302133E-3</v>
      </c>
      <c r="M1047" s="13">
        <f t="shared" si="109"/>
        <v>2.6474910438355559E-3</v>
      </c>
      <c r="N1047" s="32">
        <f t="shared" si="110"/>
        <v>247.56694646266757</v>
      </c>
      <c r="O1047" s="32">
        <f t="shared" si="111"/>
        <v>177.88532784475183</v>
      </c>
      <c r="P1047" s="12" t="str">
        <f t="shared" si="112"/>
        <v/>
      </c>
      <c r="Q1047" s="13">
        <f t="shared" si="113"/>
        <v>2.1960387067842058E-3</v>
      </c>
      <c r="R1047" s="49">
        <f t="shared" si="114"/>
        <v>1</v>
      </c>
    </row>
    <row r="1048" spans="1:18" x14ac:dyDescent="0.35">
      <c r="A1048" s="64">
        <v>10.88</v>
      </c>
      <c r="B1048" s="14">
        <v>6.0513596963907013E-3</v>
      </c>
      <c r="C1048" s="12">
        <v>1.4836183803832448E-3</v>
      </c>
      <c r="D1048" s="12">
        <v>1.9606986899563417E-2</v>
      </c>
      <c r="E1048" s="12">
        <v>1.4424860853432309E-2</v>
      </c>
      <c r="F1048" s="12">
        <v>9.1865902218990492E-3</v>
      </c>
      <c r="G1048" s="12">
        <v>-1.2404830664216382E-2</v>
      </c>
      <c r="H1048" s="12">
        <v>-9.9357847992077586E-3</v>
      </c>
      <c r="I1048" s="12">
        <v>1.6219257886200822E-3</v>
      </c>
      <c r="J1048" s="12">
        <v>2.1161290322580628E-2</v>
      </c>
      <c r="K1048" s="12">
        <v>1.0052400812747164E-2</v>
      </c>
      <c r="L1048" s="12">
        <v>6.2615839302715415E-4</v>
      </c>
      <c r="M1048" s="13">
        <f t="shared" si="109"/>
        <v>1.005665575132189E-2</v>
      </c>
      <c r="N1048" s="32">
        <f t="shared" si="110"/>
        <v>250.05664201864857</v>
      </c>
      <c r="O1048" s="32">
        <f t="shared" si="111"/>
        <v>178.96177594825082</v>
      </c>
      <c r="P1048" s="12" t="str">
        <f t="shared" si="112"/>
        <v/>
      </c>
      <c r="Q1048" s="13">
        <f t="shared" si="113"/>
        <v>4.0052960549311883E-3</v>
      </c>
      <c r="R1048" s="49">
        <f t="shared" si="114"/>
        <v>1</v>
      </c>
    </row>
    <row r="1049" spans="1:18" x14ac:dyDescent="0.35">
      <c r="A1049" s="64" t="s">
        <v>77</v>
      </c>
      <c r="B1049" s="14">
        <v>-1.8697147288503357E-3</v>
      </c>
      <c r="C1049" s="12">
        <v>1.2345170980609943E-4</v>
      </c>
      <c r="D1049" s="12">
        <v>5.3963767184890266E-3</v>
      </c>
      <c r="E1049" s="12">
        <v>1.1887888070961417E-2</v>
      </c>
      <c r="F1049" s="12">
        <v>-5.2096465233549938E-2</v>
      </c>
      <c r="G1049" s="12">
        <v>-6.3135508739282642E-3</v>
      </c>
      <c r="H1049" s="12">
        <v>-2.6460148434979125E-3</v>
      </c>
      <c r="I1049" s="12">
        <v>-6.8407138136155066E-3</v>
      </c>
      <c r="J1049" s="12">
        <v>-1.0171847359110475E-2</v>
      </c>
      <c r="K1049" s="12">
        <v>8.9994706193752272E-3</v>
      </c>
      <c r="L1049" s="12">
        <v>-1.1338890140421998E-2</v>
      </c>
      <c r="M1049" s="13">
        <f t="shared" si="109"/>
        <v>1.900967086042267E-3</v>
      </c>
      <c r="N1049" s="32">
        <f t="shared" si="110"/>
        <v>250.53199146477232</v>
      </c>
      <c r="O1049" s="32">
        <f t="shared" si="111"/>
        <v>178.62716847985917</v>
      </c>
      <c r="P1049" s="12" t="str">
        <f t="shared" si="112"/>
        <v/>
      </c>
      <c r="Q1049" s="13">
        <f t="shared" si="113"/>
        <v>3.7706818148926027E-3</v>
      </c>
      <c r="R1049" s="49">
        <f t="shared" si="114"/>
        <v>1</v>
      </c>
    </row>
    <row r="1050" spans="1:18" x14ac:dyDescent="0.35">
      <c r="A1050" s="64" t="s">
        <v>77</v>
      </c>
      <c r="B1050" s="14">
        <v>2.4954280663231909E-3</v>
      </c>
      <c r="C1050" s="12">
        <v>-8.2290980908483746E-4</v>
      </c>
      <c r="D1050" s="12">
        <v>1.4014909478168303E-2</v>
      </c>
      <c r="E1050" s="12">
        <v>2.1463106050336744E-3</v>
      </c>
      <c r="F1050" s="12">
        <v>-5.0693472891514268E-2</v>
      </c>
      <c r="G1050" s="12">
        <v>-1.4044943820225031E-3</v>
      </c>
      <c r="H1050" s="12">
        <v>6.2443380354602063E-3</v>
      </c>
      <c r="I1050" s="12">
        <v>1.1512993711110475E-2</v>
      </c>
      <c r="J1050" s="12">
        <v>-1.7488989595965898E-2</v>
      </c>
      <c r="K1050" s="12">
        <v>4.1972717733473885E-3</v>
      </c>
      <c r="L1050" s="12">
        <v>1.2658868803461232E-4</v>
      </c>
      <c r="M1050" s="13">
        <f t="shared" si="109"/>
        <v>7.3244871014266589E-3</v>
      </c>
      <c r="N1050" s="32">
        <f t="shared" si="110"/>
        <v>252.36700980475078</v>
      </c>
      <c r="O1050" s="32">
        <f t="shared" si="111"/>
        <v>179.07291972949164</v>
      </c>
      <c r="P1050" s="12" t="str">
        <f t="shared" si="112"/>
        <v/>
      </c>
      <c r="Q1050" s="13">
        <f t="shared" si="113"/>
        <v>4.829059035103468E-3</v>
      </c>
      <c r="R1050" s="49">
        <f t="shared" si="114"/>
        <v>1</v>
      </c>
    </row>
    <row r="1051" spans="1:18" x14ac:dyDescent="0.35">
      <c r="A1051" s="64" t="s">
        <v>77</v>
      </c>
      <c r="B1051" s="14">
        <v>-6.1442267748391677E-3</v>
      </c>
      <c r="C1051" s="12">
        <v>1.6101136550815243E-2</v>
      </c>
      <c r="D1051" s="12">
        <v>-3.3775835993950509E-2</v>
      </c>
      <c r="E1051" s="12">
        <v>5.5233672250152299E-3</v>
      </c>
      <c r="F1051" s="12">
        <v>2.0013827735526402E-2</v>
      </c>
      <c r="G1051" s="12">
        <v>1.9422677650524633E-3</v>
      </c>
      <c r="H1051" s="12">
        <v>-8.7135461882253962E-3</v>
      </c>
      <c r="I1051" s="12">
        <v>-2.391526037040681E-2</v>
      </c>
      <c r="J1051" s="12">
        <v>2.0203988826089647E-2</v>
      </c>
      <c r="K1051" s="12">
        <v>-1.9540229885057547E-2</v>
      </c>
      <c r="L1051" s="12">
        <v>1.0708047490064043E-2</v>
      </c>
      <c r="M1051" s="13">
        <f t="shared" si="109"/>
        <v>-1.5663653741581532E-2</v>
      </c>
      <c r="N1051" s="32">
        <f t="shared" si="110"/>
        <v>248.41402034737087</v>
      </c>
      <c r="O1051" s="32">
        <f t="shared" si="111"/>
        <v>177.97265510144106</v>
      </c>
      <c r="P1051" s="12">
        <f t="shared" si="112"/>
        <v>-1.5663653741581532E-2</v>
      </c>
      <c r="Q1051" s="13">
        <f t="shared" si="113"/>
        <v>-9.5194269667423642E-3</v>
      </c>
      <c r="R1051" s="49" t="str">
        <f t="shared" si="114"/>
        <v/>
      </c>
    </row>
    <row r="1052" spans="1:18" x14ac:dyDescent="0.35">
      <c r="A1052" s="64" t="s">
        <v>77</v>
      </c>
      <c r="B1052" s="14">
        <v>-2.9638930421207466E-3</v>
      </c>
      <c r="C1052" s="12">
        <v>4.1337386018236444E-3</v>
      </c>
      <c r="D1052" s="12">
        <v>7.4782608695651565E-3</v>
      </c>
      <c r="E1052" s="12">
        <v>-6.031119680731778E-3</v>
      </c>
      <c r="F1052" s="12">
        <v>8.151689201241652E-3</v>
      </c>
      <c r="G1052" s="12">
        <v>-2.4732620320856435E-3</v>
      </c>
      <c r="H1052" s="12">
        <v>1.3233863120337253E-2</v>
      </c>
      <c r="I1052" s="12">
        <v>1.8165273658668157E-2</v>
      </c>
      <c r="J1052" s="12">
        <v>4.4956698930208816E-2</v>
      </c>
      <c r="K1052" s="12">
        <v>7.6734519876371365E-3</v>
      </c>
      <c r="L1052" s="12">
        <v>-2.7225366928818273E-2</v>
      </c>
      <c r="M1052" s="13">
        <f t="shared" si="109"/>
        <v>1.7985806976756925E-3</v>
      </c>
      <c r="N1052" s="32">
        <f t="shared" si="110"/>
        <v>248.86081300939966</v>
      </c>
      <c r="O1052" s="32">
        <f t="shared" si="111"/>
        <v>177.44516318729814</v>
      </c>
      <c r="P1052" s="12" t="str">
        <f t="shared" si="112"/>
        <v/>
      </c>
      <c r="Q1052" s="13">
        <f t="shared" si="113"/>
        <v>4.7624737397964391E-3</v>
      </c>
      <c r="R1052" s="49">
        <f t="shared" si="114"/>
        <v>1</v>
      </c>
    </row>
    <row r="1053" spans="1:18" x14ac:dyDescent="0.35">
      <c r="A1053" s="64">
        <v>10.92</v>
      </c>
      <c r="B1053" s="14">
        <v>8.1658218598121834E-3</v>
      </c>
      <c r="C1053" s="12">
        <v>-5.1660814465027682E-3</v>
      </c>
      <c r="D1053" s="12">
        <v>-6.9048852062834065E-3</v>
      </c>
      <c r="E1053" s="12">
        <v>1.2767013285814199E-2</v>
      </c>
      <c r="F1053" s="12">
        <v>-5.6016560802562121E-2</v>
      </c>
      <c r="G1053" s="12">
        <v>-1.7355759565770956E-2</v>
      </c>
      <c r="H1053" s="12">
        <v>4.5137332735771807E-3</v>
      </c>
      <c r="I1053" s="12">
        <v>7.6131210486241052E-4</v>
      </c>
      <c r="J1053" s="12">
        <v>1.133455210237666E-2</v>
      </c>
      <c r="K1053" s="12">
        <v>4.3363299841352454E-3</v>
      </c>
      <c r="L1053" s="12">
        <v>1.2358711604316674E-3</v>
      </c>
      <c r="M1053" s="13">
        <f t="shared" si="109"/>
        <v>1.2046891560681234E-3</v>
      </c>
      <c r="N1053" s="32">
        <f t="shared" si="110"/>
        <v>249.16061293220241</v>
      </c>
      <c r="O1053" s="32">
        <f t="shared" si="111"/>
        <v>178.89414877977092</v>
      </c>
      <c r="P1053" s="12" t="str">
        <f t="shared" si="112"/>
        <v/>
      </c>
      <c r="Q1053" s="13">
        <f t="shared" si="113"/>
        <v>-6.9611327037440596E-3</v>
      </c>
      <c r="R1053" s="49">
        <f t="shared" si="114"/>
        <v>1</v>
      </c>
    </row>
    <row r="1054" spans="1:18" x14ac:dyDescent="0.35">
      <c r="A1054" s="64" t="s">
        <v>77</v>
      </c>
      <c r="B1054" s="14">
        <v>-5.4140321061636465E-3</v>
      </c>
      <c r="C1054" s="12">
        <v>5.9637307801534423E-3</v>
      </c>
      <c r="D1054" s="12">
        <v>9.2994959151746492E-3</v>
      </c>
      <c r="E1054" s="12">
        <v>1.2695160248556991E-3</v>
      </c>
      <c r="F1054" s="12">
        <v>-3.3306468239836517E-2</v>
      </c>
      <c r="G1054" s="12">
        <v>-2.7277686852152927E-3</v>
      </c>
      <c r="H1054" s="12">
        <v>1.4022116702252507E-3</v>
      </c>
      <c r="I1054" s="12">
        <v>-6.7473705100217218E-3</v>
      </c>
      <c r="J1054" s="12">
        <v>1.0785731501566698E-2</v>
      </c>
      <c r="K1054" s="12">
        <v>-9.1617523167648596E-3</v>
      </c>
      <c r="L1054" s="12">
        <v>-2.0803867616427163E-2</v>
      </c>
      <c r="M1054" s="13">
        <f t="shared" si="109"/>
        <v>-4.1586881311090201E-3</v>
      </c>
      <c r="N1054" s="32">
        <f t="shared" si="110"/>
        <v>248.12443164846141</v>
      </c>
      <c r="O1054" s="32">
        <f t="shared" si="111"/>
        <v>177.92561011467242</v>
      </c>
      <c r="P1054" s="12">
        <f t="shared" si="112"/>
        <v>-4.1586881311090201E-3</v>
      </c>
      <c r="Q1054" s="13">
        <f t="shared" si="113"/>
        <v>1.2553439750546264E-3</v>
      </c>
      <c r="R1054" s="49" t="str">
        <f t="shared" si="114"/>
        <v/>
      </c>
    </row>
    <row r="1055" spans="1:18" x14ac:dyDescent="0.35">
      <c r="A1055" s="64" t="s">
        <v>77</v>
      </c>
      <c r="B1055" s="14">
        <v>-2.6440818012729572E-5</v>
      </c>
      <c r="C1055" s="12">
        <v>6.85594450717808E-4</v>
      </c>
      <c r="D1055" s="12">
        <v>-6.1999483337639161E-3</v>
      </c>
      <c r="E1055" s="12">
        <v>-5.0938695613489404E-3</v>
      </c>
      <c r="F1055" s="12">
        <v>9.1515433534978818E-3</v>
      </c>
      <c r="G1055" s="12">
        <v>2.5984682713346974E-3</v>
      </c>
      <c r="H1055" s="12">
        <v>1.6230149890208434E-3</v>
      </c>
      <c r="I1055" s="12">
        <v>6.1272061272059641E-3</v>
      </c>
      <c r="J1055" s="12">
        <v>1.1326378539493254E-2</v>
      </c>
      <c r="K1055" s="12">
        <v>1.7004995217344554E-3</v>
      </c>
      <c r="L1055" s="12">
        <v>-7.09070854561622E-4</v>
      </c>
      <c r="M1055" s="13">
        <f t="shared" si="109"/>
        <v>-9.7059304803738067E-4</v>
      </c>
      <c r="N1055" s="32">
        <f t="shared" si="110"/>
        <v>247.8836038000552</v>
      </c>
      <c r="O1055" s="32">
        <f t="shared" si="111"/>
        <v>177.92090561599557</v>
      </c>
      <c r="P1055" s="12">
        <f t="shared" si="112"/>
        <v>-9.7059304803738067E-4</v>
      </c>
      <c r="Q1055" s="13">
        <f t="shared" si="113"/>
        <v>-9.441522300246511E-4</v>
      </c>
      <c r="R1055" s="49" t="str">
        <f t="shared" si="114"/>
        <v/>
      </c>
    </row>
    <row r="1056" spans="1:18" x14ac:dyDescent="0.35">
      <c r="A1056" s="64" t="s">
        <v>77</v>
      </c>
      <c r="B1056" s="14">
        <v>3.7993154952247199E-3</v>
      </c>
      <c r="C1056" s="12">
        <v>1.1727723370813736E-2</v>
      </c>
      <c r="D1056" s="12">
        <v>-6.4552465124338987E-3</v>
      </c>
      <c r="E1056" s="12">
        <v>9.6585954792407502E-3</v>
      </c>
      <c r="F1056" s="12">
        <v>-4.2230249000922204E-2</v>
      </c>
      <c r="G1056" s="12">
        <v>-1.8892374846542159E-2</v>
      </c>
      <c r="H1056" s="12">
        <v>3.6538094935500975E-3</v>
      </c>
      <c r="I1056" s="12">
        <v>4.7329052757001389E-3</v>
      </c>
      <c r="J1056" s="12">
        <v>2.0748600058944744E-2</v>
      </c>
      <c r="K1056" s="12">
        <v>6.5782493368700123E-3</v>
      </c>
      <c r="L1056" s="12">
        <v>-4.1786024020392665E-3</v>
      </c>
      <c r="M1056" s="13">
        <f t="shared" si="109"/>
        <v>1.2415398772716703E-3</v>
      </c>
      <c r="N1056" s="32">
        <f t="shared" si="110"/>
        <v>248.19136117909477</v>
      </c>
      <c r="O1056" s="32">
        <f t="shared" si="111"/>
        <v>178.59688326962683</v>
      </c>
      <c r="P1056" s="12" t="str">
        <f t="shared" si="112"/>
        <v/>
      </c>
      <c r="Q1056" s="13">
        <f t="shared" si="113"/>
        <v>-2.5577756179530498E-3</v>
      </c>
      <c r="R1056" s="49">
        <f t="shared" si="114"/>
        <v>1</v>
      </c>
    </row>
    <row r="1057" spans="1:18" x14ac:dyDescent="0.35">
      <c r="A1057" s="64" t="s">
        <v>77</v>
      </c>
      <c r="B1057" s="14">
        <v>-3.8639596449174807E-3</v>
      </c>
      <c r="C1057" s="12">
        <v>9.7195666029317174E-3</v>
      </c>
      <c r="D1057" s="12">
        <v>-1.5697902585793955E-3</v>
      </c>
      <c r="E1057" s="12">
        <v>6.3553223056311836E-3</v>
      </c>
      <c r="F1057" s="12">
        <v>-2.6038114343029162E-2</v>
      </c>
      <c r="G1057" s="12">
        <v>1.7796315606534607E-2</v>
      </c>
      <c r="H1057" s="12">
        <v>7.629238025895102E-3</v>
      </c>
      <c r="I1057" s="12">
        <v>-7.3459169219620701E-3</v>
      </c>
      <c r="J1057" s="12">
        <v>-8.0845412022856333E-4</v>
      </c>
      <c r="K1057" s="12">
        <v>5.7974069779698212E-3</v>
      </c>
      <c r="L1057" s="12">
        <v>-8.233928005911495E-3</v>
      </c>
      <c r="M1057" s="13">
        <f t="shared" si="109"/>
        <v>-1.0662122150472493E-3</v>
      </c>
      <c r="N1057" s="32">
        <f t="shared" si="110"/>
        <v>247.92673651813644</v>
      </c>
      <c r="O1057" s="32">
        <f t="shared" si="111"/>
        <v>177.90679211996496</v>
      </c>
      <c r="P1057" s="12">
        <f t="shared" si="112"/>
        <v>-1.0662122150472493E-3</v>
      </c>
      <c r="Q1057" s="13">
        <f t="shared" si="113"/>
        <v>2.7977474298702312E-3</v>
      </c>
      <c r="R1057" s="49" t="str">
        <f t="shared" si="114"/>
        <v/>
      </c>
    </row>
    <row r="1058" spans="1:18" x14ac:dyDescent="0.35">
      <c r="A1058" s="64">
        <v>11.04</v>
      </c>
      <c r="B1058" s="14">
        <v>-2.9492894104891865E-2</v>
      </c>
      <c r="C1058" s="12">
        <v>-2.1421808426700273E-2</v>
      </c>
      <c r="D1058" s="12">
        <v>-3.8432982486788725E-2</v>
      </c>
      <c r="E1058" s="12">
        <v>-3.7561061479558178E-2</v>
      </c>
      <c r="F1058" s="12">
        <v>2.9246992914813141E-2</v>
      </c>
      <c r="G1058" s="12">
        <v>-1.1338023359060201E-2</v>
      </c>
      <c r="H1058" s="12">
        <v>-2.6767200754005738E-2</v>
      </c>
      <c r="I1058" s="12">
        <v>-4.4999004446804269E-2</v>
      </c>
      <c r="J1058" s="12">
        <v>-2.3695312951511616E-3</v>
      </c>
      <c r="K1058" s="12">
        <v>-1.9597568643890173E-2</v>
      </c>
      <c r="L1058" s="12">
        <v>-3.1692389568919732E-2</v>
      </c>
      <c r="M1058" s="13">
        <f t="shared" si="109"/>
        <v>-3.4214468533532036E-2</v>
      </c>
      <c r="N1058" s="32">
        <f t="shared" si="110"/>
        <v>239.44405499291537</v>
      </c>
      <c r="O1058" s="32">
        <f t="shared" si="111"/>
        <v>172.65980593942982</v>
      </c>
      <c r="P1058" s="12">
        <f t="shared" si="112"/>
        <v>-3.4214468533532036E-2</v>
      </c>
      <c r="Q1058" s="13">
        <f t="shared" si="113"/>
        <v>-4.7215744286401712E-3</v>
      </c>
      <c r="R1058" s="49" t="str">
        <f t="shared" si="114"/>
        <v/>
      </c>
    </row>
    <row r="1059" spans="1:18" x14ac:dyDescent="0.35">
      <c r="A1059" s="64" t="s">
        <v>77</v>
      </c>
      <c r="B1059" s="14">
        <v>-8.6509904362275236E-4</v>
      </c>
      <c r="C1059" s="12">
        <v>7.0147147752468442E-3</v>
      </c>
      <c r="D1059" s="12">
        <v>1.7032293227960293E-2</v>
      </c>
      <c r="E1059" s="12">
        <v>-8.2306408468413306E-4</v>
      </c>
      <c r="F1059" s="12">
        <v>-2.0951732970463488E-2</v>
      </c>
      <c r="G1059" s="12">
        <v>-8.0829015544040539E-3</v>
      </c>
      <c r="H1059" s="12">
        <v>1.6463296533023586E-2</v>
      </c>
      <c r="I1059" s="12">
        <v>1.8416846201959824E-2</v>
      </c>
      <c r="J1059" s="12">
        <v>2.5605375970339406E-2</v>
      </c>
      <c r="K1059" s="12">
        <v>-1.6034206306786425E-3</v>
      </c>
      <c r="L1059" s="12">
        <v>-9.6732529060979955E-3</v>
      </c>
      <c r="M1059" s="13">
        <f t="shared" si="109"/>
        <v>6.1045777481273196E-3</v>
      </c>
      <c r="N1059" s="32">
        <f t="shared" si="110"/>
        <v>240.90575984294648</v>
      </c>
      <c r="O1059" s="32">
        <f t="shared" si="111"/>
        <v>172.51043810643952</v>
      </c>
      <c r="P1059" s="12" t="str">
        <f t="shared" si="112"/>
        <v/>
      </c>
      <c r="Q1059" s="13">
        <f t="shared" si="113"/>
        <v>6.9696767917500719E-3</v>
      </c>
      <c r="R1059" s="49">
        <f t="shared" si="114"/>
        <v>1</v>
      </c>
    </row>
    <row r="1060" spans="1:18" x14ac:dyDescent="0.35">
      <c r="A1060" s="64" t="s">
        <v>77</v>
      </c>
      <c r="B1060" s="14">
        <v>1.0869120584686254E-2</v>
      </c>
      <c r="C1060" s="12">
        <v>1.8815805276432229E-2</v>
      </c>
      <c r="D1060" s="12">
        <v>-2.5008931761342224E-3</v>
      </c>
      <c r="E1060" s="12">
        <v>-9.8391414777010411E-4</v>
      </c>
      <c r="F1060" s="12">
        <v>2.2238119570771486E-2</v>
      </c>
      <c r="G1060" s="12">
        <v>6.1986349073686053E-3</v>
      </c>
      <c r="H1060" s="12">
        <v>8.9875508130081716E-3</v>
      </c>
      <c r="I1060" s="12">
        <v>1.9005049815749908E-2</v>
      </c>
      <c r="J1060" s="12">
        <v>1.7510167193854898E-3</v>
      </c>
      <c r="K1060" s="12">
        <v>-1.2419700214132856E-2</v>
      </c>
      <c r="L1060" s="12">
        <v>1.5733829120071041E-2</v>
      </c>
      <c r="M1060" s="13">
        <f t="shared" si="109"/>
        <v>2.7336474094686878E-3</v>
      </c>
      <c r="N1060" s="32">
        <f t="shared" si="110"/>
        <v>241.56431124926726</v>
      </c>
      <c r="O1060" s="32">
        <f t="shared" si="111"/>
        <v>174.38547486033548</v>
      </c>
      <c r="P1060" s="12" t="str">
        <f t="shared" si="112"/>
        <v/>
      </c>
      <c r="Q1060" s="13">
        <f t="shared" si="113"/>
        <v>-8.1354731752175669E-3</v>
      </c>
      <c r="R1060" s="49">
        <f t="shared" si="114"/>
        <v>1</v>
      </c>
    </row>
    <row r="1061" spans="1:18" x14ac:dyDescent="0.35">
      <c r="A1061" s="64" t="s">
        <v>77</v>
      </c>
      <c r="B1061" s="14">
        <v>7.2873196927927264E-3</v>
      </c>
      <c r="C1061" s="12">
        <v>3.0649534362843234E-3</v>
      </c>
      <c r="D1061" s="12">
        <v>-6.402220630372546E-3</v>
      </c>
      <c r="E1061" s="12">
        <v>-3.0920751259735368E-3</v>
      </c>
      <c r="F1061" s="12">
        <v>1.2416771639373714E-2</v>
      </c>
      <c r="G1061" s="12">
        <v>5.5374818301379136E-3</v>
      </c>
      <c r="H1061" s="12">
        <v>-1.5422869912812276E-3</v>
      </c>
      <c r="I1061" s="12">
        <v>5.0226017076848706E-4</v>
      </c>
      <c r="J1061" s="12">
        <v>1.9171130532844582E-3</v>
      </c>
      <c r="K1061" s="12">
        <v>-2.0490026019080676E-2</v>
      </c>
      <c r="L1061" s="12">
        <v>-1.7757622117802185E-3</v>
      </c>
      <c r="M1061" s="13">
        <f t="shared" si="109"/>
        <v>-6.9782364633414837E-3</v>
      </c>
      <c r="N1061" s="32">
        <f t="shared" si="110"/>
        <v>239.87861836426566</v>
      </c>
      <c r="O1061" s="32">
        <f t="shared" si="111"/>
        <v>175.65627756542222</v>
      </c>
      <c r="P1061" s="12">
        <f t="shared" si="112"/>
        <v>-6.9782364633414837E-3</v>
      </c>
      <c r="Q1061" s="13">
        <f t="shared" si="113"/>
        <v>-1.426555615613421E-2</v>
      </c>
      <c r="R1061" s="49" t="str">
        <f t="shared" si="114"/>
        <v/>
      </c>
    </row>
    <row r="1062" spans="1:18" x14ac:dyDescent="0.35">
      <c r="A1062" s="64" t="s">
        <v>77</v>
      </c>
      <c r="B1062" s="14">
        <v>1.1042722967758989E-2</v>
      </c>
      <c r="C1062" s="12">
        <v>1.1478042856583048E-2</v>
      </c>
      <c r="D1062" s="12">
        <v>1.1174694723561363E-2</v>
      </c>
      <c r="E1062" s="12">
        <v>9.3739230327398726E-3</v>
      </c>
      <c r="F1062" s="12">
        <v>-4.739898092189776E-4</v>
      </c>
      <c r="G1062" s="12">
        <v>3.9925655675636662E-3</v>
      </c>
      <c r="H1062" s="12">
        <v>1.081268520269818E-2</v>
      </c>
      <c r="I1062" s="12">
        <v>1.559571619812572E-2</v>
      </c>
      <c r="J1062" s="12">
        <v>9.2858348809725655E-3</v>
      </c>
      <c r="K1062" s="12">
        <v>2.5788599889319475E-2</v>
      </c>
      <c r="L1062" s="12">
        <v>5.9662278661156698E-3</v>
      </c>
      <c r="M1062" s="13">
        <f t="shared" si="109"/>
        <v>1.415983179261584E-2</v>
      </c>
      <c r="N1062" s="32">
        <f t="shared" si="110"/>
        <v>243.27525925094878</v>
      </c>
      <c r="O1062" s="32">
        <f t="shared" si="111"/>
        <v>177.59600117612496</v>
      </c>
      <c r="P1062" s="12" t="str">
        <f t="shared" si="112"/>
        <v/>
      </c>
      <c r="Q1062" s="13">
        <f t="shared" si="113"/>
        <v>3.1171088248568516E-3</v>
      </c>
      <c r="R1062" s="49">
        <f t="shared" si="114"/>
        <v>1</v>
      </c>
    </row>
    <row r="1063" spans="1:18" x14ac:dyDescent="0.35">
      <c r="A1063" s="64">
        <v>11.04</v>
      </c>
      <c r="B1063" s="14">
        <v>-4.0562645280495246E-4</v>
      </c>
      <c r="C1063" s="12">
        <v>3.175832687838831E-3</v>
      </c>
      <c r="D1063" s="12">
        <v>2.1389421148789722E-3</v>
      </c>
      <c r="E1063" s="12">
        <v>-2.7769558190881005E-3</v>
      </c>
      <c r="F1063" s="12">
        <v>9.9782651649871212E-3</v>
      </c>
      <c r="G1063" s="12">
        <v>-1.8512170037708886E-3</v>
      </c>
      <c r="H1063" s="12">
        <v>8.1085295493532605E-4</v>
      </c>
      <c r="I1063" s="12">
        <v>1.7465234297766585E-3</v>
      </c>
      <c r="J1063" s="12">
        <v>5.7990409278465549E-3</v>
      </c>
      <c r="K1063" s="12">
        <v>1.1868795856710967E-3</v>
      </c>
      <c r="L1063" s="12">
        <v>-1.2242566041842373E-3</v>
      </c>
      <c r="M1063" s="13">
        <f t="shared" si="109"/>
        <v>5.9518939303175155E-4</v>
      </c>
      <c r="N1063" s="32">
        <f t="shared" si="110"/>
        <v>243.42005410484202</v>
      </c>
      <c r="O1063" s="32">
        <f t="shared" si="111"/>
        <v>177.52396354013555</v>
      </c>
      <c r="P1063" s="12" t="str">
        <f t="shared" si="112"/>
        <v/>
      </c>
      <c r="Q1063" s="13">
        <f t="shared" si="113"/>
        <v>1.000815845836704E-3</v>
      </c>
      <c r="R1063" s="49">
        <f t="shared" si="114"/>
        <v>1</v>
      </c>
    </row>
    <row r="1064" spans="1:18" x14ac:dyDescent="0.35">
      <c r="A1064" s="64" t="s">
        <v>77</v>
      </c>
      <c r="B1064" s="14">
        <v>-1.1055735815118317E-2</v>
      </c>
      <c r="C1064" s="12">
        <v>-1.3242220677939898E-2</v>
      </c>
      <c r="D1064" s="12">
        <v>-9.3823647116367814E-3</v>
      </c>
      <c r="E1064" s="12">
        <v>-1.7301590924653665E-2</v>
      </c>
      <c r="F1064" s="12">
        <v>-2.2693925462192732E-3</v>
      </c>
      <c r="G1064" s="12">
        <v>-3.6406099738974795E-3</v>
      </c>
      <c r="H1064" s="12">
        <v>-7.0113115826867523E-3</v>
      </c>
      <c r="I1064" s="12">
        <v>-9.6713707687753336E-3</v>
      </c>
      <c r="J1064" s="12">
        <v>1.8849096352144823E-3</v>
      </c>
      <c r="K1064" s="12">
        <v>-1.2178036426339189E-2</v>
      </c>
      <c r="L1064" s="12">
        <v>-6.1560252778383173E-3</v>
      </c>
      <c r="M1064" s="13">
        <f t="shared" si="109"/>
        <v>-1.0614876614779958E-2</v>
      </c>
      <c r="N1064" s="32">
        <f t="shared" si="110"/>
        <v>240.83618026495606</v>
      </c>
      <c r="O1064" s="32">
        <f t="shared" si="111"/>
        <v>175.56130549838312</v>
      </c>
      <c r="P1064" s="12">
        <f t="shared" si="112"/>
        <v>-1.0614876614779958E-2</v>
      </c>
      <c r="Q1064" s="13">
        <f t="shared" si="113"/>
        <v>4.4085920033835879E-4</v>
      </c>
      <c r="R1064" s="49" t="str">
        <f t="shared" si="114"/>
        <v/>
      </c>
    </row>
    <row r="1065" spans="1:18" x14ac:dyDescent="0.35">
      <c r="A1065" s="64" t="s">
        <v>77</v>
      </c>
      <c r="B1065" s="14">
        <v>-1.0702011777237508E-2</v>
      </c>
      <c r="C1065" s="12">
        <v>-1.3263429711647623E-2</v>
      </c>
      <c r="D1065" s="12">
        <v>-1.1356495197055394E-2</v>
      </c>
      <c r="E1065" s="12">
        <v>-1.3239495505539711E-2</v>
      </c>
      <c r="F1065" s="12">
        <v>-4.2942018470950583E-3</v>
      </c>
      <c r="G1065" s="12">
        <v>-1.1789038262668083E-2</v>
      </c>
      <c r="H1065" s="12">
        <v>-1.0512772233728818E-2</v>
      </c>
      <c r="I1065" s="12">
        <v>-1.2356751370204422E-2</v>
      </c>
      <c r="J1065" s="12">
        <v>-2.3074369189907018E-2</v>
      </c>
      <c r="K1065" s="12">
        <v>-1.1891773947196205E-2</v>
      </c>
      <c r="L1065" s="12">
        <v>-5.070437976210096E-3</v>
      </c>
      <c r="M1065" s="13">
        <f t="shared" si="109"/>
        <v>-1.0860987588651557E-2</v>
      </c>
      <c r="N1065" s="32">
        <f t="shared" si="110"/>
        <v>238.22046150020014</v>
      </c>
      <c r="O1065" s="32">
        <f t="shared" si="111"/>
        <v>173.68244633931224</v>
      </c>
      <c r="P1065" s="12">
        <f t="shared" si="112"/>
        <v>-1.0860987588651557E-2</v>
      </c>
      <c r="Q1065" s="13">
        <f t="shared" si="113"/>
        <v>-1.5897581141404923E-4</v>
      </c>
      <c r="R1065" s="49" t="str">
        <f t="shared" si="114"/>
        <v/>
      </c>
    </row>
    <row r="1066" spans="1:18" x14ac:dyDescent="0.35">
      <c r="A1066" s="64" t="s">
        <v>77</v>
      </c>
      <c r="B1066" s="14">
        <v>-4.2847904329482711E-3</v>
      </c>
      <c r="C1066" s="12">
        <v>-7.0578905630451771E-3</v>
      </c>
      <c r="D1066" s="12">
        <v>-1.9069239500566493E-3</v>
      </c>
      <c r="E1066" s="12">
        <v>-7.8384294894427997E-3</v>
      </c>
      <c r="F1066" s="12">
        <v>-3.8204017329657169E-3</v>
      </c>
      <c r="G1066" s="12">
        <v>8.9298172178038371E-3</v>
      </c>
      <c r="H1066" s="12">
        <v>2.3151818844946437E-3</v>
      </c>
      <c r="I1066" s="12">
        <v>-1.8161638583390483E-3</v>
      </c>
      <c r="J1066" s="12">
        <v>2.5488530161426048E-3</v>
      </c>
      <c r="K1066" s="12">
        <v>-2.4290603952743517E-3</v>
      </c>
      <c r="L1066" s="12">
        <v>-6.8868626208640205E-4</v>
      </c>
      <c r="M1066" s="13">
        <f t="shared" si="109"/>
        <v>-2.6230616313853306E-3</v>
      </c>
      <c r="N1066" s="32">
        <f t="shared" si="110"/>
        <v>237.59559454782806</v>
      </c>
      <c r="O1066" s="32">
        <f t="shared" si="111"/>
        <v>172.9382534548665</v>
      </c>
      <c r="P1066" s="12">
        <f t="shared" si="112"/>
        <v>-2.6230616313853306E-3</v>
      </c>
      <c r="Q1066" s="13">
        <f t="shared" si="113"/>
        <v>1.6617288015629405E-3</v>
      </c>
      <c r="R1066" s="49" t="str">
        <f t="shared" si="114"/>
        <v/>
      </c>
    </row>
    <row r="1067" spans="1:18" x14ac:dyDescent="0.35">
      <c r="A1067" s="64" t="s">
        <v>77</v>
      </c>
      <c r="B1067" s="14">
        <v>-2.2238733140302891E-3</v>
      </c>
      <c r="C1067" s="12">
        <v>-2.6235923648270876E-2</v>
      </c>
      <c r="D1067" s="12">
        <v>5.0038666242091523E-4</v>
      </c>
      <c r="E1067" s="12">
        <v>-6.9276393831554373E-3</v>
      </c>
      <c r="F1067" s="12">
        <v>-2.6687225714625562E-3</v>
      </c>
      <c r="G1067" s="12">
        <v>-4.1488037615819984E-3</v>
      </c>
      <c r="H1067" s="12">
        <v>-5.1892165548665936E-3</v>
      </c>
      <c r="I1067" s="12">
        <v>5.5257926480001274E-3</v>
      </c>
      <c r="J1067" s="12">
        <v>-2.8983050847457559E-2</v>
      </c>
      <c r="K1067" s="12">
        <v>-3.8738240177088601E-3</v>
      </c>
      <c r="L1067" s="12">
        <v>-8.242364097474919E-3</v>
      </c>
      <c r="M1067" s="13">
        <f t="shared" si="109"/>
        <v>-2.0302031431814627E-3</v>
      </c>
      <c r="N1067" s="32">
        <f t="shared" si="110"/>
        <v>237.11322722497098</v>
      </c>
      <c r="O1067" s="32">
        <f t="shared" si="111"/>
        <v>172.5536606880332</v>
      </c>
      <c r="P1067" s="12">
        <f t="shared" si="112"/>
        <v>-2.0302031431814627E-3</v>
      </c>
      <c r="Q1067" s="13">
        <f t="shared" si="113"/>
        <v>1.9367017084882636E-4</v>
      </c>
      <c r="R1067" s="49" t="str">
        <f t="shared" si="114"/>
        <v/>
      </c>
    </row>
    <row r="1068" spans="1:18" x14ac:dyDescent="0.35">
      <c r="A1068" s="64">
        <v>10.95</v>
      </c>
      <c r="B1068" s="14">
        <v>1.2595956411720177E-2</v>
      </c>
      <c r="C1068" s="12">
        <v>-2.009432027885949E-3</v>
      </c>
      <c r="D1068" s="12">
        <v>1.2321542238792338E-2</v>
      </c>
      <c r="E1068" s="12">
        <v>1.1395671078407998E-2</v>
      </c>
      <c r="F1068" s="12">
        <v>1.6828209549860196E-2</v>
      </c>
      <c r="G1068" s="12">
        <v>1.1803916122758995E-3</v>
      </c>
      <c r="H1068" s="12">
        <v>1.6221374045803927E-3</v>
      </c>
      <c r="I1068" s="12">
        <v>1.5581543410514875E-2</v>
      </c>
      <c r="J1068" s="12">
        <v>-1.14621516262291E-2</v>
      </c>
      <c r="K1068" s="12">
        <v>8.6666666666666003E-3</v>
      </c>
      <c r="L1068" s="12">
        <v>1.1173805486838884E-2</v>
      </c>
      <c r="M1068" s="13">
        <f t="shared" si="109"/>
        <v>1.1807494938783187E-2</v>
      </c>
      <c r="N1068" s="32">
        <f t="shared" si="110"/>
        <v>239.91294045534838</v>
      </c>
      <c r="O1068" s="32">
        <f t="shared" si="111"/>
        <v>174.72713907674242</v>
      </c>
      <c r="P1068" s="12" t="str">
        <f t="shared" si="112"/>
        <v/>
      </c>
      <c r="Q1068" s="13">
        <f t="shared" si="113"/>
        <v>-7.8846147293699063E-4</v>
      </c>
      <c r="R1068" s="49">
        <f t="shared" si="114"/>
        <v>1</v>
      </c>
    </row>
    <row r="1069" spans="1:18" x14ac:dyDescent="0.35">
      <c r="A1069" s="64" t="s">
        <v>77</v>
      </c>
      <c r="B1069" s="14">
        <v>5.5381011599553442E-3</v>
      </c>
      <c r="C1069" s="12">
        <v>6.7389875082182193E-3</v>
      </c>
      <c r="D1069" s="12">
        <v>8.9827082865312491E-5</v>
      </c>
      <c r="E1069" s="12">
        <v>1.0629502775481248E-2</v>
      </c>
      <c r="F1069" s="12">
        <v>1.306042884990255E-3</v>
      </c>
      <c r="G1069" s="12">
        <v>-3.6757056661349541E-3</v>
      </c>
      <c r="H1069" s="12">
        <v>-5.9382045663840533E-3</v>
      </c>
      <c r="I1069" s="12">
        <v>-3.9593506664906686E-3</v>
      </c>
      <c r="J1069" s="12">
        <v>5.1795173631548064E-3</v>
      </c>
      <c r="K1069" s="12">
        <v>7.1601674377617108E-3</v>
      </c>
      <c r="L1069" s="12">
        <v>1.1270238324307957E-3</v>
      </c>
      <c r="M1069" s="13">
        <f t="shared" si="109"/>
        <v>2.5330057307371631E-3</v>
      </c>
      <c r="N1069" s="32">
        <f t="shared" si="110"/>
        <v>240.52064130839977</v>
      </c>
      <c r="O1069" s="32">
        <f t="shared" si="111"/>
        <v>175.69479564833901</v>
      </c>
      <c r="P1069" s="12" t="str">
        <f t="shared" si="112"/>
        <v/>
      </c>
      <c r="Q1069" s="13">
        <f t="shared" si="113"/>
        <v>-3.0050954292181811E-3</v>
      </c>
      <c r="R1069" s="49">
        <f t="shared" si="114"/>
        <v>1</v>
      </c>
    </row>
    <row r="1070" spans="1:18" x14ac:dyDescent="0.35">
      <c r="A1070" s="64" t="s">
        <v>77</v>
      </c>
      <c r="B1070" s="14">
        <v>-1.1103896321238205E-2</v>
      </c>
      <c r="C1070" s="12">
        <v>-1.138775510204082E-2</v>
      </c>
      <c r="D1070" s="12">
        <v>5.7933264472089796E-3</v>
      </c>
      <c r="E1070" s="12">
        <v>-1.2808227182423804E-2</v>
      </c>
      <c r="F1070" s="12">
        <v>1.1291295968229864E-3</v>
      </c>
      <c r="G1070" s="12">
        <v>1.788946122789925E-2</v>
      </c>
      <c r="H1070" s="12">
        <v>-4.3764375159723867E-3</v>
      </c>
      <c r="I1070" s="12">
        <v>4.6376043460982785E-4</v>
      </c>
      <c r="J1070" s="12">
        <v>1.0129991802318772E-2</v>
      </c>
      <c r="K1070" s="12">
        <v>-6.7811440446243765E-3</v>
      </c>
      <c r="L1070" s="12">
        <v>-3.2948929159801743E-3</v>
      </c>
      <c r="M1070" s="13">
        <f t="shared" si="109"/>
        <v>-2.1771748586194178E-3</v>
      </c>
      <c r="N1070" s="32">
        <f t="shared" si="110"/>
        <v>239.99698581516409</v>
      </c>
      <c r="O1070" s="32">
        <f t="shared" si="111"/>
        <v>173.74389885327872</v>
      </c>
      <c r="P1070" s="12">
        <f t="shared" si="112"/>
        <v>-2.1771748586194178E-3</v>
      </c>
      <c r="Q1070" s="13">
        <f t="shared" si="113"/>
        <v>8.9267214626187873E-3</v>
      </c>
      <c r="R1070" s="49" t="str">
        <f t="shared" si="114"/>
        <v/>
      </c>
    </row>
    <row r="1071" spans="1:18" x14ac:dyDescent="0.35">
      <c r="A1071" s="64" t="s">
        <v>77</v>
      </c>
      <c r="B1071" s="14">
        <v>1.5603237756451893E-3</v>
      </c>
      <c r="C1071" s="12">
        <v>2.0230378597083654E-3</v>
      </c>
      <c r="D1071" s="12">
        <v>-3.482764779424885E-3</v>
      </c>
      <c r="E1071" s="12">
        <v>5.1850273456921503E-3</v>
      </c>
      <c r="F1071" s="12">
        <v>1.9970831307729586E-2</v>
      </c>
      <c r="G1071" s="12">
        <v>-2.7080626410449171E-2</v>
      </c>
      <c r="H1071" s="12">
        <v>2.9839253056116455E-3</v>
      </c>
      <c r="I1071" s="12">
        <v>2.7481623733529581E-3</v>
      </c>
      <c r="J1071" s="12">
        <v>-4.3475740536780272E-3</v>
      </c>
      <c r="K1071" s="12">
        <v>1.090188305252715E-2</v>
      </c>
      <c r="L1071" s="12">
        <v>-5.3168044077135379E-3</v>
      </c>
      <c r="M1071" s="13">
        <f t="shared" si="109"/>
        <v>1.8280345959810198E-3</v>
      </c>
      <c r="N1071" s="32">
        <f t="shared" si="110"/>
        <v>240.43570860816536</v>
      </c>
      <c r="O1071" s="32">
        <f t="shared" si="111"/>
        <v>174.01499558953279</v>
      </c>
      <c r="P1071" s="12" t="str">
        <f t="shared" si="112"/>
        <v/>
      </c>
      <c r="Q1071" s="13">
        <f t="shared" si="113"/>
        <v>2.6771082033583051E-4</v>
      </c>
      <c r="R1071" s="49">
        <f t="shared" si="114"/>
        <v>1</v>
      </c>
    </row>
    <row r="1072" spans="1:18" x14ac:dyDescent="0.35">
      <c r="A1072" s="64">
        <v>11.03</v>
      </c>
      <c r="B1072" s="14">
        <v>-1.5411650403413191E-2</v>
      </c>
      <c r="C1072" s="12">
        <v>-2.410383189122367E-2</v>
      </c>
      <c r="D1072" s="12">
        <v>-1.5368760641634616E-2</v>
      </c>
      <c r="E1072" s="12">
        <v>-1.3213680045223275E-2</v>
      </c>
      <c r="F1072" s="12">
        <v>-7.3019141310148861E-3</v>
      </c>
      <c r="G1072" s="12">
        <v>-1.4760666338652362E-3</v>
      </c>
      <c r="H1072" s="12">
        <v>-1.5642994241842789E-2</v>
      </c>
      <c r="I1072" s="12">
        <v>-3.1533762588740299E-2</v>
      </c>
      <c r="J1072" s="12">
        <v>1.3972985561248041E-3</v>
      </c>
      <c r="K1072" s="12">
        <v>1.3071895424836555E-2</v>
      </c>
      <c r="L1072" s="12">
        <v>-2.7889328938986879E-2</v>
      </c>
      <c r="M1072" s="13">
        <f t="shared" si="109"/>
        <v>-1.3947892896714699E-2</v>
      </c>
      <c r="N1072" s="32">
        <f t="shared" si="110"/>
        <v>237.08213709595296</v>
      </c>
      <c r="O1072" s="32">
        <f t="shared" si="111"/>
        <v>171.33313731255541</v>
      </c>
      <c r="P1072" s="12">
        <f t="shared" si="112"/>
        <v>-1.3947892896714699E-2</v>
      </c>
      <c r="Q1072" s="13">
        <f t="shared" si="113"/>
        <v>1.4637575066984918E-3</v>
      </c>
      <c r="R1072" s="49" t="str">
        <f t="shared" si="114"/>
        <v/>
      </c>
    </row>
    <row r="1073" spans="1:18" x14ac:dyDescent="0.35">
      <c r="A1073" s="64" t="s">
        <v>77</v>
      </c>
      <c r="B1073" s="14">
        <v>1.5754139322881056E-3</v>
      </c>
      <c r="C1073" s="12">
        <v>-1.0344099641123039E-2</v>
      </c>
      <c r="D1073" s="12">
        <v>-1.0693970420932897E-2</v>
      </c>
      <c r="E1073" s="12">
        <v>-4.2009786370688085E-3</v>
      </c>
      <c r="F1073" s="12">
        <v>3.9274808427279151E-2</v>
      </c>
      <c r="G1073" s="12">
        <v>1.6964662818527376E-2</v>
      </c>
      <c r="H1073" s="12">
        <v>-2.5673523772381524E-3</v>
      </c>
      <c r="I1073" s="12">
        <v>1.2683259461302221E-2</v>
      </c>
      <c r="J1073" s="12">
        <v>-8.3139534883721611E-3</v>
      </c>
      <c r="K1073" s="12">
        <v>-1.5806451612903172E-2</v>
      </c>
      <c r="L1073" s="12">
        <v>3.2763532763532721E-2</v>
      </c>
      <c r="M1073" s="13">
        <f t="shared" si="109"/>
        <v>9.5901206313980369E-4</v>
      </c>
      <c r="N1073" s="32">
        <f t="shared" si="110"/>
        <v>237.30950172538294</v>
      </c>
      <c r="O1073" s="32">
        <f t="shared" si="111"/>
        <v>171.60305792414024</v>
      </c>
      <c r="P1073" s="12" t="str">
        <f t="shared" si="112"/>
        <v/>
      </c>
      <c r="Q1073" s="13">
        <f t="shared" si="113"/>
        <v>-6.1640186914830187E-4</v>
      </c>
      <c r="R1073" s="49">
        <f t="shared" si="114"/>
        <v>1</v>
      </c>
    </row>
    <row r="1074" spans="1:18" x14ac:dyDescent="0.35">
      <c r="A1074" s="64" t="s">
        <v>77</v>
      </c>
      <c r="B1074" s="14">
        <v>1.146289893115604E-3</v>
      </c>
      <c r="C1074" s="12">
        <v>-4.778156996587013E-3</v>
      </c>
      <c r="D1074" s="12">
        <v>1.6099356025758293E-3</v>
      </c>
      <c r="E1074" s="12">
        <v>-3.6434238596322333E-3</v>
      </c>
      <c r="F1074" s="12">
        <v>4.8046716191743055E-3</v>
      </c>
      <c r="G1074" s="12">
        <v>1.9381186405482698E-3</v>
      </c>
      <c r="H1074" s="12">
        <v>7.0702463182585884E-3</v>
      </c>
      <c r="I1074" s="12">
        <v>1.1245034004444321E-2</v>
      </c>
      <c r="J1074" s="12">
        <v>-2.0812569619510946E-2</v>
      </c>
      <c r="K1074" s="12">
        <v>-8.0847809461378484E-3</v>
      </c>
      <c r="L1074" s="12">
        <v>2.5020689655172346E-2</v>
      </c>
      <c r="M1074" s="13">
        <f t="shared" si="109"/>
        <v>4.5489459891179746E-3</v>
      </c>
      <c r="N1074" s="32">
        <f t="shared" si="110"/>
        <v>238.3890098314362</v>
      </c>
      <c r="O1074" s="32">
        <f t="shared" si="111"/>
        <v>171.79976477506642</v>
      </c>
      <c r="P1074" s="12" t="str">
        <f t="shared" si="112"/>
        <v/>
      </c>
      <c r="Q1074" s="13">
        <f t="shared" si="113"/>
        <v>3.4026560960023705E-3</v>
      </c>
      <c r="R1074" s="49">
        <f t="shared" si="114"/>
        <v>1</v>
      </c>
    </row>
    <row r="1075" spans="1:18" x14ac:dyDescent="0.35">
      <c r="A1075" s="64" t="s">
        <v>77</v>
      </c>
      <c r="B1075" s="14">
        <v>1.8312792769356268E-2</v>
      </c>
      <c r="C1075" s="12">
        <v>1.9675925925926041E-2</v>
      </c>
      <c r="D1075" s="12">
        <v>1.0470723306544194E-2</v>
      </c>
      <c r="E1075" s="12">
        <v>2.5597228570741093E-2</v>
      </c>
      <c r="F1075" s="12">
        <v>-5.8851657041980587E-4</v>
      </c>
      <c r="G1075" s="12">
        <v>1.5198618307425971E-3</v>
      </c>
      <c r="H1075" s="12">
        <v>2.3261833123038533E-2</v>
      </c>
      <c r="I1075" s="12">
        <v>3.9818884005859534E-2</v>
      </c>
      <c r="J1075" s="12">
        <v>-4.9095916656689553E-3</v>
      </c>
      <c r="K1075" s="12">
        <v>6.0579358960237695E-3</v>
      </c>
      <c r="L1075" s="12">
        <v>8.9350593427885983E-3</v>
      </c>
      <c r="M1075" s="13">
        <f t="shared" si="109"/>
        <v>1.697443864247809E-2</v>
      </c>
      <c r="N1075" s="32">
        <f t="shared" si="110"/>
        <v>242.43552945186104</v>
      </c>
      <c r="O1075" s="32">
        <f t="shared" si="111"/>
        <v>174.94589826521636</v>
      </c>
      <c r="P1075" s="12" t="str">
        <f t="shared" si="112"/>
        <v/>
      </c>
      <c r="Q1075" s="13">
        <f t="shared" si="113"/>
        <v>-1.338354126878178E-3</v>
      </c>
      <c r="R1075" s="49">
        <f t="shared" si="114"/>
        <v>1</v>
      </c>
    </row>
    <row r="1076" spans="1:18" x14ac:dyDescent="0.35">
      <c r="A1076" s="64" t="s">
        <v>77</v>
      </c>
      <c r="B1076" s="14">
        <v>-2.112636997870454E-3</v>
      </c>
      <c r="C1076" s="12">
        <v>-4.0400218606802096E-2</v>
      </c>
      <c r="D1076" s="12">
        <v>1.1952915511521223E-2</v>
      </c>
      <c r="E1076" s="12">
        <v>-4.0580798010837471E-3</v>
      </c>
      <c r="F1076" s="12">
        <v>-6.0413676346104284E-2</v>
      </c>
      <c r="G1076" s="12">
        <v>1.93143408981169E-2</v>
      </c>
      <c r="H1076" s="12">
        <v>3.0669027444036878E-3</v>
      </c>
      <c r="I1076" s="12">
        <v>-2.6895491803278215E-3</v>
      </c>
      <c r="J1076" s="12">
        <v>1.6425992779783405E-2</v>
      </c>
      <c r="K1076" s="12">
        <v>-4.3792423910671285E-4</v>
      </c>
      <c r="L1076" s="12">
        <v>1.5097762010189753E-2</v>
      </c>
      <c r="M1076" s="13">
        <f t="shared" si="109"/>
        <v>4.6714895088371833E-3</v>
      </c>
      <c r="N1076" s="32">
        <f t="shared" si="110"/>
        <v>243.5680644842648</v>
      </c>
      <c r="O1076" s="32">
        <f t="shared" si="111"/>
        <v>174.57630108791557</v>
      </c>
      <c r="P1076" s="12" t="str">
        <f t="shared" si="112"/>
        <v/>
      </c>
      <c r="Q1076" s="13">
        <f t="shared" si="113"/>
        <v>6.7841265067076374E-3</v>
      </c>
      <c r="R1076" s="49">
        <f t="shared" si="114"/>
        <v>1</v>
      </c>
    </row>
    <row r="1077" spans="1:18" x14ac:dyDescent="0.35">
      <c r="A1077" s="64">
        <v>10.95</v>
      </c>
      <c r="B1077" s="14">
        <v>9.9910060734267336E-3</v>
      </c>
      <c r="C1077" s="12">
        <v>7.5352668010164603E-3</v>
      </c>
      <c r="D1077" s="12">
        <v>9.5661546752896509E-3</v>
      </c>
      <c r="E1077" s="12">
        <v>1.0480945875924519E-2</v>
      </c>
      <c r="F1077" s="12">
        <v>-1.6255704185353936E-3</v>
      </c>
      <c r="G1077" s="12">
        <v>-5.0077823644854025E-3</v>
      </c>
      <c r="H1077" s="12">
        <v>7.4704491725767763E-3</v>
      </c>
      <c r="I1077" s="12">
        <v>3.467317323744723E-3</v>
      </c>
      <c r="J1077" s="12">
        <v>1.2786361214704334E-2</v>
      </c>
      <c r="K1077" s="12">
        <v>7.0098576122672451E-3</v>
      </c>
      <c r="L1077" s="12">
        <v>1.4373932466167361E-2</v>
      </c>
      <c r="M1077" s="13">
        <f t="shared" si="109"/>
        <v>8.764859494863898E-3</v>
      </c>
      <c r="N1077" s="32">
        <f t="shared" si="110"/>
        <v>245.70290434690534</v>
      </c>
      <c r="O1077" s="32">
        <f t="shared" si="111"/>
        <v>176.32049397236131</v>
      </c>
      <c r="P1077" s="12" t="str">
        <f t="shared" si="112"/>
        <v/>
      </c>
      <c r="Q1077" s="13">
        <f t="shared" si="113"/>
        <v>-1.2261465785628357E-3</v>
      </c>
      <c r="R1077" s="49">
        <f t="shared" si="114"/>
        <v>1</v>
      </c>
    </row>
    <row r="1078" spans="1:18" x14ac:dyDescent="0.35">
      <c r="A1078" s="64" t="s">
        <v>77</v>
      </c>
      <c r="B1078" s="14">
        <v>8.7682143059637507E-3</v>
      </c>
      <c r="C1078" s="12">
        <v>-3.1915818766849346E-2</v>
      </c>
      <c r="D1078" s="12">
        <v>-2.3577561279416459E-3</v>
      </c>
      <c r="E1078" s="12">
        <v>-1.2353448476796203E-3</v>
      </c>
      <c r="F1078" s="12">
        <v>2.9876804770872623E-2</v>
      </c>
      <c r="G1078" s="12">
        <v>7.6174930286336817E-3</v>
      </c>
      <c r="H1078" s="12">
        <v>1.2546148551404679E-2</v>
      </c>
      <c r="I1078" s="12">
        <v>1.7244689019708215E-2</v>
      </c>
      <c r="J1078" s="12">
        <v>2.6126600035069281E-2</v>
      </c>
      <c r="K1078" s="12">
        <v>1.2399390907113395E-2</v>
      </c>
      <c r="L1078" s="12">
        <v>3.1967255582612486E-2</v>
      </c>
      <c r="M1078" s="13">
        <f t="shared" si="109"/>
        <v>1.071479190404992E-2</v>
      </c>
      <c r="N1078" s="32">
        <f t="shared" si="110"/>
        <v>248.33555983720314</v>
      </c>
      <c r="O1078" s="32">
        <f t="shared" si="111"/>
        <v>177.86650985004437</v>
      </c>
      <c r="P1078" s="12" t="str">
        <f t="shared" si="112"/>
        <v/>
      </c>
      <c r="Q1078" s="13">
        <f t="shared" si="113"/>
        <v>1.9465775980861688E-3</v>
      </c>
      <c r="R1078" s="49">
        <f t="shared" si="114"/>
        <v>1</v>
      </c>
    </row>
    <row r="1079" spans="1:18" x14ac:dyDescent="0.35">
      <c r="A1079" s="64" t="s">
        <v>77</v>
      </c>
      <c r="B1079" s="14">
        <v>6.1379611323075789E-3</v>
      </c>
      <c r="C1079" s="12">
        <v>5.3449514911967366E-3</v>
      </c>
      <c r="D1079" s="12">
        <v>-4.4591099616516638E-3</v>
      </c>
      <c r="E1079" s="12">
        <v>4.1306884480746708E-2</v>
      </c>
      <c r="F1079" s="12">
        <v>-1.0038286443551314E-2</v>
      </c>
      <c r="G1079" s="12">
        <v>-1.9439757003037461E-2</v>
      </c>
      <c r="H1079" s="12">
        <v>-2.1629638785025662E-4</v>
      </c>
      <c r="I1079" s="12">
        <v>1.3524139015568482E-2</v>
      </c>
      <c r="J1079" s="12">
        <v>-4.3290043290042934E-3</v>
      </c>
      <c r="K1079" s="12">
        <v>1.611516974645566E-3</v>
      </c>
      <c r="L1079" s="12">
        <v>-1.8827191485089045E-3</v>
      </c>
      <c r="M1079" s="13">
        <f t="shared" si="109"/>
        <v>7.1584222997474649E-3</v>
      </c>
      <c r="N1079" s="32">
        <f t="shared" si="110"/>
        <v>250.11325064656202</v>
      </c>
      <c r="O1079" s="32">
        <f t="shared" si="111"/>
        <v>178.95824757424313</v>
      </c>
      <c r="P1079" s="12" t="str">
        <f t="shared" si="112"/>
        <v/>
      </c>
      <c r="Q1079" s="13">
        <f t="shared" si="113"/>
        <v>1.020461167439886E-3</v>
      </c>
      <c r="R1079" s="49">
        <f t="shared" si="114"/>
        <v>1</v>
      </c>
    </row>
    <row r="1080" spans="1:18" x14ac:dyDescent="0.35">
      <c r="A1080" s="64" t="s">
        <v>77</v>
      </c>
      <c r="B1080" s="14">
        <v>5.31351199483443E-3</v>
      </c>
      <c r="C1080" s="12">
        <v>-7.5950498145926915E-4</v>
      </c>
      <c r="D1080" s="12">
        <v>1.2451849861148334E-2</v>
      </c>
      <c r="E1080" s="12">
        <v>1.1429852084265946E-3</v>
      </c>
      <c r="F1080" s="12">
        <v>1.9337335488339713E-2</v>
      </c>
      <c r="G1080" s="12">
        <v>9.4307152199351041E-3</v>
      </c>
      <c r="H1080" s="12">
        <v>1.4371368525157635E-2</v>
      </c>
      <c r="I1080" s="12">
        <v>1.1233514352211094E-2</v>
      </c>
      <c r="J1080" s="12">
        <v>2.1167048054919757E-2</v>
      </c>
      <c r="K1080" s="12">
        <v>6.2211734420249964E-3</v>
      </c>
      <c r="L1080" s="12">
        <v>2.2107089861924889E-2</v>
      </c>
      <c r="M1080" s="13">
        <f t="shared" si="109"/>
        <v>1.0894614642330354E-2</v>
      </c>
      <c r="N1080" s="32">
        <f t="shared" si="110"/>
        <v>252.83813812929688</v>
      </c>
      <c r="O1080" s="32">
        <f t="shared" si="111"/>
        <v>179.90914436930342</v>
      </c>
      <c r="P1080" s="12" t="str">
        <f t="shared" si="112"/>
        <v/>
      </c>
      <c r="Q1080" s="13">
        <f t="shared" si="113"/>
        <v>5.5811026474959242E-3</v>
      </c>
      <c r="R1080" s="49">
        <f t="shared" si="114"/>
        <v>1</v>
      </c>
    </row>
    <row r="1081" spans="1:18" x14ac:dyDescent="0.35">
      <c r="A1081" s="64" t="s">
        <v>77</v>
      </c>
      <c r="B1081" s="14">
        <v>-2.8551769899211044E-3</v>
      </c>
      <c r="C1081" s="12">
        <v>-3.934543503532173E-3</v>
      </c>
      <c r="D1081" s="12">
        <v>-5.4857547336754076E-3</v>
      </c>
      <c r="E1081" s="12">
        <v>-5.932260303104897E-3</v>
      </c>
      <c r="F1081" s="12">
        <v>5.1720557977990023E-3</v>
      </c>
      <c r="G1081" s="12">
        <v>1.2274959083469206E-3</v>
      </c>
      <c r="H1081" s="12">
        <v>6.063191249504829E-3</v>
      </c>
      <c r="I1081" s="12">
        <v>-1.3901248964310997E-2</v>
      </c>
      <c r="J1081" s="12">
        <v>-1.3669467787114864E-2</v>
      </c>
      <c r="K1081" s="12">
        <v>1.012685214795872E-2</v>
      </c>
      <c r="L1081" s="12">
        <v>3.0265748031497175E-3</v>
      </c>
      <c r="M1081" s="13">
        <f t="shared" si="109"/>
        <v>-2.2262600280755639E-3</v>
      </c>
      <c r="N1081" s="32">
        <f t="shared" si="110"/>
        <v>252.27525468880657</v>
      </c>
      <c r="O1081" s="32">
        <f t="shared" si="111"/>
        <v>179.39547192002379</v>
      </c>
      <c r="P1081" s="12">
        <f t="shared" si="112"/>
        <v>-2.2262600280755639E-3</v>
      </c>
      <c r="Q1081" s="13">
        <f t="shared" si="113"/>
        <v>6.2891696184554048E-4</v>
      </c>
      <c r="R1081" s="49" t="str">
        <f t="shared" si="114"/>
        <v/>
      </c>
    </row>
    <row r="1082" spans="1:18" x14ac:dyDescent="0.35">
      <c r="A1082" s="64">
        <v>11</v>
      </c>
      <c r="B1082" s="14">
        <v>-1.45806426234667E-2</v>
      </c>
      <c r="C1082" s="12">
        <v>3.17802316186373E-2</v>
      </c>
      <c r="D1082" s="12">
        <v>-2.9804270462634452E-3</v>
      </c>
      <c r="E1082" s="12">
        <v>-2.1393505382155564E-2</v>
      </c>
      <c r="F1082" s="12">
        <v>2.0675668062571484E-2</v>
      </c>
      <c r="G1082" s="12">
        <v>4.1343141261408478E-2</v>
      </c>
      <c r="H1082" s="12">
        <v>1.3143549364021956E-2</v>
      </c>
      <c r="I1082" s="12">
        <v>-1.5310885666272367E-2</v>
      </c>
      <c r="J1082" s="12">
        <v>-5.111893672611667E-3</v>
      </c>
      <c r="K1082" s="12">
        <v>2.7859856479527156E-2</v>
      </c>
      <c r="L1082" s="12">
        <v>-3.1033044672865051E-2</v>
      </c>
      <c r="M1082" s="13">
        <f t="shared" si="109"/>
        <v>-5.7842596419957941E-3</v>
      </c>
      <c r="N1082" s="32">
        <f t="shared" si="110"/>
        <v>250.81602911443591</v>
      </c>
      <c r="O1082" s="32">
        <f t="shared" si="111"/>
        <v>176.77977065568976</v>
      </c>
      <c r="P1082" s="12">
        <f t="shared" si="112"/>
        <v>-5.7842596419957941E-3</v>
      </c>
      <c r="Q1082" s="13">
        <f t="shared" si="113"/>
        <v>8.7963829814709064E-3</v>
      </c>
      <c r="R1082" s="49" t="str">
        <f t="shared" si="114"/>
        <v/>
      </c>
    </row>
    <row r="1083" spans="1:18" x14ac:dyDescent="0.35">
      <c r="A1083" s="64" t="s">
        <v>77</v>
      </c>
      <c r="B1083" s="14">
        <v>9.2178009008230255E-3</v>
      </c>
      <c r="C1083" s="12">
        <v>3.6543983294178961E-2</v>
      </c>
      <c r="D1083" s="12">
        <v>6.8263953955294276E-3</v>
      </c>
      <c r="E1083" s="12">
        <v>2.9086892488954241E-2</v>
      </c>
      <c r="F1083" s="12">
        <v>-1.9134530468059019E-3</v>
      </c>
      <c r="G1083" s="12">
        <v>-1.6417031852966169E-2</v>
      </c>
      <c r="H1083" s="12">
        <v>-1.7935075028396863E-4</v>
      </c>
      <c r="I1083" s="12">
        <v>1.959421022691421E-3</v>
      </c>
      <c r="J1083" s="12">
        <v>1.4957752911623601E-2</v>
      </c>
      <c r="K1083" s="12">
        <v>-1.1293634496919447E-3</v>
      </c>
      <c r="L1083" s="12">
        <v>-1.1874018937667707E-2</v>
      </c>
      <c r="M1083" s="13">
        <f t="shared" si="109"/>
        <v>4.019924251943011E-3</v>
      </c>
      <c r="N1083" s="32">
        <f t="shared" si="110"/>
        <v>251.82429055264907</v>
      </c>
      <c r="O1083" s="32">
        <f t="shared" si="111"/>
        <v>178.40929138488707</v>
      </c>
      <c r="P1083" s="12" t="str">
        <f t="shared" si="112"/>
        <v/>
      </c>
      <c r="Q1083" s="13">
        <f t="shared" si="113"/>
        <v>-5.1978766488800145E-3</v>
      </c>
      <c r="R1083" s="49">
        <f t="shared" si="114"/>
        <v>1</v>
      </c>
    </row>
    <row r="1084" spans="1:18" x14ac:dyDescent="0.35">
      <c r="A1084" s="64" t="s">
        <v>77</v>
      </c>
      <c r="B1084" s="14">
        <v>-4.6788733787100911E-3</v>
      </c>
      <c r="C1084" s="12">
        <v>4.6168051708219693E-3</v>
      </c>
      <c r="D1084" s="12">
        <v>1.3161393246476916E-2</v>
      </c>
      <c r="E1084" s="12">
        <v>-1.08899821109123E-2</v>
      </c>
      <c r="F1084" s="12">
        <v>-8.0740303790001189E-3</v>
      </c>
      <c r="G1084" s="12">
        <v>5.1203617502328935E-3</v>
      </c>
      <c r="H1084" s="12">
        <v>4.1856015307342176E-3</v>
      </c>
      <c r="I1084" s="12">
        <v>-5.6459752712592071E-3</v>
      </c>
      <c r="J1084" s="12">
        <v>-2.3174710316121061E-2</v>
      </c>
      <c r="K1084" s="12">
        <v>2.1584952204747321E-3</v>
      </c>
      <c r="L1084" s="12">
        <v>7.5328601808910545E-3</v>
      </c>
      <c r="M1084" s="13">
        <f t="shared" si="109"/>
        <v>2.7789135052546103E-3</v>
      </c>
      <c r="N1084" s="32">
        <f t="shared" si="110"/>
        <v>252.52408847461703</v>
      </c>
      <c r="O1084" s="32">
        <f t="shared" si="111"/>
        <v>177.5745369009118</v>
      </c>
      <c r="P1084" s="12" t="str">
        <f t="shared" si="112"/>
        <v/>
      </c>
      <c r="Q1084" s="13">
        <f t="shared" si="113"/>
        <v>7.457786883964701E-3</v>
      </c>
      <c r="R1084" s="49">
        <f t="shared" si="114"/>
        <v>1</v>
      </c>
    </row>
    <row r="1085" spans="1:18" x14ac:dyDescent="0.35">
      <c r="A1085" s="64" t="s">
        <v>77</v>
      </c>
      <c r="B1085" s="14">
        <v>5.2754370946348494E-3</v>
      </c>
      <c r="C1085" s="12">
        <v>-7.3947192513369453E-3</v>
      </c>
      <c r="D1085" s="12">
        <v>0.12964177929405585</v>
      </c>
      <c r="E1085" s="12">
        <v>-6.1809056586711209E-2</v>
      </c>
      <c r="F1085" s="12">
        <v>1.3882178033822745E-2</v>
      </c>
      <c r="G1085" s="12">
        <v>1.1379424412834904E-2</v>
      </c>
      <c r="H1085" s="12">
        <v>2.1346909610575171E-2</v>
      </c>
      <c r="I1085" s="12">
        <v>1.1736716891356025E-2</v>
      </c>
      <c r="J1085" s="12">
        <v>3.380168144650475E-2</v>
      </c>
      <c r="K1085" s="12">
        <v>1.1794871794871931E-2</v>
      </c>
      <c r="L1085" s="12">
        <v>-4.6410497673117557E-2</v>
      </c>
      <c r="M1085" s="13">
        <f t="shared" si="109"/>
        <v>2.4017938140306963E-2</v>
      </c>
      <c r="N1085" s="32">
        <f t="shared" si="110"/>
        <v>258.5891964105378</v>
      </c>
      <c r="O1085" s="32">
        <f t="shared" si="111"/>
        <v>178.51132019994148</v>
      </c>
      <c r="P1085" s="12" t="str">
        <f t="shared" si="112"/>
        <v/>
      </c>
      <c r="Q1085" s="13">
        <f t="shared" si="113"/>
        <v>1.8742501045672114E-2</v>
      </c>
      <c r="R1085" s="49">
        <f t="shared" si="114"/>
        <v>1</v>
      </c>
    </row>
    <row r="1086" spans="1:18" x14ac:dyDescent="0.35">
      <c r="A1086" s="64" t="s">
        <v>77</v>
      </c>
      <c r="B1086" s="14">
        <v>-5.0468031697350479E-3</v>
      </c>
      <c r="C1086" s="12">
        <v>-6.6922008502041663E-3</v>
      </c>
      <c r="D1086" s="12">
        <v>-9.95082665427649E-3</v>
      </c>
      <c r="E1086" s="12">
        <v>1.6867876334369925E-4</v>
      </c>
      <c r="F1086" s="12">
        <v>-5.6454717084883921E-3</v>
      </c>
      <c r="G1086" s="12">
        <v>-4.7098842153463494E-3</v>
      </c>
      <c r="H1086" s="12">
        <v>-3.6437837049992927E-3</v>
      </c>
      <c r="I1086" s="12">
        <v>-4.7029314939646127E-3</v>
      </c>
      <c r="J1086" s="12">
        <v>-1.6766000111401946E-2</v>
      </c>
      <c r="K1086" s="12">
        <v>-4.9670552458186412E-3</v>
      </c>
      <c r="L1086" s="12">
        <v>-9.4405034935196586E-3</v>
      </c>
      <c r="M1086" s="13">
        <f t="shared" si="109"/>
        <v>-6.332427456781824E-3</v>
      </c>
      <c r="N1086" s="32">
        <f t="shared" si="110"/>
        <v>256.95169908316052</v>
      </c>
      <c r="O1086" s="32">
        <f t="shared" si="111"/>
        <v>177.61040870332283</v>
      </c>
      <c r="P1086" s="12">
        <f t="shared" si="112"/>
        <v>-6.332427456781824E-3</v>
      </c>
      <c r="Q1086" s="13">
        <f t="shared" si="113"/>
        <v>-1.2856242870467761E-3</v>
      </c>
      <c r="R1086" s="49" t="str">
        <f t="shared" si="114"/>
        <v/>
      </c>
    </row>
    <row r="1087" spans="1:18" x14ac:dyDescent="0.35">
      <c r="A1087" s="64">
        <v>11.03</v>
      </c>
      <c r="B1087" s="14">
        <v>-7.6086038807853251E-3</v>
      </c>
      <c r="C1087" s="12">
        <v>-3.3855932203389894E-2</v>
      </c>
      <c r="D1087" s="12">
        <v>1.9671490027376004E-2</v>
      </c>
      <c r="E1087" s="12">
        <v>-9.9744615236351253E-3</v>
      </c>
      <c r="F1087" s="12">
        <v>1.0488672602259941E-2</v>
      </c>
      <c r="G1087" s="12">
        <v>-1.8402891883010364E-3</v>
      </c>
      <c r="H1087" s="12">
        <v>1.1761263897015706E-2</v>
      </c>
      <c r="I1087" s="12">
        <v>-2.8980941880611955E-3</v>
      </c>
      <c r="J1087" s="12">
        <v>-3.682302288692485E-3</v>
      </c>
      <c r="K1087" s="12">
        <v>1.4058679706601573E-2</v>
      </c>
      <c r="L1087" s="12">
        <v>-2.6626103812190327E-2</v>
      </c>
      <c r="M1087" s="13">
        <f t="shared" si="109"/>
        <v>2.0742448764885591E-3</v>
      </c>
      <c r="N1087" s="32">
        <f t="shared" si="110"/>
        <v>257.48467982848877</v>
      </c>
      <c r="O1087" s="32">
        <f t="shared" si="111"/>
        <v>176.25904145839488</v>
      </c>
      <c r="P1087" s="12" t="str">
        <f t="shared" si="112"/>
        <v/>
      </c>
      <c r="Q1087" s="13">
        <f t="shared" si="113"/>
        <v>9.6828487572738833E-3</v>
      </c>
      <c r="R1087" s="49">
        <f t="shared" si="114"/>
        <v>1</v>
      </c>
    </row>
    <row r="1088" spans="1:18" x14ac:dyDescent="0.35">
      <c r="A1088" s="64" t="s">
        <v>77</v>
      </c>
      <c r="B1088" s="14">
        <v>7.2248718423506553E-3</v>
      </c>
      <c r="C1088" s="12">
        <v>2.1007850532871464E-2</v>
      </c>
      <c r="D1088" s="12">
        <v>1.4305987036397738E-2</v>
      </c>
      <c r="E1088" s="12">
        <v>3.5286673805119406E-3</v>
      </c>
      <c r="F1088" s="12">
        <v>-4.9801160202851413E-3</v>
      </c>
      <c r="G1088" s="12">
        <v>1.0667017844208981E-2</v>
      </c>
      <c r="H1088" s="12">
        <v>-1.9374240934590947E-3</v>
      </c>
      <c r="I1088" s="12">
        <v>-2.2114807443212037E-3</v>
      </c>
      <c r="J1088" s="12">
        <v>2.0469665093534317E-3</v>
      </c>
      <c r="K1088" s="12">
        <v>1.2356841470765323E-2</v>
      </c>
      <c r="L1088" s="12">
        <v>1.1063476697552588E-3</v>
      </c>
      <c r="M1088" s="13">
        <f t="shared" si="109"/>
        <v>6.9464015424974476E-3</v>
      </c>
      <c r="N1088" s="32">
        <f t="shared" si="110"/>
        <v>259.27327180561883</v>
      </c>
      <c r="O1088" s="32">
        <f t="shared" si="111"/>
        <v>177.53249044398734</v>
      </c>
      <c r="P1088" s="12" t="str">
        <f t="shared" si="112"/>
        <v/>
      </c>
      <c r="Q1088" s="13">
        <f t="shared" si="113"/>
        <v>-2.7847029985320765E-4</v>
      </c>
      <c r="R1088" s="49">
        <f t="shared" si="114"/>
        <v>1</v>
      </c>
    </row>
    <row r="1089" spans="1:18" x14ac:dyDescent="0.35">
      <c r="A1089" s="64" t="s">
        <v>77</v>
      </c>
      <c r="B1089" s="14">
        <v>3.9086566808217427E-3</v>
      </c>
      <c r="C1089" s="12">
        <v>-1.4175257731959823E-3</v>
      </c>
      <c r="D1089" s="12">
        <v>-4.386296604401263E-3</v>
      </c>
      <c r="E1089" s="12">
        <v>2.2310061352668331E-3</v>
      </c>
      <c r="F1089" s="12">
        <v>-1.034008616738491E-2</v>
      </c>
      <c r="G1089" s="12">
        <v>7.8180988989509093E-3</v>
      </c>
      <c r="H1089" s="12">
        <v>1.2429378531073398E-2</v>
      </c>
      <c r="I1089" s="12">
        <v>1.4881423550644257E-2</v>
      </c>
      <c r="J1089" s="12">
        <v>3.1833399534699103E-2</v>
      </c>
      <c r="K1089" s="12">
        <v>1.6770864344546998E-2</v>
      </c>
      <c r="L1089" s="12">
        <v>-8.5647188838235966E-3</v>
      </c>
      <c r="M1089" s="13">
        <f t="shared" si="109"/>
        <v>4.2665085118738242E-3</v>
      </c>
      <c r="N1089" s="32">
        <f t="shared" si="110"/>
        <v>260.37946342667885</v>
      </c>
      <c r="O1089" s="32">
        <f t="shared" si="111"/>
        <v>178.22640399882417</v>
      </c>
      <c r="P1089" s="12" t="str">
        <f t="shared" si="112"/>
        <v/>
      </c>
      <c r="Q1089" s="13">
        <f t="shared" si="113"/>
        <v>3.5785183105208149E-4</v>
      </c>
      <c r="R1089" s="49">
        <f t="shared" si="114"/>
        <v>1</v>
      </c>
    </row>
    <row r="1090" spans="1:18" x14ac:dyDescent="0.35">
      <c r="A1090" s="64" t="s">
        <v>77</v>
      </c>
      <c r="B1090" s="14">
        <v>3.64432448840879E-3</v>
      </c>
      <c r="C1090" s="12">
        <v>3.2262227384178832E-3</v>
      </c>
      <c r="D1090" s="12">
        <v>-3.7447778199772186E-2</v>
      </c>
      <c r="E1090" s="12">
        <v>6.1216095235789858E-3</v>
      </c>
      <c r="F1090" s="12">
        <v>-1.8098960745447479E-2</v>
      </c>
      <c r="G1090" s="12">
        <v>-7.6281595448962625E-3</v>
      </c>
      <c r="H1090" s="12">
        <v>-5.608974358974339E-3</v>
      </c>
      <c r="I1090" s="12">
        <v>-1.1855364552459946E-3</v>
      </c>
      <c r="J1090" s="12">
        <v>1.6278046634403909E-2</v>
      </c>
      <c r="K1090" s="12">
        <v>3.806363458910722E-3</v>
      </c>
      <c r="L1090" s="12">
        <v>1.8392085829733729E-2</v>
      </c>
      <c r="M1090" s="13">
        <f t="shared" si="109"/>
        <v>-5.6806487831605919E-3</v>
      </c>
      <c r="N1090" s="32">
        <f t="shared" si="110"/>
        <v>258.90033914460412</v>
      </c>
      <c r="O1090" s="32">
        <f t="shared" si="111"/>
        <v>178.87591884739811</v>
      </c>
      <c r="P1090" s="12">
        <f t="shared" si="112"/>
        <v>-5.6806487831605919E-3</v>
      </c>
      <c r="Q1090" s="13">
        <f t="shared" si="113"/>
        <v>-9.3249732715693819E-3</v>
      </c>
      <c r="R1090" s="49" t="str">
        <f t="shared" si="114"/>
        <v/>
      </c>
    </row>
    <row r="1091" spans="1:18" x14ac:dyDescent="0.35">
      <c r="A1091" s="64" t="s">
        <v>77</v>
      </c>
      <c r="B1091" s="14">
        <v>-9.464837258386094E-3</v>
      </c>
      <c r="C1091" s="12">
        <v>-2.3968784838350077E-2</v>
      </c>
      <c r="D1091" s="12">
        <v>-4.3402777777777901E-3</v>
      </c>
      <c r="E1091" s="12">
        <v>-1.4597662450098636E-2</v>
      </c>
      <c r="F1091" s="12">
        <v>-5.6788166930797912E-3</v>
      </c>
      <c r="G1091" s="12">
        <v>-2.540551104162514E-3</v>
      </c>
      <c r="H1091" s="12">
        <v>1.5540462760446072E-3</v>
      </c>
      <c r="I1091" s="12">
        <v>-1.0557551147899358E-2</v>
      </c>
      <c r="J1091" s="12">
        <v>-1.7911255411255378E-2</v>
      </c>
      <c r="K1091" s="12">
        <v>-1.6528925619834656E-2</v>
      </c>
      <c r="L1091" s="12">
        <v>-4.2960733342454205E-3</v>
      </c>
      <c r="M1091" s="13">
        <f t="shared" si="109"/>
        <v>-9.682394475868536E-3</v>
      </c>
      <c r="N1091" s="32">
        <f t="shared" si="110"/>
        <v>256.39356393106993</v>
      </c>
      <c r="O1091" s="32">
        <f t="shared" si="111"/>
        <v>177.18288738606321</v>
      </c>
      <c r="P1091" s="12">
        <f t="shared" si="112"/>
        <v>-9.682394475868536E-3</v>
      </c>
      <c r="Q1091" s="13">
        <f t="shared" si="113"/>
        <v>-2.1755721748244194E-4</v>
      </c>
      <c r="R1091" s="49" t="str">
        <f t="shared" si="114"/>
        <v/>
      </c>
    </row>
    <row r="1092" spans="1:18" x14ac:dyDescent="0.35">
      <c r="A1092" s="64">
        <v>11.04</v>
      </c>
      <c r="B1092" s="14">
        <v>6.712589964470439E-3</v>
      </c>
      <c r="C1092" s="12">
        <v>8.786188112286375E-5</v>
      </c>
      <c r="D1092" s="12">
        <v>-1.2166125069350886E-2</v>
      </c>
      <c r="E1092" s="12">
        <v>6.028065893837864E-3</v>
      </c>
      <c r="F1092" s="12">
        <v>1.2029675730034439E-2</v>
      </c>
      <c r="G1092" s="12">
        <v>7.3145245559038674E-3</v>
      </c>
      <c r="H1092" s="12">
        <v>9.2236078386300768E-3</v>
      </c>
      <c r="I1092" s="12">
        <v>-2.0551188559522648E-2</v>
      </c>
      <c r="J1092" s="12">
        <v>-5.1793487244475855E-3</v>
      </c>
      <c r="K1092" s="12">
        <v>1.7498764211566931E-2</v>
      </c>
      <c r="L1092" s="12">
        <v>-1.8137847642079041E-3</v>
      </c>
      <c r="M1092" s="13">
        <f t="shared" si="109"/>
        <v>-2.8535266910113492E-3</v>
      </c>
      <c r="N1092" s="32">
        <f t="shared" si="110"/>
        <v>255.66193805298909</v>
      </c>
      <c r="O1092" s="32">
        <f t="shared" si="111"/>
        <v>178.3722434578068</v>
      </c>
      <c r="P1092" s="12">
        <f t="shared" si="112"/>
        <v>-2.8535266910113492E-3</v>
      </c>
      <c r="Q1092" s="13">
        <f t="shared" si="113"/>
        <v>-9.5661166554817881E-3</v>
      </c>
      <c r="R1092" s="49" t="str">
        <f t="shared" si="114"/>
        <v/>
      </c>
    </row>
    <row r="1093" spans="1:18" x14ac:dyDescent="0.35">
      <c r="A1093" s="64" t="s">
        <v>77</v>
      </c>
      <c r="B1093" s="14">
        <v>3.3957312690802155E-4</v>
      </c>
      <c r="C1093" s="12">
        <v>2.1831759279595797E-2</v>
      </c>
      <c r="D1093" s="12">
        <v>2.1783608135756305E-2</v>
      </c>
      <c r="E1093" s="12">
        <v>-1.8921934889137848E-3</v>
      </c>
      <c r="F1093" s="12">
        <v>1.0311791064363529E-3</v>
      </c>
      <c r="G1093" s="12">
        <v>1.2253630705394203E-2</v>
      </c>
      <c r="H1093" s="12">
        <v>-1.4520399738062739E-3</v>
      </c>
      <c r="I1093" s="12">
        <v>-2.2239412105975465E-3</v>
      </c>
      <c r="J1093" s="12">
        <v>-6.0924951536978078E-4</v>
      </c>
      <c r="K1093" s="12">
        <v>-4.37232802176446E-3</v>
      </c>
      <c r="L1093" s="12">
        <v>-2.7256208358570344E-3</v>
      </c>
      <c r="M1093" s="13">
        <f t="shared" si="109"/>
        <v>3.8488888217644412E-3</v>
      </c>
      <c r="N1093" s="32">
        <f t="shared" si="110"/>
        <v>256.64595242851186</v>
      </c>
      <c r="O1093" s="32">
        <f t="shared" si="111"/>
        <v>178.43281387827136</v>
      </c>
      <c r="P1093" s="12" t="str">
        <f t="shared" si="112"/>
        <v/>
      </c>
      <c r="Q1093" s="13">
        <f t="shared" si="113"/>
        <v>3.5093156948564196E-3</v>
      </c>
      <c r="R1093" s="49">
        <f t="shared" si="114"/>
        <v>1</v>
      </c>
    </row>
    <row r="1094" spans="1:18" x14ac:dyDescent="0.35">
      <c r="A1094" s="64" t="s">
        <v>77</v>
      </c>
      <c r="B1094" s="14">
        <v>-2.7239021174919609E-3</v>
      </c>
      <c r="C1094" s="12">
        <v>1.8270140142722102E-2</v>
      </c>
      <c r="D1094" s="12">
        <v>4.358068315665653E-3</v>
      </c>
      <c r="E1094" s="12">
        <v>-5.8331713007971908E-3</v>
      </c>
      <c r="F1094" s="12">
        <v>-1.2211567275996371E-2</v>
      </c>
      <c r="G1094" s="12">
        <v>-5.5722795106641909E-3</v>
      </c>
      <c r="H1094" s="12">
        <v>2.195483576642232E-3</v>
      </c>
      <c r="I1094" s="12">
        <v>-1.0240010336919014E-2</v>
      </c>
      <c r="J1094" s="12">
        <v>3.2199068942584841E-2</v>
      </c>
      <c r="K1094" s="12">
        <v>1.1125207377769009E-2</v>
      </c>
      <c r="L1094" s="12">
        <v>-2.813129779421919E-2</v>
      </c>
      <c r="M1094" s="13">
        <f t="shared" si="109"/>
        <v>-3.8819294086698351E-3</v>
      </c>
      <c r="N1094" s="32">
        <f t="shared" si="110"/>
        <v>255.64967095816354</v>
      </c>
      <c r="O1094" s="32">
        <f t="shared" si="111"/>
        <v>177.94678035871829</v>
      </c>
      <c r="P1094" s="12">
        <f t="shared" si="112"/>
        <v>-3.8819294086698351E-3</v>
      </c>
      <c r="Q1094" s="13">
        <f t="shared" si="113"/>
        <v>-1.1580272911778742E-3</v>
      </c>
      <c r="R1094" s="49" t="str">
        <f t="shared" si="114"/>
        <v/>
      </c>
    </row>
    <row r="1095" spans="1:18" x14ac:dyDescent="0.35">
      <c r="A1095" s="64" t="s">
        <v>77</v>
      </c>
      <c r="B1095" s="14">
        <v>1.0426357037460532E-2</v>
      </c>
      <c r="C1095" s="12">
        <v>1.9673238485245159E-2</v>
      </c>
      <c r="D1095" s="12">
        <v>1.3212931472577294E-2</v>
      </c>
      <c r="E1095" s="12">
        <v>3.667123019753582E-3</v>
      </c>
      <c r="F1095" s="12">
        <v>7.1672354948804085E-3</v>
      </c>
      <c r="G1095" s="12">
        <v>1.281720984155621E-2</v>
      </c>
      <c r="H1095" s="12">
        <v>1.1778428973797217E-2</v>
      </c>
      <c r="I1095" s="12">
        <v>3.5900783289817273E-3</v>
      </c>
      <c r="J1095" s="12">
        <v>-4.3489932885906191E-3</v>
      </c>
      <c r="K1095" s="12">
        <v>1.389827236753205E-2</v>
      </c>
      <c r="L1095" s="12">
        <v>4.7153732530393899E-3</v>
      </c>
      <c r="M1095" s="13">
        <f t="shared" si="109"/>
        <v>8.7415114820294272E-3</v>
      </c>
      <c r="N1095" s="32">
        <f t="shared" si="110"/>
        <v>257.88443549222137</v>
      </c>
      <c r="O1095" s="32">
        <f t="shared" si="111"/>
        <v>179.80211702440485</v>
      </c>
      <c r="P1095" s="12" t="str">
        <f t="shared" si="112"/>
        <v/>
      </c>
      <c r="Q1095" s="13">
        <f t="shared" si="113"/>
        <v>-1.6848455554311047E-3</v>
      </c>
      <c r="R1095" s="49">
        <f t="shared" si="114"/>
        <v>1</v>
      </c>
    </row>
    <row r="1096" spans="1:18" x14ac:dyDescent="0.35">
      <c r="A1096" s="64" t="s">
        <v>77</v>
      </c>
      <c r="B1096" s="14">
        <v>-7.195338728738232E-5</v>
      </c>
      <c r="C1096" s="12">
        <v>1.2710636359872352E-2</v>
      </c>
      <c r="D1096" s="12">
        <v>8.0635826999497784E-3</v>
      </c>
      <c r="E1096" s="12">
        <v>-5.1395722706679692E-3</v>
      </c>
      <c r="F1096" s="12">
        <v>-1.4439549681840358E-2</v>
      </c>
      <c r="G1096" s="12">
        <v>-6.9952305246422375E-3</v>
      </c>
      <c r="H1096" s="12">
        <v>-5.1176784860669233E-3</v>
      </c>
      <c r="I1096" s="12">
        <v>1.151219512195123E-2</v>
      </c>
      <c r="J1096" s="12">
        <v>-5.500431406384898E-3</v>
      </c>
      <c r="K1096" s="12">
        <v>-9.6144693003330506E-3</v>
      </c>
      <c r="L1096" s="12">
        <v>-1.0743567995475933E-3</v>
      </c>
      <c r="M1096" s="13">
        <f t="shared" si="109"/>
        <v>1.3827949938948366E-3</v>
      </c>
      <c r="N1096" s="32">
        <f t="shared" si="110"/>
        <v>258.24103679862344</v>
      </c>
      <c r="O1096" s="32">
        <f t="shared" si="111"/>
        <v>179.7891796530435</v>
      </c>
      <c r="P1096" s="12" t="str">
        <f t="shared" si="112"/>
        <v/>
      </c>
      <c r="Q1096" s="13">
        <f t="shared" si="113"/>
        <v>1.4547483811822189E-3</v>
      </c>
      <c r="R1096" s="49">
        <f t="shared" si="114"/>
        <v>1</v>
      </c>
    </row>
    <row r="1097" spans="1:18" x14ac:dyDescent="0.35">
      <c r="A1097" s="64">
        <v>11</v>
      </c>
      <c r="B1097" s="14">
        <v>2.4449557863681637E-3</v>
      </c>
      <c r="C1097" s="12">
        <v>-5.3147996729352442E-4</v>
      </c>
      <c r="D1097" s="12">
        <v>6.8508879363136099E-3</v>
      </c>
      <c r="E1097" s="12">
        <v>2.9625639644492718E-3</v>
      </c>
      <c r="F1097" s="12">
        <v>-4.3513972990009697E-2</v>
      </c>
      <c r="G1097" s="12">
        <v>-7.428754402817761E-3</v>
      </c>
      <c r="H1097" s="12">
        <v>8.2530171561008281E-3</v>
      </c>
      <c r="I1097" s="12">
        <v>5.8191872427983959E-3</v>
      </c>
      <c r="J1097" s="12">
        <v>2.9823229584644562E-3</v>
      </c>
      <c r="K1097" s="12">
        <v>-2.499038831218825E-3</v>
      </c>
      <c r="L1097" s="12">
        <v>1.9246009283369059E-3</v>
      </c>
      <c r="M1097" s="13">
        <f t="shared" si="109"/>
        <v>3.1816483609090692E-3</v>
      </c>
      <c r="N1097" s="32">
        <f t="shared" si="110"/>
        <v>259.06266897007322</v>
      </c>
      <c r="O1097" s="32">
        <f t="shared" si="111"/>
        <v>180.2287562481626</v>
      </c>
      <c r="P1097" s="12" t="str">
        <f t="shared" si="112"/>
        <v/>
      </c>
      <c r="Q1097" s="13">
        <f t="shared" si="113"/>
        <v>7.3669257454090547E-4</v>
      </c>
      <c r="R1097" s="49">
        <f t="shared" si="114"/>
        <v>1</v>
      </c>
    </row>
    <row r="1098" spans="1:18" x14ac:dyDescent="0.35">
      <c r="A1098" s="64" t="s">
        <v>77</v>
      </c>
      <c r="B1098" s="14">
        <v>2.3769980977488281E-3</v>
      </c>
      <c r="C1098" s="12">
        <v>1.636192579866691E-3</v>
      </c>
      <c r="D1098" s="12">
        <v>4.7515870300680607E-3</v>
      </c>
      <c r="E1098" s="12">
        <v>1.2523191094619746E-2</v>
      </c>
      <c r="F1098" s="12">
        <v>2.0589938689513421E-2</v>
      </c>
      <c r="G1098" s="12">
        <v>1.8710884573198028E-2</v>
      </c>
      <c r="H1098" s="12">
        <v>-4.2048608191068704E-3</v>
      </c>
      <c r="I1098" s="12">
        <v>-9.3655106280965406E-3</v>
      </c>
      <c r="J1098" s="12">
        <v>6.3794128777638903E-3</v>
      </c>
      <c r="K1098" s="12">
        <v>2.1198689535555371E-3</v>
      </c>
      <c r="L1098" s="12">
        <v>-2.8248587570621764E-3</v>
      </c>
      <c r="M1098" s="13">
        <f t="shared" si="109"/>
        <v>1.2350857872636832E-3</v>
      </c>
      <c r="N1098" s="32">
        <f t="shared" si="110"/>
        <v>259.38263359052871</v>
      </c>
      <c r="O1098" s="32">
        <f t="shared" si="111"/>
        <v>180.65715965892412</v>
      </c>
      <c r="P1098" s="12" t="str">
        <f t="shared" si="112"/>
        <v/>
      </c>
      <c r="Q1098" s="13">
        <f t="shared" si="113"/>
        <v>-1.1419123104851449E-3</v>
      </c>
      <c r="R1098" s="49">
        <f t="shared" si="114"/>
        <v>1</v>
      </c>
    </row>
    <row r="1099" spans="1:18" x14ac:dyDescent="0.35">
      <c r="A1099" s="64" t="s">
        <v>77</v>
      </c>
      <c r="B1099" s="14">
        <v>-4.3342040803039383E-3</v>
      </c>
      <c r="C1099" s="12">
        <v>3.9204475844325515E-3</v>
      </c>
      <c r="D1099" s="12">
        <v>1.5889830508475367E-3</v>
      </c>
      <c r="E1099" s="12">
        <v>3.2789256696483804E-3</v>
      </c>
      <c r="F1099" s="12">
        <v>-1.6867564182842854E-2</v>
      </c>
      <c r="G1099" s="12">
        <v>1.1337006776870107E-2</v>
      </c>
      <c r="H1099" s="12">
        <v>-1.33434676125328E-2</v>
      </c>
      <c r="I1099" s="12">
        <v>-1.9553433144037125E-2</v>
      </c>
      <c r="J1099" s="12">
        <v>-2.8310502283105055E-2</v>
      </c>
      <c r="K1099" s="12">
        <v>-6.5288461538461573E-2</v>
      </c>
      <c r="L1099" s="12">
        <v>-1.0906515580736631E-2</v>
      </c>
      <c r="M1099" s="13">
        <f t="shared" si="109"/>
        <v>-1.9338485859612644E-2</v>
      </c>
      <c r="N1099" s="32">
        <f t="shared" si="110"/>
        <v>254.36656619860918</v>
      </c>
      <c r="O1099" s="32">
        <f t="shared" si="111"/>
        <v>179.87415466039428</v>
      </c>
      <c r="P1099" s="12">
        <f t="shared" si="112"/>
        <v>-1.9338485859612644E-2</v>
      </c>
      <c r="Q1099" s="13">
        <f t="shared" si="113"/>
        <v>-1.5004281779308706E-2</v>
      </c>
      <c r="R1099" s="49" t="str">
        <f t="shared" si="114"/>
        <v/>
      </c>
    </row>
    <row r="1100" spans="1:18" x14ac:dyDescent="0.35">
      <c r="A1100" s="64" t="s">
        <v>77</v>
      </c>
      <c r="B1100" s="14">
        <v>-1.70641044083224E-2</v>
      </c>
      <c r="C1100" s="12">
        <v>-1.1389984948948495E-3</v>
      </c>
      <c r="D1100" s="12">
        <v>-1.2313968421847843E-2</v>
      </c>
      <c r="E1100" s="12">
        <v>-1.9032513877874746E-2</v>
      </c>
      <c r="F1100" s="12">
        <v>-7.1653198519167183E-2</v>
      </c>
      <c r="G1100" s="12">
        <v>1.640781563126259E-2</v>
      </c>
      <c r="H1100" s="12">
        <v>-5.5921709606552295E-3</v>
      </c>
      <c r="I1100" s="12">
        <v>-2.784176923583237E-2</v>
      </c>
      <c r="J1100" s="12">
        <v>-2.0621406457319691E-2</v>
      </c>
      <c r="K1100" s="12">
        <v>-2.4997428248122566E-2</v>
      </c>
      <c r="L1100" s="12">
        <v>-2.6091937562652046E-2</v>
      </c>
      <c r="M1100" s="13">
        <f t="shared" si="109"/>
        <v>-2.141956492757998E-2</v>
      </c>
      <c r="N1100" s="32">
        <f t="shared" si="110"/>
        <v>248.91814501851249</v>
      </c>
      <c r="O1100" s="32">
        <f t="shared" si="111"/>
        <v>176.80476330491058</v>
      </c>
      <c r="P1100" s="12">
        <f t="shared" si="112"/>
        <v>-2.141956492757998E-2</v>
      </c>
      <c r="Q1100" s="13">
        <f t="shared" si="113"/>
        <v>-4.3554605192575799E-3</v>
      </c>
      <c r="R1100" s="49" t="str">
        <f t="shared" si="114"/>
        <v/>
      </c>
    </row>
    <row r="1101" spans="1:18" x14ac:dyDescent="0.35">
      <c r="A1101" s="64" t="s">
        <v>77</v>
      </c>
      <c r="B1101" s="14">
        <v>-4.9691258961639395E-3</v>
      </c>
      <c r="C1101" s="12">
        <v>6.312360008144946E-3</v>
      </c>
      <c r="D1101" s="12">
        <v>1.491509866911267E-3</v>
      </c>
      <c r="E1101" s="12">
        <v>-1.0313319124960141E-2</v>
      </c>
      <c r="F1101" s="12">
        <v>-1.0505552935122897E-2</v>
      </c>
      <c r="G1101" s="12">
        <v>8.872458410351225E-3</v>
      </c>
      <c r="H1101" s="12">
        <v>3.8160273147218593E-3</v>
      </c>
      <c r="I1101" s="12">
        <v>4.4008124576833119E-4</v>
      </c>
      <c r="J1101" s="12">
        <v>1.5580016934801044E-2</v>
      </c>
      <c r="K1101" s="12">
        <v>-1.1711331504536848E-2</v>
      </c>
      <c r="L1101" s="12">
        <v>-3.2937301493941584E-3</v>
      </c>
      <c r="M1101" s="13">
        <f t="shared" si="109"/>
        <v>-4.1195156387270485E-3</v>
      </c>
      <c r="N1101" s="32">
        <f t="shared" si="110"/>
        <v>247.89272282734581</v>
      </c>
      <c r="O1101" s="32">
        <f t="shared" si="111"/>
        <v>175.92619817700702</v>
      </c>
      <c r="P1101" s="12">
        <f t="shared" si="112"/>
        <v>-4.1195156387270485E-3</v>
      </c>
      <c r="Q1101" s="13">
        <f t="shared" si="113"/>
        <v>8.4961025743689102E-4</v>
      </c>
      <c r="R1101" s="49" t="str">
        <f t="shared" si="114"/>
        <v/>
      </c>
    </row>
    <row r="1102" spans="1:18" x14ac:dyDescent="0.35">
      <c r="A1102" s="64">
        <v>10.95</v>
      </c>
      <c r="B1102" s="14">
        <v>-4.6797309154723576E-3</v>
      </c>
      <c r="C1102" s="12">
        <v>-2.4281667341163882E-4</v>
      </c>
      <c r="D1102" s="12">
        <v>-1.5732997288731121E-2</v>
      </c>
      <c r="E1102" s="12">
        <v>-1.5099009900990112E-2</v>
      </c>
      <c r="F1102" s="12">
        <v>1.919743456404932E-2</v>
      </c>
      <c r="G1102" s="12">
        <v>1.4352021497495926E-2</v>
      </c>
      <c r="H1102" s="12">
        <v>6.3739781626934722E-3</v>
      </c>
      <c r="I1102" s="12">
        <v>-7.4104151862754986E-3</v>
      </c>
      <c r="J1102" s="12">
        <v>-9.1156689455837991E-3</v>
      </c>
      <c r="K1102" s="12">
        <v>4.2916622184263842E-2</v>
      </c>
      <c r="L1102" s="12">
        <v>1.0149887879145503E-2</v>
      </c>
      <c r="M1102" s="13">
        <f t="shared" si="109"/>
        <v>3.4853835607899309E-3</v>
      </c>
      <c r="N1102" s="32">
        <f t="shared" si="110"/>
        <v>248.7567240483277</v>
      </c>
      <c r="O1102" s="32">
        <f t="shared" si="111"/>
        <v>175.10291090855657</v>
      </c>
      <c r="P1102" s="12" t="str">
        <f t="shared" si="112"/>
        <v/>
      </c>
      <c r="Q1102" s="13">
        <f t="shared" si="113"/>
        <v>8.1651144762622876E-3</v>
      </c>
      <c r="R1102" s="49">
        <f t="shared" si="114"/>
        <v>1</v>
      </c>
    </row>
    <row r="1103" spans="1:18" x14ac:dyDescent="0.35">
      <c r="A1103" s="64" t="s">
        <v>77</v>
      </c>
      <c r="B1103" s="14">
        <v>1.3601444103938931E-4</v>
      </c>
      <c r="C1103" s="12">
        <v>-2.7040155440414382E-2</v>
      </c>
      <c r="D1103" s="12">
        <v>-7.4102812803104046E-3</v>
      </c>
      <c r="E1103" s="12">
        <v>4.599145513948244E-3</v>
      </c>
      <c r="F1103" s="12">
        <v>-1.4435137548365229E-2</v>
      </c>
      <c r="G1103" s="12">
        <v>-1.8122704557769875E-2</v>
      </c>
      <c r="H1103" s="12">
        <v>-4.1466670453577104E-3</v>
      </c>
      <c r="I1103" s="12">
        <v>9.4088770709759295E-3</v>
      </c>
      <c r="J1103" s="12">
        <v>-2.9337521736691685E-2</v>
      </c>
      <c r="K1103" s="12">
        <v>-1.5252328795168357E-2</v>
      </c>
      <c r="L1103" s="12">
        <v>6.4259843439651299E-4</v>
      </c>
      <c r="M1103" s="13">
        <f t="shared" si="109"/>
        <v>-2.8880841152825053E-3</v>
      </c>
      <c r="N1103" s="32">
        <f t="shared" si="110"/>
        <v>248.03829370503399</v>
      </c>
      <c r="O1103" s="32">
        <f t="shared" si="111"/>
        <v>175.12672743310816</v>
      </c>
      <c r="P1103" s="12">
        <f t="shared" si="112"/>
        <v>-2.8880841152825053E-3</v>
      </c>
      <c r="Q1103" s="13">
        <f t="shared" si="113"/>
        <v>-3.0240985563218946E-3</v>
      </c>
      <c r="R1103" s="49" t="str">
        <f t="shared" si="114"/>
        <v/>
      </c>
    </row>
    <row r="1104" spans="1:18" x14ac:dyDescent="0.35">
      <c r="A1104" s="64" t="s">
        <v>77</v>
      </c>
      <c r="B1104" s="14">
        <v>-1.586451446090209E-2</v>
      </c>
      <c r="C1104" s="12">
        <v>-1.273090364453322E-2</v>
      </c>
      <c r="D1104" s="12">
        <v>-1.0201688555347199E-2</v>
      </c>
      <c r="E1104" s="12">
        <v>-1.8012158206789697E-2</v>
      </c>
      <c r="F1104" s="12">
        <v>1.072067991112835E-2</v>
      </c>
      <c r="G1104" s="12">
        <v>3.9857738533233267E-3</v>
      </c>
      <c r="H1104" s="12">
        <v>1.4573767219005829E-2</v>
      </c>
      <c r="I1104" s="12">
        <v>-6.4167510976023134E-3</v>
      </c>
      <c r="J1104" s="12">
        <v>4.5654184003700582E-3</v>
      </c>
      <c r="K1104" s="12">
        <v>6.1330561330561473E-3</v>
      </c>
      <c r="L1104" s="12">
        <v>-7.5310876291668771E-3</v>
      </c>
      <c r="M1104" s="13">
        <f t="shared" si="109"/>
        <v>-6.4483417082737181E-3</v>
      </c>
      <c r="N1104" s="32">
        <f t="shared" si="110"/>
        <v>246.43885803048678</v>
      </c>
      <c r="O1104" s="32">
        <f t="shared" si="111"/>
        <v>172.34842693325515</v>
      </c>
      <c r="P1104" s="12">
        <f t="shared" si="112"/>
        <v>-6.4483417082737181E-3</v>
      </c>
      <c r="Q1104" s="13">
        <f t="shared" si="113"/>
        <v>9.4161727526283732E-3</v>
      </c>
      <c r="R1104" s="49" t="str">
        <f t="shared" si="114"/>
        <v/>
      </c>
    </row>
    <row r="1105" spans="1:18" x14ac:dyDescent="0.35">
      <c r="A1105" s="64" t="s">
        <v>77</v>
      </c>
      <c r="B1105" s="14">
        <v>1.5854114170776867E-2</v>
      </c>
      <c r="C1105" s="12">
        <v>1.913190054782965E-2</v>
      </c>
      <c r="D1105" s="12">
        <v>-3.1196935592149311E-3</v>
      </c>
      <c r="E1105" s="12">
        <v>1.1362188877283463E-2</v>
      </c>
      <c r="F1105" s="12">
        <v>1.365886972852981E-2</v>
      </c>
      <c r="G1105" s="12">
        <v>7.8788248946437545E-3</v>
      </c>
      <c r="H1105" s="12">
        <v>1.9592961151402521E-2</v>
      </c>
      <c r="I1105" s="12">
        <v>2.2977566281441097E-2</v>
      </c>
      <c r="J1105" s="12">
        <v>4.6021975493297784E-3</v>
      </c>
      <c r="K1105" s="12">
        <v>1.880359541274923E-2</v>
      </c>
      <c r="L1105" s="12">
        <v>1.1617647058823399E-2</v>
      </c>
      <c r="M1105" s="13">
        <f t="shared" ref="M1105:M1168" si="115">SUMPRODUCT($C$2:$L$2,C1105:L1105)</f>
        <v>1.133042429446356E-2</v>
      </c>
      <c r="N1105" s="32">
        <f t="shared" ref="N1105:N1168" si="116">+(N1104*(1+M1105))</f>
        <v>249.23111485461527</v>
      </c>
      <c r="O1105" s="32">
        <f t="shared" ref="O1105:O1168" si="117">+(O1104*(1+B1105))</f>
        <v>175.08085857100878</v>
      </c>
      <c r="P1105" s="12" t="str">
        <f t="shared" ref="P1105:P1168" si="118">+IF(M1105&lt;0,M1105,"")</f>
        <v/>
      </c>
      <c r="Q1105" s="13">
        <f t="shared" ref="Q1105:Q1168" si="119">M1105-B1105</f>
        <v>-4.5236898763133075E-3</v>
      </c>
      <c r="R1105" s="49">
        <f t="shared" ref="R1105:R1168" si="120">+IF(M1105&gt;0,1,"")</f>
        <v>1</v>
      </c>
    </row>
    <row r="1106" spans="1:18" x14ac:dyDescent="0.35">
      <c r="A1106" s="64" t="s">
        <v>77</v>
      </c>
      <c r="B1106" s="14">
        <v>-1.7596775547904953E-2</v>
      </c>
      <c r="C1106" s="12">
        <v>-1.5754217664571635E-2</v>
      </c>
      <c r="D1106" s="12">
        <v>-8.9130090318491062E-3</v>
      </c>
      <c r="E1106" s="12">
        <v>-2.1411118667976514E-2</v>
      </c>
      <c r="F1106" s="12">
        <v>-1.6654034023917741E-2</v>
      </c>
      <c r="G1106" s="12">
        <v>1.3695309659435217E-2</v>
      </c>
      <c r="H1106" s="12">
        <v>-2.4537509304953797E-3</v>
      </c>
      <c r="I1106" s="12">
        <v>-1.8175172780435789E-2</v>
      </c>
      <c r="J1106" s="12">
        <v>-2.6169615759033316E-2</v>
      </c>
      <c r="K1106" s="12">
        <v>-1.0343778521448077E-2</v>
      </c>
      <c r="L1106" s="12">
        <v>-3.4627126035760902E-2</v>
      </c>
      <c r="M1106" s="13">
        <f t="shared" si="115"/>
        <v>-1.7127814287331487E-2</v>
      </c>
      <c r="N1106" s="32">
        <f t="shared" si="116"/>
        <v>244.96233060476084</v>
      </c>
      <c r="O1106" s="32">
        <f t="shared" si="117"/>
        <v>172.00000000000026</v>
      </c>
      <c r="P1106" s="12">
        <f t="shared" si="118"/>
        <v>-1.7127814287331487E-2</v>
      </c>
      <c r="Q1106" s="13">
        <f t="shared" si="119"/>
        <v>4.6896126057346596E-4</v>
      </c>
      <c r="R1106" s="49" t="str">
        <f t="shared" si="120"/>
        <v/>
      </c>
    </row>
    <row r="1107" spans="1:18" x14ac:dyDescent="0.35">
      <c r="A1107" s="64">
        <v>10.88</v>
      </c>
      <c r="B1107" s="14">
        <v>-1.2234773630190987E-2</v>
      </c>
      <c r="C1107" s="12">
        <v>-8.8224173423517849E-3</v>
      </c>
      <c r="D1107" s="12">
        <v>1.2070826172109195E-2</v>
      </c>
      <c r="E1107" s="12">
        <v>3.0888825967201328E-4</v>
      </c>
      <c r="F1107" s="12">
        <v>1.6186703779038636E-2</v>
      </c>
      <c r="G1107" s="12">
        <v>-1.1119081779053186E-2</v>
      </c>
      <c r="H1107" s="12">
        <v>-2.6504891935216324E-2</v>
      </c>
      <c r="I1107" s="12">
        <v>-4.0678195539612161E-2</v>
      </c>
      <c r="J1107" s="12">
        <v>-6.5623897447959489E-2</v>
      </c>
      <c r="K1107" s="12">
        <v>-2.6847013013628462E-2</v>
      </c>
      <c r="L1107" s="12">
        <v>-1.5931815443922526E-2</v>
      </c>
      <c r="M1107" s="13">
        <f t="shared" si="115"/>
        <v>-1.3193035444712479E-2</v>
      </c>
      <c r="N1107" s="32">
        <f t="shared" si="116"/>
        <v>241.73053389447284</v>
      </c>
      <c r="O1107" s="32">
        <f t="shared" si="117"/>
        <v>169.89561893560742</v>
      </c>
      <c r="P1107" s="12">
        <f t="shared" si="118"/>
        <v>-1.3193035444712479E-2</v>
      </c>
      <c r="Q1107" s="13">
        <f t="shared" si="119"/>
        <v>-9.582618145214921E-4</v>
      </c>
      <c r="R1107" s="49" t="str">
        <f t="shared" si="120"/>
        <v/>
      </c>
    </row>
    <row r="1108" spans="1:18" x14ac:dyDescent="0.35">
      <c r="A1108" s="64" t="s">
        <v>77</v>
      </c>
      <c r="B1108" s="14">
        <v>1.1159281084776262E-2</v>
      </c>
      <c r="C1108" s="12">
        <v>-8.053236129360597E-4</v>
      </c>
      <c r="D1108" s="12">
        <v>-7.3456814501797751E-3</v>
      </c>
      <c r="E1108" s="12">
        <v>3.1934330048120074E-2</v>
      </c>
      <c r="F1108" s="12">
        <v>2.8865805608815354E-3</v>
      </c>
      <c r="G1108" s="12">
        <v>-1.8135654697133408E-3</v>
      </c>
      <c r="H1108" s="12">
        <v>1.2775743122390715E-3</v>
      </c>
      <c r="I1108" s="12">
        <v>2.5046742159664515E-3</v>
      </c>
      <c r="J1108" s="12">
        <v>2.6809314033983567E-2</v>
      </c>
      <c r="K1108" s="12">
        <v>1.063493734863652E-2</v>
      </c>
      <c r="L1108" s="12">
        <v>3.5929609793420081E-2</v>
      </c>
      <c r="M1108" s="13">
        <f t="shared" si="115"/>
        <v>1.139427269721229E-2</v>
      </c>
      <c r="N1108" s="32">
        <f t="shared" si="116"/>
        <v>244.48487751690917</v>
      </c>
      <c r="O1108" s="32">
        <f t="shared" si="117"/>
        <v>171.79153190238191</v>
      </c>
      <c r="P1108" s="12" t="str">
        <f t="shared" si="118"/>
        <v/>
      </c>
      <c r="Q1108" s="13">
        <f t="shared" si="119"/>
        <v>2.3499161243602761E-4</v>
      </c>
      <c r="R1108" s="49">
        <f t="shared" si="120"/>
        <v>1</v>
      </c>
    </row>
    <row r="1109" spans="1:18" x14ac:dyDescent="0.35">
      <c r="A1109" s="64" t="s">
        <v>77</v>
      </c>
      <c r="B1109" s="14">
        <v>-1.7819030128555013E-2</v>
      </c>
      <c r="C1109" s="12">
        <v>-1.7392042080257575E-3</v>
      </c>
      <c r="D1109" s="12">
        <v>-1.0582852595981684E-2</v>
      </c>
      <c r="E1109" s="12">
        <v>-1.0298738217545234E-2</v>
      </c>
      <c r="F1109" s="12">
        <v>2.4664901886633839E-2</v>
      </c>
      <c r="G1109" s="12">
        <v>4.2999031007753263E-3</v>
      </c>
      <c r="H1109" s="12">
        <v>-2.4157876828853286E-2</v>
      </c>
      <c r="I1109" s="12">
        <v>-3.005137588852147E-2</v>
      </c>
      <c r="J1109" s="12">
        <v>-2.8989948516793262E-2</v>
      </c>
      <c r="K1109" s="12">
        <v>-1.3961241925401158E-2</v>
      </c>
      <c r="L1109" s="12">
        <v>7.444828503057721E-3</v>
      </c>
      <c r="M1109" s="13">
        <f t="shared" si="115"/>
        <v>-1.19808758158524E-2</v>
      </c>
      <c r="N1109" s="32">
        <f t="shared" si="116"/>
        <v>241.5557345605252</v>
      </c>
      <c r="O1109" s="32">
        <f t="shared" si="117"/>
        <v>168.73037341958275</v>
      </c>
      <c r="P1109" s="12">
        <f t="shared" si="118"/>
        <v>-1.19808758158524E-2</v>
      </c>
      <c r="Q1109" s="13">
        <f t="shared" si="119"/>
        <v>5.8381543127026137E-3</v>
      </c>
      <c r="R1109" s="49" t="str">
        <f t="shared" si="120"/>
        <v/>
      </c>
    </row>
    <row r="1110" spans="1:18" x14ac:dyDescent="0.35">
      <c r="A1110" s="64" t="s">
        <v>77</v>
      </c>
      <c r="B1110" s="14">
        <v>5.5205871897281433E-3</v>
      </c>
      <c r="C1110" s="12">
        <v>1.589257638210162E-2</v>
      </c>
      <c r="D1110" s="12">
        <v>5.1670754754915782E-2</v>
      </c>
      <c r="E1110" s="12">
        <v>-9.0201315225880707E-3</v>
      </c>
      <c r="F1110" s="12">
        <v>1.1810054949561222E-2</v>
      </c>
      <c r="G1110" s="12">
        <v>5.1860338901283942E-3</v>
      </c>
      <c r="H1110" s="12">
        <v>3.3705253370523991E-3</v>
      </c>
      <c r="I1110" s="12">
        <v>-8.8158467566391563E-3</v>
      </c>
      <c r="J1110" s="12">
        <v>-2.6825727450609071E-2</v>
      </c>
      <c r="K1110" s="12">
        <v>-3.0853761622992359E-2</v>
      </c>
      <c r="L1110" s="12">
        <v>2.7242602856221376E-2</v>
      </c>
      <c r="M1110" s="13">
        <f t="shared" si="115"/>
        <v>8.9696926705689264E-3</v>
      </c>
      <c r="N1110" s="32">
        <f t="shared" si="116"/>
        <v>243.72241526234663</v>
      </c>
      <c r="O1110" s="32">
        <f t="shared" si="117"/>
        <v>169.66186415760095</v>
      </c>
      <c r="P1110" s="12" t="str">
        <f t="shared" si="118"/>
        <v/>
      </c>
      <c r="Q1110" s="13">
        <f t="shared" si="119"/>
        <v>3.449105480840783E-3</v>
      </c>
      <c r="R1110" s="49">
        <f t="shared" si="120"/>
        <v>1</v>
      </c>
    </row>
    <row r="1111" spans="1:18" x14ac:dyDescent="0.35">
      <c r="A1111" s="64" t="s">
        <v>77</v>
      </c>
      <c r="B1111" s="14">
        <v>-2.6973068524487775E-2</v>
      </c>
      <c r="C1111" s="12">
        <v>-4.8479524825364995E-2</v>
      </c>
      <c r="D1111" s="12">
        <v>-1.7741072111340683E-2</v>
      </c>
      <c r="E1111" s="12">
        <v>-3.3434186773791619E-2</v>
      </c>
      <c r="F1111" s="12">
        <v>-2.6870389884088519E-2</v>
      </c>
      <c r="G1111" s="12">
        <v>6.0591517187593702E-3</v>
      </c>
      <c r="H1111" s="12">
        <v>-1.1120120467971617E-2</v>
      </c>
      <c r="I1111" s="12">
        <v>-4.3519636909337134E-2</v>
      </c>
      <c r="J1111" s="12">
        <v>-3.9110131015695937E-2</v>
      </c>
      <c r="K1111" s="12">
        <v>-4.2520715220235594E-2</v>
      </c>
      <c r="L1111" s="12">
        <v>-1.4530402512132556E-2</v>
      </c>
      <c r="M1111" s="13">
        <f t="shared" si="115"/>
        <v>-2.9883666821486621E-2</v>
      </c>
      <c r="N1111" s="32">
        <f t="shared" si="116"/>
        <v>236.43909580771867</v>
      </c>
      <c r="O1111" s="32">
        <f t="shared" si="117"/>
        <v>165.08556306968563</v>
      </c>
      <c r="P1111" s="12">
        <f t="shared" si="118"/>
        <v>-2.9883666821486621E-2</v>
      </c>
      <c r="Q1111" s="13">
        <f t="shared" si="119"/>
        <v>-2.910598296998846E-3</v>
      </c>
      <c r="R1111" s="49" t="str">
        <f t="shared" si="120"/>
        <v/>
      </c>
    </row>
    <row r="1112" spans="1:18" x14ac:dyDescent="0.35">
      <c r="A1112" s="64">
        <v>11.02</v>
      </c>
      <c r="B1112" s="14">
        <v>-7.5678236584880709E-3</v>
      </c>
      <c r="C1112" s="12">
        <v>-2.9189379286091E-2</v>
      </c>
      <c r="D1112" s="12">
        <v>-3.0945893343713449E-2</v>
      </c>
      <c r="E1112" s="12">
        <v>7.6283670033649997E-4</v>
      </c>
      <c r="F1112" s="12">
        <v>1.2119445254258343E-2</v>
      </c>
      <c r="G1112" s="12">
        <v>-1.0971973762671339E-2</v>
      </c>
      <c r="H1112" s="12">
        <v>-2.7351528640037537E-2</v>
      </c>
      <c r="I1112" s="12">
        <v>-2.2692484310424033E-2</v>
      </c>
      <c r="J1112" s="12">
        <v>3.9892001349983053E-2</v>
      </c>
      <c r="K1112" s="12">
        <v>-4.3270325666134868E-3</v>
      </c>
      <c r="L1112" s="12">
        <v>-1.5758523797108959E-2</v>
      </c>
      <c r="M1112" s="13">
        <f t="shared" si="115"/>
        <v>-1.6411044257916355E-2</v>
      </c>
      <c r="N1112" s="32">
        <f t="shared" si="116"/>
        <v>232.55888334211647</v>
      </c>
      <c r="O1112" s="32">
        <f t="shared" si="117"/>
        <v>163.83622463981203</v>
      </c>
      <c r="P1112" s="12">
        <f t="shared" si="118"/>
        <v>-1.6411044257916355E-2</v>
      </c>
      <c r="Q1112" s="13">
        <f t="shared" si="119"/>
        <v>-8.8432205994282836E-3</v>
      </c>
      <c r="R1112" s="49" t="str">
        <f t="shared" si="120"/>
        <v/>
      </c>
    </row>
    <row r="1113" spans="1:18" x14ac:dyDescent="0.35">
      <c r="A1113" s="64" t="s">
        <v>77</v>
      </c>
      <c r="B1113" s="14">
        <v>4.8868732804865367E-3</v>
      </c>
      <c r="C1113" s="12">
        <v>-1.7478717623618967E-2</v>
      </c>
      <c r="D1113" s="12">
        <v>2.7314721831692701E-3</v>
      </c>
      <c r="E1113" s="12">
        <v>7.4122749375740149E-3</v>
      </c>
      <c r="F1113" s="12">
        <v>-1.0143198090692085E-2</v>
      </c>
      <c r="G1113" s="12">
        <v>-1.8147835523935951E-2</v>
      </c>
      <c r="H1113" s="12">
        <v>2.1075450111398553E-3</v>
      </c>
      <c r="I1113" s="12">
        <v>2.0987509299502882E-2</v>
      </c>
      <c r="J1113" s="12">
        <v>3.0767233545371919E-2</v>
      </c>
      <c r="K1113" s="12">
        <v>-2.5617566331198494E-2</v>
      </c>
      <c r="L1113" s="12">
        <v>-4.8267945963444969E-3</v>
      </c>
      <c r="M1113" s="13">
        <f t="shared" si="115"/>
        <v>-7.3271784831599983E-4</v>
      </c>
      <c r="N1113" s="32">
        <f t="shared" si="116"/>
        <v>232.38848329750726</v>
      </c>
      <c r="O1113" s="32">
        <f t="shared" si="117"/>
        <v>164.63687150838012</v>
      </c>
      <c r="P1113" s="12">
        <f t="shared" si="118"/>
        <v>-7.3271784831599983E-4</v>
      </c>
      <c r="Q1113" s="13">
        <f t="shared" si="119"/>
        <v>-5.6195911288025365E-3</v>
      </c>
      <c r="R1113" s="49" t="str">
        <f t="shared" si="120"/>
        <v/>
      </c>
    </row>
    <row r="1114" spans="1:18" x14ac:dyDescent="0.35">
      <c r="A1114" s="64" t="s">
        <v>77</v>
      </c>
      <c r="B1114" s="14">
        <v>-1.3891022092047178E-2</v>
      </c>
      <c r="C1114" s="12">
        <v>-3.364365379297618E-2</v>
      </c>
      <c r="D1114" s="12">
        <v>-1.5342707206665751E-2</v>
      </c>
      <c r="E1114" s="12">
        <v>-1.1741070263782682E-2</v>
      </c>
      <c r="F1114" s="12">
        <v>8.5219596350105675E-4</v>
      </c>
      <c r="G1114" s="12">
        <v>8.596868283696768E-4</v>
      </c>
      <c r="H1114" s="12">
        <v>-1.2889075832231645E-2</v>
      </c>
      <c r="I1114" s="12">
        <v>-1.6567593480345089E-2</v>
      </c>
      <c r="J1114" s="12">
        <v>3.2745591939544738E-3</v>
      </c>
      <c r="K1114" s="12">
        <v>-8.2159624413146171E-3</v>
      </c>
      <c r="L1114" s="12">
        <v>-1.4254872386360251E-2</v>
      </c>
      <c r="M1114" s="13">
        <f t="shared" si="115"/>
        <v>-1.3298347742665079E-2</v>
      </c>
      <c r="N1114" s="32">
        <f t="shared" si="116"/>
        <v>229.2981004352265</v>
      </c>
      <c r="O1114" s="32">
        <f t="shared" si="117"/>
        <v>162.34989708909168</v>
      </c>
      <c r="P1114" s="12">
        <f t="shared" si="118"/>
        <v>-1.3298347742665079E-2</v>
      </c>
      <c r="Q1114" s="13">
        <f t="shared" si="119"/>
        <v>5.9267434938209927E-4</v>
      </c>
      <c r="R1114" s="49" t="str">
        <f t="shared" si="120"/>
        <v/>
      </c>
    </row>
    <row r="1115" spans="1:18" x14ac:dyDescent="0.35">
      <c r="A1115" s="64" t="s">
        <v>77</v>
      </c>
      <c r="B1115" s="14">
        <v>2.1265883307494793E-2</v>
      </c>
      <c r="C1115" s="12">
        <v>1.8170545593285015E-2</v>
      </c>
      <c r="D1115" s="12">
        <v>1.0374288039056045E-2</v>
      </c>
      <c r="E1115" s="12">
        <v>2.5846819969902679E-2</v>
      </c>
      <c r="F1115" s="12">
        <v>1.4807276956305016E-2</v>
      </c>
      <c r="G1115" s="12">
        <v>-1.104362230811784E-3</v>
      </c>
      <c r="H1115" s="12">
        <v>9.8919494749658554E-3</v>
      </c>
      <c r="I1115" s="12">
        <v>3.5877237452716093E-2</v>
      </c>
      <c r="J1115" s="12">
        <v>1.5628922922420241E-2</v>
      </c>
      <c r="K1115" s="12">
        <v>1.0059171597633032E-2</v>
      </c>
      <c r="L1115" s="12">
        <v>1.8991329393057477E-2</v>
      </c>
      <c r="M1115" s="13">
        <f t="shared" si="115"/>
        <v>1.8829968339638382E-2</v>
      </c>
      <c r="N1115" s="32">
        <f t="shared" si="116"/>
        <v>233.61577640676106</v>
      </c>
      <c r="O1115" s="32">
        <f t="shared" si="117"/>
        <v>165.80241105557209</v>
      </c>
      <c r="P1115" s="12" t="str">
        <f t="shared" si="118"/>
        <v/>
      </c>
      <c r="Q1115" s="13">
        <f t="shared" si="119"/>
        <v>-2.4359149678564104E-3</v>
      </c>
      <c r="R1115" s="49">
        <f t="shared" si="120"/>
        <v>1</v>
      </c>
    </row>
    <row r="1116" spans="1:18" x14ac:dyDescent="0.35">
      <c r="A1116" s="64" t="s">
        <v>77</v>
      </c>
      <c r="B1116" s="14">
        <v>6.4160994796895743E-3</v>
      </c>
      <c r="C1116" s="12">
        <v>2.3888706730994524E-3</v>
      </c>
      <c r="D1116" s="12">
        <v>1.8602778337024395E-2</v>
      </c>
      <c r="E1116" s="12">
        <v>3.6030471484460591E-4</v>
      </c>
      <c r="F1116" s="12">
        <v>2.1221733346976412E-2</v>
      </c>
      <c r="G1116" s="12">
        <v>1.8426386585601584E-4</v>
      </c>
      <c r="H1116" s="12">
        <v>8.2881253767330687E-3</v>
      </c>
      <c r="I1116" s="12">
        <v>-4.7057937732937205E-3</v>
      </c>
      <c r="J1116" s="12">
        <v>2.4720351028983956E-4</v>
      </c>
      <c r="K1116" s="12">
        <v>2.4721734036321052E-2</v>
      </c>
      <c r="L1116" s="12">
        <v>8.8328818749263682E-3</v>
      </c>
      <c r="M1116" s="13">
        <f t="shared" si="115"/>
        <v>1.1287406286770382E-2</v>
      </c>
      <c r="N1116" s="32">
        <f t="shared" si="116"/>
        <v>236.25269259006345</v>
      </c>
      <c r="O1116" s="32">
        <f t="shared" si="117"/>
        <v>166.86621581887704</v>
      </c>
      <c r="P1116" s="12" t="str">
        <f t="shared" si="118"/>
        <v/>
      </c>
      <c r="Q1116" s="13">
        <f t="shared" si="119"/>
        <v>4.8713068070808073E-3</v>
      </c>
      <c r="R1116" s="49">
        <f t="shared" si="120"/>
        <v>1</v>
      </c>
    </row>
    <row r="1117" spans="1:18" x14ac:dyDescent="0.35">
      <c r="A1117" s="64">
        <v>10.9</v>
      </c>
      <c r="B1117" s="14">
        <v>-1.0653519220738983E-2</v>
      </c>
      <c r="C1117" s="12">
        <v>-6.1214953271028216E-3</v>
      </c>
      <c r="D1117" s="12">
        <v>-2.3797288215994028E-2</v>
      </c>
      <c r="E1117" s="12">
        <v>-1.3326472858245397E-2</v>
      </c>
      <c r="F1117" s="12">
        <v>9.5787743978197337E-3</v>
      </c>
      <c r="G1117" s="12">
        <v>8.6588061901251567E-3</v>
      </c>
      <c r="H1117" s="12">
        <v>6.5759976087265137E-4</v>
      </c>
      <c r="I1117" s="12">
        <v>-6.2788410621074098E-3</v>
      </c>
      <c r="J1117" s="12">
        <v>-1.7299969107198443E-3</v>
      </c>
      <c r="K1117" s="12">
        <v>-2.138120283558187E-2</v>
      </c>
      <c r="L1117" s="12">
        <v>-1.7306794303058592E-2</v>
      </c>
      <c r="M1117" s="13">
        <f t="shared" si="115"/>
        <v>-1.7324524784649759E-2</v>
      </c>
      <c r="N1117" s="32">
        <f t="shared" si="116"/>
        <v>232.15972696184664</v>
      </c>
      <c r="O1117" s="32">
        <f t="shared" si="117"/>
        <v>165.08850338135866</v>
      </c>
      <c r="P1117" s="12">
        <f t="shared" si="118"/>
        <v>-1.7324524784649759E-2</v>
      </c>
      <c r="Q1117" s="13">
        <f t="shared" si="119"/>
        <v>-6.6710055639107764E-3</v>
      </c>
      <c r="R1117" s="49" t="str">
        <f t="shared" si="120"/>
        <v/>
      </c>
    </row>
    <row r="1118" spans="1:18" x14ac:dyDescent="0.35">
      <c r="A1118" s="64" t="s">
        <v>77</v>
      </c>
      <c r="B1118" s="14">
        <v>1.0798516740105457E-2</v>
      </c>
      <c r="C1118" s="12">
        <v>1.1989280173021921E-2</v>
      </c>
      <c r="D1118" s="12">
        <v>2.1623810487953143E-2</v>
      </c>
      <c r="E1118" s="12">
        <v>1.1211931581143197E-2</v>
      </c>
      <c r="F1118" s="12">
        <v>-1.1909487892021176E-3</v>
      </c>
      <c r="G1118" s="12">
        <v>-7.6712328767122306E-3</v>
      </c>
      <c r="H1118" s="12">
        <v>1.5234339994623314E-2</v>
      </c>
      <c r="I1118" s="12">
        <v>3.0184226552983917E-2</v>
      </c>
      <c r="J1118" s="12">
        <v>6.8391409296280292E-2</v>
      </c>
      <c r="K1118" s="12">
        <v>8.6458698446079119E-3</v>
      </c>
      <c r="L1118" s="12">
        <v>5.6725371981825035E-3</v>
      </c>
      <c r="M1118" s="13">
        <f t="shared" si="115"/>
        <v>1.6207642909231979E-2</v>
      </c>
      <c r="N1118" s="32">
        <f t="shared" si="116"/>
        <v>235.92248891434903</v>
      </c>
      <c r="O1118" s="32">
        <f t="shared" si="117"/>
        <v>166.87121434872122</v>
      </c>
      <c r="P1118" s="12" t="str">
        <f t="shared" si="118"/>
        <v/>
      </c>
      <c r="Q1118" s="13">
        <f t="shared" si="119"/>
        <v>5.409126169126522E-3</v>
      </c>
      <c r="R1118" s="49">
        <f t="shared" si="120"/>
        <v>1</v>
      </c>
    </row>
    <row r="1119" spans="1:18" x14ac:dyDescent="0.35">
      <c r="A1119" s="64" t="s">
        <v>77</v>
      </c>
      <c r="B1119" s="14">
        <v>-2.1849103746239829E-3</v>
      </c>
      <c r="C1119" s="12">
        <v>-5.2964133060769969E-3</v>
      </c>
      <c r="D1119" s="12">
        <v>-3.5554322406754157E-2</v>
      </c>
      <c r="E1119" s="12">
        <v>-2.526945490175847E-3</v>
      </c>
      <c r="F1119" s="12">
        <v>1.6096979332273387E-2</v>
      </c>
      <c r="G1119" s="12">
        <v>1.84060371801964E-4</v>
      </c>
      <c r="H1119" s="12">
        <v>-1.088651543237118E-3</v>
      </c>
      <c r="I1119" s="12">
        <v>6.6506558285617245E-4</v>
      </c>
      <c r="J1119" s="12">
        <v>1.2165450121655041E-3</v>
      </c>
      <c r="K1119" s="12">
        <v>-6.0233985868179962E-3</v>
      </c>
      <c r="L1119" s="12">
        <v>-6.9989959246352651E-3</v>
      </c>
      <c r="M1119" s="13">
        <f t="shared" si="115"/>
        <v>-1.2525421882073121E-2</v>
      </c>
      <c r="N1119" s="32">
        <f t="shared" si="116"/>
        <v>232.96746020922808</v>
      </c>
      <c r="O1119" s="32">
        <f t="shared" si="117"/>
        <v>166.50661570126459</v>
      </c>
      <c r="P1119" s="12">
        <f t="shared" si="118"/>
        <v>-1.2525421882073121E-2</v>
      </c>
      <c r="Q1119" s="13">
        <f t="shared" si="119"/>
        <v>-1.0340511507449138E-2</v>
      </c>
      <c r="R1119" s="49" t="str">
        <f t="shared" si="120"/>
        <v/>
      </c>
    </row>
    <row r="1120" spans="1:18" x14ac:dyDescent="0.35">
      <c r="A1120" s="64" t="s">
        <v>77</v>
      </c>
      <c r="B1120" s="14">
        <v>8.2466726353502828E-4</v>
      </c>
      <c r="C1120" s="12">
        <v>1.9476879962634364E-2</v>
      </c>
      <c r="D1120" s="12">
        <v>2.2603978300181904E-3</v>
      </c>
      <c r="E1120" s="12">
        <v>1.1425912521972892E-2</v>
      </c>
      <c r="F1120" s="12">
        <v>1.0854684138470683E-2</v>
      </c>
      <c r="G1120" s="12">
        <v>3.7418721629247642E-3</v>
      </c>
      <c r="H1120" s="12">
        <v>-1.1310751104565475E-2</v>
      </c>
      <c r="I1120" s="12">
        <v>-1.181553003729241E-3</v>
      </c>
      <c r="J1120" s="12">
        <v>3.0550251692414543E-2</v>
      </c>
      <c r="K1120" s="12">
        <v>1.9811210814590918E-3</v>
      </c>
      <c r="L1120" s="12">
        <v>-1.397769516728653E-3</v>
      </c>
      <c r="M1120" s="13">
        <f t="shared" si="115"/>
        <v>2.1860975033905546E-3</v>
      </c>
      <c r="N1120" s="32">
        <f t="shared" si="116"/>
        <v>233.47674979236271</v>
      </c>
      <c r="O1120" s="32">
        <f t="shared" si="117"/>
        <v>166.64392825639544</v>
      </c>
      <c r="P1120" s="12" t="str">
        <f t="shared" si="118"/>
        <v/>
      </c>
      <c r="Q1120" s="13">
        <f t="shared" si="119"/>
        <v>1.3614302398555263E-3</v>
      </c>
      <c r="R1120" s="49">
        <f t="shared" si="120"/>
        <v>1</v>
      </c>
    </row>
    <row r="1121" spans="1:18" x14ac:dyDescent="0.35">
      <c r="A1121" s="64" t="s">
        <v>77</v>
      </c>
      <c r="B1121" s="14">
        <v>1.7646041682840563E-2</v>
      </c>
      <c r="C1121" s="12">
        <v>1.1270444861868123E-2</v>
      </c>
      <c r="D1121" s="12">
        <v>1.8780497806208052E-2</v>
      </c>
      <c r="E1121" s="12">
        <v>4.6516382967847214E-3</v>
      </c>
      <c r="F1121" s="12">
        <v>-6.7717906549291662E-4</v>
      </c>
      <c r="G1121" s="12">
        <v>-2.0778585833893803E-3</v>
      </c>
      <c r="H1121" s="12">
        <v>2.4459274265625774E-2</v>
      </c>
      <c r="I1121" s="12">
        <v>2.7170899412221505E-2</v>
      </c>
      <c r="J1121" s="12">
        <v>1.5664477008590083E-2</v>
      </c>
      <c r="K1121" s="12">
        <v>1.7562223772970453E-2</v>
      </c>
      <c r="L1121" s="12">
        <v>1.7541247245220104E-2</v>
      </c>
      <c r="M1121" s="13">
        <f t="shared" si="115"/>
        <v>1.7949746042208978E-2</v>
      </c>
      <c r="N1121" s="32">
        <f t="shared" si="116"/>
        <v>237.66759815789598</v>
      </c>
      <c r="O1121" s="32">
        <f t="shared" si="117"/>
        <v>169.58453396060008</v>
      </c>
      <c r="P1121" s="12" t="str">
        <f t="shared" si="118"/>
        <v/>
      </c>
      <c r="Q1121" s="13">
        <f t="shared" si="119"/>
        <v>3.0370435936841536E-4</v>
      </c>
      <c r="R1121" s="49">
        <f t="shared" si="120"/>
        <v>1</v>
      </c>
    </row>
    <row r="1122" spans="1:18" x14ac:dyDescent="0.35">
      <c r="A1122" s="64">
        <v>10.89</v>
      </c>
      <c r="B1122" s="14">
        <v>1.5743198608773046E-3</v>
      </c>
      <c r="C1122" s="12">
        <v>1.3681873782449117E-2</v>
      </c>
      <c r="D1122" s="12">
        <v>5.8361843429262095E-3</v>
      </c>
      <c r="E1122" s="12">
        <v>5.2915437061158421E-3</v>
      </c>
      <c r="F1122" s="12">
        <v>-5.9438528557600456E-3</v>
      </c>
      <c r="G1122" s="12">
        <v>-1.3901647375834325E-2</v>
      </c>
      <c r="H1122" s="12">
        <v>2.1810567947189163E-3</v>
      </c>
      <c r="I1122" s="12">
        <v>5.1104872957603575E-3</v>
      </c>
      <c r="J1122" s="12">
        <v>9.3421779988944742E-3</v>
      </c>
      <c r="K1122" s="12">
        <v>-3.1203566121842385E-2</v>
      </c>
      <c r="L1122" s="12">
        <v>2.7804606784322949E-3</v>
      </c>
      <c r="M1122" s="13">
        <f t="shared" si="115"/>
        <v>-3.1875842354705287E-3</v>
      </c>
      <c r="N1122" s="32">
        <f t="shared" si="116"/>
        <v>236.91001266872573</v>
      </c>
      <c r="O1122" s="32">
        <f t="shared" si="117"/>
        <v>169.85151426051189</v>
      </c>
      <c r="P1122" s="12">
        <f t="shared" si="118"/>
        <v>-3.1875842354705287E-3</v>
      </c>
      <c r="Q1122" s="13">
        <f t="shared" si="119"/>
        <v>-4.7619040963478333E-3</v>
      </c>
      <c r="R1122" s="49" t="str">
        <f t="shared" si="120"/>
        <v/>
      </c>
    </row>
    <row r="1123" spans="1:18" x14ac:dyDescent="0.35">
      <c r="A1123" s="64" t="s">
        <v>77</v>
      </c>
      <c r="B1123" s="14">
        <v>-1.115698545004451E-2</v>
      </c>
      <c r="C1123" s="12">
        <v>-9.921787709497254E-3</v>
      </c>
      <c r="D1123" s="12">
        <v>1.7607042817127105E-3</v>
      </c>
      <c r="E1123" s="12">
        <v>-1.3133920437291224E-2</v>
      </c>
      <c r="F1123" s="12">
        <v>9.2904582903221566E-3</v>
      </c>
      <c r="G1123" s="12">
        <v>4.3472860514222056E-3</v>
      </c>
      <c r="H1123" s="12">
        <v>-1.2767686147060475E-3</v>
      </c>
      <c r="I1123" s="12">
        <v>-1.174448582068166E-2</v>
      </c>
      <c r="J1123" s="12">
        <v>-2.2126074812421237E-2</v>
      </c>
      <c r="K1123" s="12">
        <v>5.3091080698441928E-3</v>
      </c>
      <c r="L1123" s="12">
        <v>-4.4072149903683355E-3</v>
      </c>
      <c r="M1123" s="13">
        <f t="shared" si="115"/>
        <v>-3.1643176299474833E-3</v>
      </c>
      <c r="N1123" s="32">
        <f t="shared" si="116"/>
        <v>236.16035413892698</v>
      </c>
      <c r="O1123" s="32">
        <f t="shared" si="117"/>
        <v>167.95648338723933</v>
      </c>
      <c r="P1123" s="12">
        <f t="shared" si="118"/>
        <v>-3.1643176299474833E-3</v>
      </c>
      <c r="Q1123" s="13">
        <f t="shared" si="119"/>
        <v>7.9926678200970269E-3</v>
      </c>
      <c r="R1123" s="49" t="str">
        <f t="shared" si="120"/>
        <v/>
      </c>
    </row>
    <row r="1124" spans="1:18" x14ac:dyDescent="0.35">
      <c r="A1124" s="64" t="s">
        <v>77</v>
      </c>
      <c r="B1124" s="14">
        <v>-3.3069570393192693E-3</v>
      </c>
      <c r="C1124" s="12">
        <v>1.047262221820966E-2</v>
      </c>
      <c r="D1124" s="12">
        <v>-1.6497563313893071E-2</v>
      </c>
      <c r="E1124" s="12">
        <v>1.5642228889400922E-3</v>
      </c>
      <c r="F1124" s="12">
        <v>-4.7857969895793717E-3</v>
      </c>
      <c r="G1124" s="12">
        <v>8.7187731882265584E-3</v>
      </c>
      <c r="H1124" s="12">
        <v>1.6502992620140544E-2</v>
      </c>
      <c r="I1124" s="12">
        <v>-1.4420289855072488E-2</v>
      </c>
      <c r="J1124" s="12">
        <v>3.1363763651637289E-3</v>
      </c>
      <c r="K1124" s="12">
        <v>4.928998943785956E-3</v>
      </c>
      <c r="L1124" s="12">
        <v>-5.3062062091407958E-3</v>
      </c>
      <c r="M1124" s="13">
        <f t="shared" si="115"/>
        <v>-6.8896027499236448E-3</v>
      </c>
      <c r="N1124" s="32">
        <f t="shared" si="116"/>
        <v>234.53330311362848</v>
      </c>
      <c r="O1124" s="32">
        <f t="shared" si="117"/>
        <v>167.40105851220258</v>
      </c>
      <c r="P1124" s="12">
        <f t="shared" si="118"/>
        <v>-6.8896027499236448E-3</v>
      </c>
      <c r="Q1124" s="13">
        <f t="shared" si="119"/>
        <v>-3.5826457106043754E-3</v>
      </c>
      <c r="R1124" s="49" t="str">
        <f t="shared" si="120"/>
        <v/>
      </c>
    </row>
    <row r="1125" spans="1:18" x14ac:dyDescent="0.35">
      <c r="A1125" s="64" t="s">
        <v>77</v>
      </c>
      <c r="B1125" s="14">
        <v>-1.9737200328104554E-2</v>
      </c>
      <c r="C1125" s="12">
        <v>-2.6580299307571997E-2</v>
      </c>
      <c r="D1125" s="12">
        <v>-8.9760773323586118E-3</v>
      </c>
      <c r="E1125" s="12">
        <v>-3.0160274463618131E-2</v>
      </c>
      <c r="F1125" s="12">
        <v>6.2049173970368798E-4</v>
      </c>
      <c r="G1125" s="12">
        <v>3.5554465763503185E-3</v>
      </c>
      <c r="H1125" s="12">
        <v>-2.0036586062996631E-2</v>
      </c>
      <c r="I1125" s="12">
        <v>-2.4042349827218423E-2</v>
      </c>
      <c r="J1125" s="12">
        <v>-3.2382334878008012E-2</v>
      </c>
      <c r="K1125" s="12">
        <v>-5.6055120868853114E-3</v>
      </c>
      <c r="L1125" s="12">
        <v>-2.8323017978190479E-2</v>
      </c>
      <c r="M1125" s="13">
        <f t="shared" si="115"/>
        <v>-1.7357492119978196E-2</v>
      </c>
      <c r="N1125" s="32">
        <f t="shared" si="116"/>
        <v>230.46239315296123</v>
      </c>
      <c r="O1125" s="32">
        <f t="shared" si="117"/>
        <v>164.09703028521048</v>
      </c>
      <c r="P1125" s="12">
        <f t="shared" si="118"/>
        <v>-1.7357492119978196E-2</v>
      </c>
      <c r="Q1125" s="13">
        <f t="shared" si="119"/>
        <v>2.3797082081263576E-3</v>
      </c>
      <c r="R1125" s="49" t="str">
        <f t="shared" si="120"/>
        <v/>
      </c>
    </row>
    <row r="1126" spans="1:18" x14ac:dyDescent="0.35">
      <c r="A1126" s="64" t="s">
        <v>77</v>
      </c>
      <c r="B1126" s="14">
        <v>5.5384935154294546E-3</v>
      </c>
      <c r="C1126" s="12">
        <v>1.9412574575493391E-2</v>
      </c>
      <c r="D1126" s="12">
        <v>1.9098360655737778E-2</v>
      </c>
      <c r="E1126" s="12">
        <v>-9.0021119324181775E-3</v>
      </c>
      <c r="F1126" s="12">
        <v>1.4940702271141859E-2</v>
      </c>
      <c r="G1126" s="12">
        <v>1.3010811801356104E-2</v>
      </c>
      <c r="H1126" s="12">
        <v>2.2196295756161444E-2</v>
      </c>
      <c r="I1126" s="12">
        <v>1.3447340665963425E-2</v>
      </c>
      <c r="J1126" s="12">
        <v>-1.5925220702786902E-2</v>
      </c>
      <c r="K1126" s="12">
        <v>3.1004110393423323E-2</v>
      </c>
      <c r="L1126" s="12">
        <v>3.3364675907665564E-4</v>
      </c>
      <c r="M1126" s="13">
        <f t="shared" si="115"/>
        <v>1.3577999780549348E-2</v>
      </c>
      <c r="N1126" s="32">
        <f t="shared" si="116"/>
        <v>233.59161147661703</v>
      </c>
      <c r="O1126" s="32">
        <f t="shared" si="117"/>
        <v>165.00588062334634</v>
      </c>
      <c r="P1126" s="12" t="str">
        <f t="shared" si="118"/>
        <v/>
      </c>
      <c r="Q1126" s="13">
        <f t="shared" si="119"/>
        <v>8.0395062651198931E-3</v>
      </c>
      <c r="R1126" s="49">
        <f t="shared" si="120"/>
        <v>1</v>
      </c>
    </row>
    <row r="1127" spans="1:18" x14ac:dyDescent="0.35">
      <c r="A1127" s="64">
        <v>10.87</v>
      </c>
      <c r="B1127" s="14">
        <v>3.7812842467277452E-3</v>
      </c>
      <c r="C1127" s="12">
        <v>4.7719803718542231E-3</v>
      </c>
      <c r="D1127" s="12">
        <v>6.7562133033056693E-3</v>
      </c>
      <c r="E1127" s="12">
        <v>1.8114494259303671E-2</v>
      </c>
      <c r="F1127" s="12">
        <v>-1.2028639618137937E-3</v>
      </c>
      <c r="G1127" s="12">
        <v>-7.5916546068499735E-2</v>
      </c>
      <c r="H1127" s="12">
        <v>-1.1727443930833692E-2</v>
      </c>
      <c r="I1127" s="12">
        <v>5.3149972124140188E-3</v>
      </c>
      <c r="J1127" s="12">
        <v>-1.395485194957502E-2</v>
      </c>
      <c r="K1127" s="12">
        <v>1.1846451759881527E-2</v>
      </c>
      <c r="L1127" s="12">
        <v>2.3347483323226115E-3</v>
      </c>
      <c r="M1127" s="13">
        <f t="shared" si="115"/>
        <v>8.4434722890612789E-3</v>
      </c>
      <c r="N1127" s="32">
        <f t="shared" si="116"/>
        <v>235.563935775077</v>
      </c>
      <c r="O1127" s="32">
        <f t="shared" si="117"/>
        <v>165.62981476036484</v>
      </c>
      <c r="P1127" s="12" t="str">
        <f t="shared" si="118"/>
        <v/>
      </c>
      <c r="Q1127" s="13">
        <f t="shared" si="119"/>
        <v>4.6621880423335336E-3</v>
      </c>
      <c r="R1127" s="49">
        <f t="shared" si="120"/>
        <v>1</v>
      </c>
    </row>
    <row r="1128" spans="1:18" x14ac:dyDescent="0.35">
      <c r="A1128" s="64" t="s">
        <v>77</v>
      </c>
      <c r="B1128" s="14">
        <v>6.7281251608803938E-3</v>
      </c>
      <c r="C1128" s="12">
        <v>3.1363412339262542E-3</v>
      </c>
      <c r="D1128" s="12">
        <v>-1.4380442598067589E-3</v>
      </c>
      <c r="E1128" s="12">
        <v>-1.3082498233862871E-4</v>
      </c>
      <c r="F1128" s="12">
        <v>1.5292858235205209E-4</v>
      </c>
      <c r="G1128" s="12">
        <v>1.3768352365416181E-2</v>
      </c>
      <c r="H1128" s="12">
        <v>-5.7745055579760951E-5</v>
      </c>
      <c r="I1128" s="12">
        <v>1.7635314995563478E-2</v>
      </c>
      <c r="J1128" s="12">
        <v>2.3190818814295966E-3</v>
      </c>
      <c r="K1128" s="12">
        <v>1.0469436001350862E-2</v>
      </c>
      <c r="L1128" s="12">
        <v>1.2372568593641331E-2</v>
      </c>
      <c r="M1128" s="13">
        <f t="shared" si="115"/>
        <v>7.4303866206485852E-3</v>
      </c>
      <c r="N1128" s="32">
        <f t="shared" si="116"/>
        <v>237.31426689176746</v>
      </c>
      <c r="O1128" s="32">
        <f t="shared" si="117"/>
        <v>166.74419288444599</v>
      </c>
      <c r="P1128" s="12" t="str">
        <f t="shared" si="118"/>
        <v/>
      </c>
      <c r="Q1128" s="13">
        <f t="shared" si="119"/>
        <v>7.0226145976819143E-4</v>
      </c>
      <c r="R1128" s="49">
        <f t="shared" si="120"/>
        <v>1</v>
      </c>
    </row>
    <row r="1129" spans="1:18" x14ac:dyDescent="0.35">
      <c r="A1129" s="64" t="s">
        <v>77</v>
      </c>
      <c r="B1129" s="14">
        <v>-4.839560075260485E-2</v>
      </c>
      <c r="C1129" s="12">
        <v>-9.2456116843092517E-2</v>
      </c>
      <c r="D1129" s="12">
        <v>-2.5962076966157266E-2</v>
      </c>
      <c r="E1129" s="12">
        <v>-2.3630083215575359E-2</v>
      </c>
      <c r="F1129" s="12">
        <v>3.2951070336391552E-2</v>
      </c>
      <c r="G1129" s="12">
        <v>2.870751802265703E-2</v>
      </c>
      <c r="H1129" s="12">
        <v>-2.0038691421476629E-2</v>
      </c>
      <c r="I1129" s="12">
        <v>-9.9654859218891945E-2</v>
      </c>
      <c r="J1129" s="12">
        <v>-0.10471048884670153</v>
      </c>
      <c r="K1129" s="12">
        <v>-2.7852049910873422E-2</v>
      </c>
      <c r="L1129" s="12">
        <v>-8.6356301918364964E-2</v>
      </c>
      <c r="M1129" s="13">
        <f t="shared" si="115"/>
        <v>-5.0525797737803933E-2</v>
      </c>
      <c r="N1129" s="32">
        <f t="shared" si="116"/>
        <v>225.32377424249879</v>
      </c>
      <c r="O1129" s="32">
        <f t="shared" si="117"/>
        <v>158.67450749779502</v>
      </c>
      <c r="P1129" s="12">
        <f t="shared" si="118"/>
        <v>-5.0525797737803933E-2</v>
      </c>
      <c r="Q1129" s="13">
        <f t="shared" si="119"/>
        <v>-2.1301969851990829E-3</v>
      </c>
      <c r="R1129" s="49" t="str">
        <f t="shared" si="120"/>
        <v/>
      </c>
    </row>
    <row r="1130" spans="1:18" x14ac:dyDescent="0.35">
      <c r="A1130" s="64" t="s">
        <v>77</v>
      </c>
      <c r="B1130" s="14">
        <v>-5.9749616419470408E-2</v>
      </c>
      <c r="C1130" s="12">
        <v>-7.2887445248289828E-2</v>
      </c>
      <c r="D1130" s="12">
        <v>-6.5752186948129343E-2</v>
      </c>
      <c r="E1130" s="12">
        <v>-3.5565918897912274E-2</v>
      </c>
      <c r="F1130" s="12">
        <v>-2.8476796684183459E-2</v>
      </c>
      <c r="G1130" s="12">
        <v>-4.1171317732448864E-2</v>
      </c>
      <c r="H1130" s="12">
        <v>-7.737411237809011E-2</v>
      </c>
      <c r="I1130" s="12">
        <v>-5.705754176418365E-2</v>
      </c>
      <c r="J1130" s="12">
        <v>-9.4890994632562453E-2</v>
      </c>
      <c r="K1130" s="12">
        <v>-4.6642218656887557E-2</v>
      </c>
      <c r="L1130" s="12">
        <v>-5.7823129251700744E-2</v>
      </c>
      <c r="M1130" s="13">
        <f t="shared" si="115"/>
        <v>-5.4259072166775633E-2</v>
      </c>
      <c r="N1130" s="32">
        <f t="shared" si="116"/>
        <v>213.09791531498479</v>
      </c>
      <c r="O1130" s="32">
        <f t="shared" si="117"/>
        <v>149.19376653925337</v>
      </c>
      <c r="P1130" s="12">
        <f t="shared" si="118"/>
        <v>-5.4259072166775633E-2</v>
      </c>
      <c r="Q1130" s="13">
        <f t="shared" si="119"/>
        <v>5.4905442526947748E-3</v>
      </c>
      <c r="R1130" s="49" t="str">
        <f t="shared" si="120"/>
        <v/>
      </c>
    </row>
    <row r="1131" spans="1:18" x14ac:dyDescent="0.35">
      <c r="A1131" s="64" t="s">
        <v>77</v>
      </c>
      <c r="B1131" s="14">
        <v>-2.3314571311449095E-3</v>
      </c>
      <c r="C1131" s="12">
        <v>-3.673426053721196E-2</v>
      </c>
      <c r="D1131" s="12">
        <v>-7.4731844557762717E-3</v>
      </c>
      <c r="E1131" s="12">
        <v>-5.5024455313471554E-3</v>
      </c>
      <c r="F1131" s="12">
        <v>-6.6660318064926116E-4</v>
      </c>
      <c r="G1131" s="12">
        <v>-1.7097363612633809E-2</v>
      </c>
      <c r="H1131" s="12">
        <v>-2.5867850413566762E-3</v>
      </c>
      <c r="I1131" s="12">
        <v>2.567613830879889E-3</v>
      </c>
      <c r="J1131" s="12">
        <v>1.6619078995534053E-2</v>
      </c>
      <c r="K1131" s="12">
        <v>7.693232359658575E-3</v>
      </c>
      <c r="L1131" s="12">
        <v>-2.7839489030824671E-2</v>
      </c>
      <c r="M1131" s="13">
        <f t="shared" si="115"/>
        <v>-5.337257094903668E-3</v>
      </c>
      <c r="N1131" s="32">
        <f t="shared" si="116"/>
        <v>211.9605569545607</v>
      </c>
      <c r="O1131" s="32">
        <f t="shared" si="117"/>
        <v>148.84592766833308</v>
      </c>
      <c r="P1131" s="12">
        <f t="shared" si="118"/>
        <v>-5.337257094903668E-3</v>
      </c>
      <c r="Q1131" s="13">
        <f t="shared" si="119"/>
        <v>-3.0057999637587585E-3</v>
      </c>
      <c r="R1131" s="49" t="str">
        <f t="shared" si="120"/>
        <v/>
      </c>
    </row>
    <row r="1132" spans="1:18" x14ac:dyDescent="0.35">
      <c r="A1132" s="64">
        <v>10.97</v>
      </c>
      <c r="B1132" s="14">
        <v>-1.5700528421156545E-2</v>
      </c>
      <c r="C1132" s="12">
        <v>-4.9818141739226385E-2</v>
      </c>
      <c r="D1132" s="12">
        <v>-2.1038178758083115E-2</v>
      </c>
      <c r="E1132" s="12">
        <v>-9.2214832616107634E-3</v>
      </c>
      <c r="F1132" s="12">
        <v>5.4088050314465397E-2</v>
      </c>
      <c r="G1132" s="12">
        <v>-4.1163192139158644E-3</v>
      </c>
      <c r="H1132" s="12">
        <v>-1.2967469262295084E-2</v>
      </c>
      <c r="I1132" s="12">
        <v>-1.2335666723578664E-2</v>
      </c>
      <c r="J1132" s="12">
        <v>3.8167938931294998E-3</v>
      </c>
      <c r="K1132" s="12">
        <v>-2.4334963616843508E-2</v>
      </c>
      <c r="L1132" s="12">
        <v>-2.185246018710274E-2</v>
      </c>
      <c r="M1132" s="13">
        <f t="shared" si="115"/>
        <v>-1.8597134545095227E-2</v>
      </c>
      <c r="N1132" s="32">
        <f t="shared" si="116"/>
        <v>208.01869795862342</v>
      </c>
      <c r="O1132" s="32">
        <f t="shared" si="117"/>
        <v>146.50896795060299</v>
      </c>
      <c r="P1132" s="12">
        <f t="shared" si="118"/>
        <v>-1.8597134545095227E-2</v>
      </c>
      <c r="Q1132" s="13">
        <f t="shared" si="119"/>
        <v>-2.8966061239386817E-3</v>
      </c>
      <c r="R1132" s="49" t="str">
        <f t="shared" si="120"/>
        <v/>
      </c>
    </row>
    <row r="1133" spans="1:18" x14ac:dyDescent="0.35">
      <c r="A1133" s="64" t="s">
        <v>77</v>
      </c>
      <c r="B1133" s="14">
        <v>9.5153900340573472E-2</v>
      </c>
      <c r="C1133" s="12">
        <v>0.15328848161466202</v>
      </c>
      <c r="D1133" s="12">
        <v>6.4606614486721226E-2</v>
      </c>
      <c r="E1133" s="12">
        <v>0.10133686823104693</v>
      </c>
      <c r="F1133" s="12">
        <v>4.596080133072955E-2</v>
      </c>
      <c r="G1133" s="12">
        <v>6.4666666666666206E-3</v>
      </c>
      <c r="H1133" s="12">
        <v>7.8372854964803729E-2</v>
      </c>
      <c r="I1133" s="12">
        <v>0.13384329487013291</v>
      </c>
      <c r="J1133" s="12">
        <v>0.15374130138460451</v>
      </c>
      <c r="K1133" s="12">
        <v>9.5488446020295825E-2</v>
      </c>
      <c r="L1133" s="12">
        <v>9.8817259253851208E-2</v>
      </c>
      <c r="M1133" s="13">
        <f t="shared" si="115"/>
        <v>9.5771884895602469E-2</v>
      </c>
      <c r="N1133" s="32">
        <f t="shared" si="116"/>
        <v>227.94104075564979</v>
      </c>
      <c r="O1133" s="32">
        <f t="shared" si="117"/>
        <v>160.44986768597494</v>
      </c>
      <c r="P1133" s="12" t="str">
        <f t="shared" si="118"/>
        <v/>
      </c>
      <c r="Q1133" s="13">
        <f t="shared" si="119"/>
        <v>6.1798455502899696E-4</v>
      </c>
      <c r="R1133" s="49">
        <f t="shared" si="120"/>
        <v>1</v>
      </c>
    </row>
    <row r="1134" spans="1:18" x14ac:dyDescent="0.35">
      <c r="A1134" s="64" t="s">
        <v>77</v>
      </c>
      <c r="B1134" s="14">
        <v>-3.4607561069471604E-2</v>
      </c>
      <c r="C1134" s="12">
        <v>-4.2393764143827006E-2</v>
      </c>
      <c r="D1134" s="12">
        <v>-2.4478347711529458E-2</v>
      </c>
      <c r="E1134" s="12">
        <v>-2.3406489282696064E-2</v>
      </c>
      <c r="F1134" s="12">
        <v>2.7484874675885784E-2</v>
      </c>
      <c r="G1134" s="12">
        <v>-1.5102338212889976E-2</v>
      </c>
      <c r="H1134" s="12">
        <v>-2.3523749360767621E-2</v>
      </c>
      <c r="I1134" s="12">
        <v>-5.8964781216648943E-2</v>
      </c>
      <c r="J1134" s="12">
        <v>-3.2956099987563658E-2</v>
      </c>
      <c r="K1134" s="12">
        <v>1.1272321428571486E-2</v>
      </c>
      <c r="L1134" s="12">
        <v>-3.936746287498738E-2</v>
      </c>
      <c r="M1134" s="13">
        <f t="shared" si="115"/>
        <v>-2.5502951257690781E-2</v>
      </c>
      <c r="N1134" s="32">
        <f t="shared" si="116"/>
        <v>222.12787150363116</v>
      </c>
      <c r="O1134" s="32">
        <f t="shared" si="117"/>
        <v>154.89708909144392</v>
      </c>
      <c r="P1134" s="12">
        <f t="shared" si="118"/>
        <v>-2.5502951257690781E-2</v>
      </c>
      <c r="Q1134" s="13">
        <f t="shared" si="119"/>
        <v>9.1046098117808227E-3</v>
      </c>
      <c r="R1134" s="49" t="str">
        <f t="shared" si="120"/>
        <v/>
      </c>
    </row>
    <row r="1135" spans="1:18" x14ac:dyDescent="0.35">
      <c r="A1135" s="64" t="s">
        <v>77</v>
      </c>
      <c r="B1135" s="14">
        <v>1.8092083408471682E-2</v>
      </c>
      <c r="C1135" s="12">
        <v>4.0594475370234306E-2</v>
      </c>
      <c r="D1135" s="12">
        <v>2.5833151818775768E-2</v>
      </c>
      <c r="E1135" s="12">
        <v>1.8618067392159432E-2</v>
      </c>
      <c r="F1135" s="12">
        <v>8.5296096904441399E-3</v>
      </c>
      <c r="G1135" s="12">
        <v>2.0445221601990582E-2</v>
      </c>
      <c r="H1135" s="12">
        <v>2.7078648224022617E-2</v>
      </c>
      <c r="I1135" s="12">
        <v>1.7173640082627895E-2</v>
      </c>
      <c r="J1135" s="12">
        <v>8.4876543209875255E-3</v>
      </c>
      <c r="K1135" s="12">
        <v>2.4169517713276578E-2</v>
      </c>
      <c r="L1135" s="12">
        <v>1.4836076912435825E-2</v>
      </c>
      <c r="M1135" s="13">
        <f t="shared" si="115"/>
        <v>2.0920126747773989E-2</v>
      </c>
      <c r="N1135" s="32">
        <f t="shared" si="116"/>
        <v>226.77481472970035</v>
      </c>
      <c r="O1135" s="32">
        <f t="shared" si="117"/>
        <v>157.69950014701578</v>
      </c>
      <c r="P1135" s="12" t="str">
        <f t="shared" si="118"/>
        <v/>
      </c>
      <c r="Q1135" s="13">
        <f t="shared" si="119"/>
        <v>2.8280433393023073E-3</v>
      </c>
      <c r="R1135" s="49">
        <f t="shared" si="120"/>
        <v>1</v>
      </c>
    </row>
    <row r="1136" spans="1:18" x14ac:dyDescent="0.35">
      <c r="A1136" s="64" t="s">
        <v>77</v>
      </c>
      <c r="B1136" s="14">
        <v>7.9446466394201831E-3</v>
      </c>
      <c r="C1136" s="12">
        <v>2.2053999495331933E-2</v>
      </c>
      <c r="D1136" s="12">
        <v>1.5202989638185782E-2</v>
      </c>
      <c r="E1136" s="12">
        <v>-1.6475736903075466E-3</v>
      </c>
      <c r="F1136" s="12">
        <v>-2.0701619764125101E-2</v>
      </c>
      <c r="G1136" s="12">
        <v>1.7333421208726163E-2</v>
      </c>
      <c r="H1136" s="12">
        <v>5.3389322135573014E-3</v>
      </c>
      <c r="I1136" s="12">
        <v>1.6923505753992041E-2</v>
      </c>
      <c r="J1136" s="12">
        <v>1.555725580209133E-2</v>
      </c>
      <c r="K1136" s="12">
        <v>2.0797413793103514E-2</v>
      </c>
      <c r="L1136" s="12">
        <v>1.5914125063895002E-2</v>
      </c>
      <c r="M1136" s="13">
        <f t="shared" si="115"/>
        <v>1.4566163432380208E-2</v>
      </c>
      <c r="N1136" s="32">
        <f t="shared" si="116"/>
        <v>230.07805374340089</v>
      </c>
      <c r="O1136" s="32">
        <f t="shared" si="117"/>
        <v>158.95236695089702</v>
      </c>
      <c r="P1136" s="12" t="str">
        <f t="shared" si="118"/>
        <v/>
      </c>
      <c r="Q1136" s="13">
        <f t="shared" si="119"/>
        <v>6.6215167929600249E-3</v>
      </c>
      <c r="R1136" s="49">
        <f t="shared" si="120"/>
        <v>1</v>
      </c>
    </row>
    <row r="1137" spans="1:18" x14ac:dyDescent="0.35">
      <c r="A1137" s="64">
        <v>10.86</v>
      </c>
      <c r="B1137" s="14">
        <v>-1.7277195396940837E-3</v>
      </c>
      <c r="C1137" s="12">
        <v>-1.8763578905788281E-3</v>
      </c>
      <c r="D1137" s="12">
        <v>6.8602024596335909E-3</v>
      </c>
      <c r="E1137" s="12">
        <v>-5.363451174544176E-3</v>
      </c>
      <c r="F1137" s="12">
        <v>-5.910809797976202E-3</v>
      </c>
      <c r="G1137" s="12">
        <v>-4.7939880798134604E-3</v>
      </c>
      <c r="H1137" s="12">
        <v>1.8795870875349951E-3</v>
      </c>
      <c r="I1137" s="12">
        <v>9.7110188738351866E-3</v>
      </c>
      <c r="J1137" s="12">
        <v>-2.3606228026117448E-2</v>
      </c>
      <c r="K1137" s="12">
        <v>-8.0228016467857044E-3</v>
      </c>
      <c r="L1137" s="12">
        <v>-1.5731920032201807E-2</v>
      </c>
      <c r="M1137" s="13">
        <f t="shared" si="115"/>
        <v>-1.4631990974428514E-3</v>
      </c>
      <c r="N1137" s="32">
        <f t="shared" si="116"/>
        <v>229.74140374282214</v>
      </c>
      <c r="O1137" s="32">
        <f t="shared" si="117"/>
        <v>158.67774184063532</v>
      </c>
      <c r="P1137" s="12">
        <f t="shared" si="118"/>
        <v>-1.4631990974428514E-3</v>
      </c>
      <c r="Q1137" s="13">
        <f t="shared" si="119"/>
        <v>2.6452044225123224E-4</v>
      </c>
      <c r="R1137" s="49" t="str">
        <f t="shared" si="120"/>
        <v/>
      </c>
    </row>
    <row r="1138" spans="1:18" x14ac:dyDescent="0.35">
      <c r="A1138" s="64" t="s">
        <v>77</v>
      </c>
      <c r="B1138" s="14">
        <v>-2.2408428964001637E-2</v>
      </c>
      <c r="C1138" s="12">
        <v>-3.893341248639548E-2</v>
      </c>
      <c r="D1138" s="12">
        <v>-8.8491898628998422E-3</v>
      </c>
      <c r="E1138" s="12">
        <v>-3.6605916055271859E-2</v>
      </c>
      <c r="F1138" s="12">
        <v>2.4846210524511747E-3</v>
      </c>
      <c r="G1138" s="12">
        <v>1.8877750292929374E-3</v>
      </c>
      <c r="H1138" s="12">
        <v>-1.3340877281796337E-2</v>
      </c>
      <c r="I1138" s="12">
        <v>-1.9157682463352255E-2</v>
      </c>
      <c r="J1138" s="12">
        <v>6.108539094650034E-3</v>
      </c>
      <c r="K1138" s="12">
        <v>-2.9583909758433502E-2</v>
      </c>
      <c r="L1138" s="12">
        <v>-1.1212214156698486E-2</v>
      </c>
      <c r="M1138" s="13">
        <f t="shared" si="115"/>
        <v>-1.9732115740287267E-2</v>
      </c>
      <c r="N1138" s="32">
        <f t="shared" si="116"/>
        <v>225.20811977383272</v>
      </c>
      <c r="O1138" s="32">
        <f t="shared" si="117"/>
        <v>155.12202293443124</v>
      </c>
      <c r="P1138" s="12">
        <f t="shared" si="118"/>
        <v>-1.9732115740287267E-2</v>
      </c>
      <c r="Q1138" s="13">
        <f t="shared" si="119"/>
        <v>2.6763132237143696E-3</v>
      </c>
      <c r="R1138" s="49" t="str">
        <f t="shared" si="120"/>
        <v/>
      </c>
    </row>
    <row r="1139" spans="1:18" x14ac:dyDescent="0.35">
      <c r="A1139" s="64" t="s">
        <v>77</v>
      </c>
      <c r="B1139" s="14">
        <v>1.3268381447011368E-3</v>
      </c>
      <c r="C1139" s="12">
        <v>1.3949657692901463E-2</v>
      </c>
      <c r="D1139" s="12">
        <v>1.005994047868608E-3</v>
      </c>
      <c r="E1139" s="12">
        <v>-1.0306504130674687E-2</v>
      </c>
      <c r="F1139" s="12">
        <v>-0.22379666347600158</v>
      </c>
      <c r="G1139" s="12">
        <v>2.3130400883633273E-2</v>
      </c>
      <c r="H1139" s="12">
        <v>-5.191199106630795E-3</v>
      </c>
      <c r="I1139" s="12">
        <v>-6.3656492171436652E-3</v>
      </c>
      <c r="J1139" s="12">
        <v>3.4703137981721754E-2</v>
      </c>
      <c r="K1139" s="12">
        <v>2.2261212852286549E-2</v>
      </c>
      <c r="L1139" s="12">
        <v>1.4165575239539541E-2</v>
      </c>
      <c r="M1139" s="13">
        <f t="shared" si="115"/>
        <v>5.0102412157958165E-3</v>
      </c>
      <c r="N1139" s="32">
        <f t="shared" si="116"/>
        <v>226.33646677765543</v>
      </c>
      <c r="O1139" s="32">
        <f t="shared" si="117"/>
        <v>155.32784475154386</v>
      </c>
      <c r="P1139" s="12" t="str">
        <f t="shared" si="118"/>
        <v/>
      </c>
      <c r="Q1139" s="13">
        <f t="shared" si="119"/>
        <v>3.6834030710946796E-3</v>
      </c>
      <c r="R1139" s="49">
        <f t="shared" si="120"/>
        <v>1</v>
      </c>
    </row>
    <row r="1140" spans="1:18" x14ac:dyDescent="0.35">
      <c r="A1140" s="64" t="s">
        <v>77</v>
      </c>
      <c r="B1140" s="14">
        <v>-2.3567493895167213E-2</v>
      </c>
      <c r="C1140" s="12">
        <v>-1.9392831759569518E-2</v>
      </c>
      <c r="D1140" s="12">
        <v>-1.0845441983166504E-2</v>
      </c>
      <c r="E1140" s="12">
        <v>-2.3546685518516464E-2</v>
      </c>
      <c r="F1140" s="12">
        <v>-6.3376714892867447E-2</v>
      </c>
      <c r="G1140" s="12">
        <v>-3.4927287737347434E-3</v>
      </c>
      <c r="H1140" s="12">
        <v>-2.885227996723394E-2</v>
      </c>
      <c r="I1140" s="12">
        <v>-3.5016513469420252E-2</v>
      </c>
      <c r="J1140" s="12">
        <v>-1.5812229771463904E-2</v>
      </c>
      <c r="K1140" s="12">
        <v>-8.6891225059000377E-3</v>
      </c>
      <c r="L1140" s="12">
        <v>-3.2319456244689904E-2</v>
      </c>
      <c r="M1140" s="13">
        <f t="shared" si="115"/>
        <v>-2.0435089405039297E-2</v>
      </c>
      <c r="N1140" s="32">
        <f t="shared" si="116"/>
        <v>221.71126084343334</v>
      </c>
      <c r="O1140" s="32">
        <f t="shared" si="117"/>
        <v>151.66715671861238</v>
      </c>
      <c r="P1140" s="12">
        <f t="shared" si="118"/>
        <v>-2.0435089405039297E-2</v>
      </c>
      <c r="Q1140" s="13">
        <f t="shared" si="119"/>
        <v>3.1324044901279158E-3</v>
      </c>
      <c r="R1140" s="49" t="str">
        <f t="shared" si="120"/>
        <v/>
      </c>
    </row>
    <row r="1141" spans="1:18" x14ac:dyDescent="0.35">
      <c r="A1141" s="64" t="s">
        <v>77</v>
      </c>
      <c r="B1141" s="14">
        <v>2.511728897677501E-2</v>
      </c>
      <c r="C1141" s="12">
        <v>3.406502381445442E-2</v>
      </c>
      <c r="D1141" s="12">
        <v>1.9812039624079292E-2</v>
      </c>
      <c r="E1141" s="12">
        <v>2.1441300957897091E-2</v>
      </c>
      <c r="F1141" s="12">
        <v>4.3495638680555171E-3</v>
      </c>
      <c r="G1141" s="12">
        <v>5.2893193984195896E-3</v>
      </c>
      <c r="H1141" s="12">
        <v>3.5301468291158766E-2</v>
      </c>
      <c r="I1141" s="12">
        <v>4.0864294255906985E-2</v>
      </c>
      <c r="J1141" s="12">
        <v>1.9957323961340645E-2</v>
      </c>
      <c r="K1141" s="12">
        <v>2.6404068823720372E-2</v>
      </c>
      <c r="L1141" s="12">
        <v>2.2582004635808062E-2</v>
      </c>
      <c r="M1141" s="13">
        <f t="shared" si="115"/>
        <v>2.603838164044512E-2</v>
      </c>
      <c r="N1141" s="32">
        <f t="shared" si="116"/>
        <v>227.48426326725891</v>
      </c>
      <c r="O1141" s="32">
        <f t="shared" si="117"/>
        <v>155.47662452219959</v>
      </c>
      <c r="P1141" s="12" t="str">
        <f t="shared" si="118"/>
        <v/>
      </c>
      <c r="Q1141" s="13">
        <f t="shared" si="119"/>
        <v>9.2109266367011028E-4</v>
      </c>
      <c r="R1141" s="49">
        <f t="shared" si="120"/>
        <v>1</v>
      </c>
    </row>
    <row r="1142" spans="1:18" x14ac:dyDescent="0.35">
      <c r="A1142" s="64">
        <v>10.65</v>
      </c>
      <c r="B1142" s="14">
        <v>1.6661119264111734E-2</v>
      </c>
      <c r="C1142" s="12">
        <v>2.4331631120456443E-2</v>
      </c>
      <c r="D1142" s="12">
        <v>1.9012038190120206E-2</v>
      </c>
      <c r="E1142" s="12">
        <v>2.063682460062144E-2</v>
      </c>
      <c r="F1142" s="12">
        <v>1.8259281801582539E-3</v>
      </c>
      <c r="G1142" s="12">
        <v>-1.5023771790808271E-2</v>
      </c>
      <c r="H1142" s="12">
        <v>8.9619794809898679E-3</v>
      </c>
      <c r="I1142" s="12">
        <v>3.0583947389271948E-2</v>
      </c>
      <c r="J1142" s="12">
        <v>6.0607925178439492E-2</v>
      </c>
      <c r="K1142" s="12">
        <v>1.1597258829731949E-3</v>
      </c>
      <c r="L1142" s="12">
        <v>1.5798330871999111E-2</v>
      </c>
      <c r="M1142" s="13">
        <f t="shared" si="115"/>
        <v>1.6924306347654201E-2</v>
      </c>
      <c r="N1142" s="32">
        <f t="shared" si="116"/>
        <v>231.33427662806443</v>
      </c>
      <c r="O1142" s="32">
        <f t="shared" si="117"/>
        <v>158.06703910614547</v>
      </c>
      <c r="P1142" s="12" t="str">
        <f t="shared" si="118"/>
        <v/>
      </c>
      <c r="Q1142" s="13">
        <f t="shared" si="119"/>
        <v>2.6318708354246614E-4</v>
      </c>
      <c r="R1142" s="49">
        <f t="shared" si="120"/>
        <v>1</v>
      </c>
    </row>
    <row r="1143" spans="1:18" x14ac:dyDescent="0.35">
      <c r="A1143" s="64" t="s">
        <v>77</v>
      </c>
      <c r="B1143" s="14">
        <v>2.025908412793509E-2</v>
      </c>
      <c r="C1143" s="12">
        <v>1.842619745845564E-2</v>
      </c>
      <c r="D1143" s="12">
        <v>-6.5789473684210398E-2</v>
      </c>
      <c r="E1143" s="12">
        <v>3.4482758620689724E-2</v>
      </c>
      <c r="F1143" s="12">
        <v>-8.6690344892045301E-3</v>
      </c>
      <c r="G1143" s="12">
        <v>-2.8961256274938618E-3</v>
      </c>
      <c r="H1143" s="12">
        <v>4.0075365612943781E-3</v>
      </c>
      <c r="I1143" s="12">
        <v>2.7600522795417914E-2</v>
      </c>
      <c r="J1143" s="12">
        <v>2.2567732203979673E-2</v>
      </c>
      <c r="K1143" s="12">
        <v>9.2670598146589178E-3</v>
      </c>
      <c r="L1143" s="12">
        <v>3.7495351117422526E-2</v>
      </c>
      <c r="M1143" s="13">
        <f t="shared" si="115"/>
        <v>4.9124115542984598E-4</v>
      </c>
      <c r="N1143" s="32">
        <f t="shared" si="116"/>
        <v>231.44791754540574</v>
      </c>
      <c r="O1143" s="32">
        <f t="shared" si="117"/>
        <v>161.26933254925049</v>
      </c>
      <c r="P1143" s="12" t="str">
        <f t="shared" si="118"/>
        <v/>
      </c>
      <c r="Q1143" s="13">
        <f t="shared" si="119"/>
        <v>-1.9767842972505244E-2</v>
      </c>
      <c r="R1143" s="49">
        <f t="shared" si="120"/>
        <v>1</v>
      </c>
    </row>
    <row r="1144" spans="1:18" x14ac:dyDescent="0.35">
      <c r="A1144" s="64" t="s">
        <v>77</v>
      </c>
      <c r="B1144" s="14">
        <v>7.3731441792452834E-3</v>
      </c>
      <c r="C1144" s="12">
        <v>4.367231367279345E-3</v>
      </c>
      <c r="D1144" s="12">
        <v>1.3430427767845421E-2</v>
      </c>
      <c r="E1144" s="12">
        <v>1.1747998967208906E-2</v>
      </c>
      <c r="F1144" s="12">
        <v>-1.3223335297584016E-2</v>
      </c>
      <c r="G1144" s="12">
        <v>-2.2590847479506682E-3</v>
      </c>
      <c r="H1144" s="12">
        <v>-1.6085311727382923E-3</v>
      </c>
      <c r="I1144" s="12">
        <v>-9.3894957354481168E-3</v>
      </c>
      <c r="J1144" s="12">
        <v>9.5881084761149094E-3</v>
      </c>
      <c r="K1144" s="12">
        <v>-7.8255425709515825E-3</v>
      </c>
      <c r="L1144" s="12">
        <v>-1.3361141888810213E-3</v>
      </c>
      <c r="M1144" s="13">
        <f t="shared" si="115"/>
        <v>1.5338958166131299E-3</v>
      </c>
      <c r="N1144" s="32">
        <f t="shared" si="116"/>
        <v>231.80293453789247</v>
      </c>
      <c r="O1144" s="32">
        <f t="shared" si="117"/>
        <v>162.45839458982678</v>
      </c>
      <c r="P1144" s="12" t="str">
        <f t="shared" si="118"/>
        <v/>
      </c>
      <c r="Q1144" s="13">
        <f t="shared" si="119"/>
        <v>-5.8392483626321535E-3</v>
      </c>
      <c r="R1144" s="49">
        <f t="shared" si="120"/>
        <v>1</v>
      </c>
    </row>
    <row r="1145" spans="1:18" x14ac:dyDescent="0.35">
      <c r="A1145" s="64" t="s">
        <v>77</v>
      </c>
      <c r="B1145" s="14">
        <v>6.4069962951629478E-4</v>
      </c>
      <c r="C1145" s="12">
        <v>4.1093272171253137E-3</v>
      </c>
      <c r="D1145" s="12">
        <v>1.6135278172195733E-2</v>
      </c>
      <c r="E1145" s="12">
        <v>-1.7608778869465658E-3</v>
      </c>
      <c r="F1145" s="12">
        <v>3.248614561436991E-3</v>
      </c>
      <c r="G1145" s="12">
        <v>4.9812394876438404E-3</v>
      </c>
      <c r="H1145" s="12">
        <v>6.9815317600023796E-3</v>
      </c>
      <c r="I1145" s="12">
        <v>5.2868094105207319E-4</v>
      </c>
      <c r="J1145" s="12">
        <v>2.4445068839561879E-2</v>
      </c>
      <c r="K1145" s="12">
        <v>1.3671258807446129E-3</v>
      </c>
      <c r="L1145" s="12">
        <v>1.9905367922989914E-3</v>
      </c>
      <c r="M1145" s="13">
        <f t="shared" si="115"/>
        <v>4.9327510745063342E-3</v>
      </c>
      <c r="N1145" s="32">
        <f t="shared" si="116"/>
        <v>232.94636071230798</v>
      </c>
      <c r="O1145" s="32">
        <f t="shared" si="117"/>
        <v>162.56248162305229</v>
      </c>
      <c r="P1145" s="12" t="str">
        <f t="shared" si="118"/>
        <v/>
      </c>
      <c r="Q1145" s="13">
        <f t="shared" si="119"/>
        <v>4.2920514449900395E-3</v>
      </c>
      <c r="R1145" s="49">
        <f t="shared" si="120"/>
        <v>1</v>
      </c>
    </row>
    <row r="1146" spans="1:18" x14ac:dyDescent="0.35">
      <c r="A1146" s="64" t="s">
        <v>77</v>
      </c>
      <c r="B1146" s="14">
        <v>5.8023965634184105E-3</v>
      </c>
      <c r="C1146" s="12">
        <v>5.0918435328828338E-3</v>
      </c>
      <c r="D1146" s="12">
        <v>1.3677168021680064E-2</v>
      </c>
      <c r="E1146" s="12">
        <v>7.3627160241334089E-3</v>
      </c>
      <c r="F1146" s="12">
        <v>-2.5642857142857078E-2</v>
      </c>
      <c r="G1146" s="12">
        <v>3.6047634373994608E-3</v>
      </c>
      <c r="H1146" s="12">
        <v>1.1881129448016337E-2</v>
      </c>
      <c r="I1146" s="12">
        <v>7.8127948669559633E-3</v>
      </c>
      <c r="J1146" s="12">
        <v>-1.645639056500392E-3</v>
      </c>
      <c r="K1146" s="12">
        <v>8.6116362108801248E-3</v>
      </c>
      <c r="L1146" s="12">
        <v>1.1072754510519367E-3</v>
      </c>
      <c r="M1146" s="13">
        <f t="shared" si="115"/>
        <v>8.398623248002484E-3</v>
      </c>
      <c r="N1146" s="32">
        <f t="shared" si="116"/>
        <v>234.90278943292392</v>
      </c>
      <c r="O1146" s="32">
        <f t="shared" si="117"/>
        <v>163.50573360776266</v>
      </c>
      <c r="P1146" s="12" t="str">
        <f t="shared" si="118"/>
        <v/>
      </c>
      <c r="Q1146" s="13">
        <f t="shared" si="119"/>
        <v>2.5962266845840735E-3</v>
      </c>
      <c r="R1146" s="49">
        <f t="shared" si="120"/>
        <v>1</v>
      </c>
    </row>
    <row r="1147" spans="1:18" x14ac:dyDescent="0.35">
      <c r="A1147" s="64">
        <v>10.65</v>
      </c>
      <c r="B1147" s="14">
        <v>1.4799948928487794E-3</v>
      </c>
      <c r="C1147" s="12">
        <v>6.1076653567539996E-3</v>
      </c>
      <c r="D1147" s="12">
        <v>1.0150799949872669E-2</v>
      </c>
      <c r="E1147" s="12">
        <v>3.0961323723479595E-3</v>
      </c>
      <c r="F1147" s="12">
        <v>5.4003860909512813E-3</v>
      </c>
      <c r="G1147" s="12">
        <v>2.5655827079726912E-3</v>
      </c>
      <c r="H1147" s="12">
        <v>1.1653783087374192E-2</v>
      </c>
      <c r="I1147" s="12">
        <v>-2.2844730731779173E-3</v>
      </c>
      <c r="J1147" s="12">
        <v>6.8131868131868778E-3</v>
      </c>
      <c r="K1147" s="12">
        <v>1.2598917117867536E-2</v>
      </c>
      <c r="L1147" s="12">
        <v>6.08327911515949E-3</v>
      </c>
      <c r="M1147" s="13">
        <f t="shared" si="115"/>
        <v>6.63210309452999E-3</v>
      </c>
      <c r="N1147" s="32">
        <f t="shared" si="116"/>
        <v>236.46068894963574</v>
      </c>
      <c r="O1147" s="32">
        <f t="shared" si="117"/>
        <v>163.74772125845365</v>
      </c>
      <c r="P1147" s="12" t="str">
        <f t="shared" si="118"/>
        <v/>
      </c>
      <c r="Q1147" s="13">
        <f t="shared" si="119"/>
        <v>5.1521082016812107E-3</v>
      </c>
      <c r="R1147" s="49">
        <f t="shared" si="120"/>
        <v>1</v>
      </c>
    </row>
    <row r="1148" spans="1:18" x14ac:dyDescent="0.35">
      <c r="A1148" s="64" t="s">
        <v>77</v>
      </c>
      <c r="B1148" s="14">
        <v>6.2990881764606321E-3</v>
      </c>
      <c r="C1148" s="12">
        <v>3.8588235294116924E-3</v>
      </c>
      <c r="D1148" s="12">
        <v>-8.9322636671904654E-3</v>
      </c>
      <c r="E1148" s="12">
        <v>7.6253605221879184E-2</v>
      </c>
      <c r="F1148" s="12">
        <v>-2.6152051331907455E-2</v>
      </c>
      <c r="G1148" s="12">
        <v>-1.1835455185208898E-2</v>
      </c>
      <c r="H1148" s="12">
        <v>-8.8277858176556423E-3</v>
      </c>
      <c r="I1148" s="12">
        <v>7.9951953755490468E-3</v>
      </c>
      <c r="J1148" s="12">
        <v>-1.9100633049553561E-3</v>
      </c>
      <c r="K1148" s="12">
        <v>1.6452442159382574E-3</v>
      </c>
      <c r="L1148" s="12">
        <v>1.5164742781388352E-2</v>
      </c>
      <c r="M1148" s="13">
        <f t="shared" si="115"/>
        <v>1.2628367945220313E-2</v>
      </c>
      <c r="N1148" s="32">
        <f t="shared" si="116"/>
        <v>239.44680153427205</v>
      </c>
      <c r="O1148" s="32">
        <f t="shared" si="117"/>
        <v>164.77918259335516</v>
      </c>
      <c r="P1148" s="12" t="str">
        <f t="shared" si="118"/>
        <v/>
      </c>
      <c r="Q1148" s="13">
        <f t="shared" si="119"/>
        <v>6.3292797687596811E-3</v>
      </c>
      <c r="R1148" s="49">
        <f t="shared" si="120"/>
        <v>1</v>
      </c>
    </row>
    <row r="1149" spans="1:18" x14ac:dyDescent="0.35">
      <c r="A1149" s="64" t="s">
        <v>77</v>
      </c>
      <c r="B1149" s="14">
        <v>1.4726612825518126E-2</v>
      </c>
      <c r="C1149" s="12">
        <v>-3.7361710106881718E-2</v>
      </c>
      <c r="D1149" s="12">
        <v>2.4576483351414602E-2</v>
      </c>
      <c r="E1149" s="12">
        <v>2.322519981194171E-2</v>
      </c>
      <c r="F1149" s="12">
        <v>-1.8967754816811011E-3</v>
      </c>
      <c r="G1149" s="12">
        <v>1.0747118995209082E-2</v>
      </c>
      <c r="H1149" s="12">
        <v>1.5038691779821978E-2</v>
      </c>
      <c r="I1149" s="12">
        <v>3.094511059804872E-2</v>
      </c>
      <c r="J1149" s="12">
        <v>1.4052162502050436E-2</v>
      </c>
      <c r="K1149" s="12">
        <v>1.3756287855456462E-2</v>
      </c>
      <c r="L1149" s="12">
        <v>3.0959357879984717E-2</v>
      </c>
      <c r="M1149" s="13">
        <f t="shared" si="115"/>
        <v>2.4279726759842479E-2</v>
      </c>
      <c r="N1149" s="32">
        <f t="shared" si="116"/>
        <v>245.2605044490424</v>
      </c>
      <c r="O1149" s="32">
        <f t="shared" si="117"/>
        <v>167.20582181711285</v>
      </c>
      <c r="P1149" s="12" t="str">
        <f t="shared" si="118"/>
        <v/>
      </c>
      <c r="Q1149" s="13">
        <f t="shared" si="119"/>
        <v>9.5531139343243525E-3</v>
      </c>
      <c r="R1149" s="49">
        <f t="shared" si="120"/>
        <v>1</v>
      </c>
    </row>
    <row r="1150" spans="1:18" x14ac:dyDescent="0.35">
      <c r="A1150" s="64" t="s">
        <v>77</v>
      </c>
      <c r="B1150" s="14">
        <v>-6.3815906321273985E-3</v>
      </c>
      <c r="C1150" s="12">
        <v>-3.1458485512539602E-2</v>
      </c>
      <c r="D1150" s="12">
        <v>1.4783139890042651E-2</v>
      </c>
      <c r="E1150" s="12">
        <v>2.0446609079214362E-3</v>
      </c>
      <c r="F1150" s="12">
        <v>1.2227445489097821E-2</v>
      </c>
      <c r="G1150" s="12">
        <v>-7.1739687419933862E-3</v>
      </c>
      <c r="H1150" s="12">
        <v>2.9919447640964769E-3</v>
      </c>
      <c r="I1150" s="12">
        <v>4.2622358677981698E-3</v>
      </c>
      <c r="J1150" s="12">
        <v>5.3919982745604944E-3</v>
      </c>
      <c r="K1150" s="12">
        <v>5.8734177215189476E-3</v>
      </c>
      <c r="L1150" s="12">
        <v>-1.7609985170539133E-3</v>
      </c>
      <c r="M1150" s="13">
        <f t="shared" si="115"/>
        <v>6.179129747812785E-3</v>
      </c>
      <c r="N1150" s="32">
        <f t="shared" si="116"/>
        <v>246.77600092804707</v>
      </c>
      <c r="O1150" s="32">
        <f t="shared" si="117"/>
        <v>166.1387827109676</v>
      </c>
      <c r="P1150" s="12" t="str">
        <f t="shared" si="118"/>
        <v/>
      </c>
      <c r="Q1150" s="13">
        <f t="shared" si="119"/>
        <v>1.2560720379940184E-2</v>
      </c>
      <c r="R1150" s="49">
        <f t="shared" si="120"/>
        <v>1</v>
      </c>
    </row>
    <row r="1151" spans="1:18" x14ac:dyDescent="0.35">
      <c r="A1151" s="64" t="s">
        <v>77</v>
      </c>
      <c r="B1151" s="14">
        <v>-7.6932878850626274E-3</v>
      </c>
      <c r="C1151" s="12">
        <v>-1.9106038513750923E-3</v>
      </c>
      <c r="D1151" s="12">
        <v>-2.407897905128964E-4</v>
      </c>
      <c r="E1151" s="12">
        <v>-6.5570763693055811E-3</v>
      </c>
      <c r="F1151" s="12">
        <v>-2.5444035473431992E-2</v>
      </c>
      <c r="G1151" s="12">
        <v>-3.4193548387096984E-3</v>
      </c>
      <c r="H1151" s="12">
        <v>-2.696190913263008E-3</v>
      </c>
      <c r="I1151" s="12">
        <v>-9.5673128799049767E-3</v>
      </c>
      <c r="J1151" s="12">
        <v>-2.6815402767349505E-3</v>
      </c>
      <c r="K1151" s="12">
        <v>-7.8526125037753358E-3</v>
      </c>
      <c r="L1151" s="12">
        <v>-6.8707251400452751E-3</v>
      </c>
      <c r="M1151" s="13">
        <f t="shared" si="115"/>
        <v>-5.7454151453756562E-3</v>
      </c>
      <c r="N1151" s="32">
        <f t="shared" si="116"/>
        <v>245.35817035479982</v>
      </c>
      <c r="O1151" s="32">
        <f t="shared" si="117"/>
        <v>164.86062922669825</v>
      </c>
      <c r="P1151" s="12">
        <f t="shared" si="118"/>
        <v>-5.7454151453756562E-3</v>
      </c>
      <c r="Q1151" s="13">
        <f t="shared" si="119"/>
        <v>1.9478727396869712E-3</v>
      </c>
      <c r="R1151" s="49" t="str">
        <f t="shared" si="120"/>
        <v/>
      </c>
    </row>
    <row r="1152" spans="1:18" x14ac:dyDescent="0.35">
      <c r="A1152" s="64">
        <v>10.65</v>
      </c>
      <c r="B1152" s="14">
        <v>4.3464225393308187E-3</v>
      </c>
      <c r="C1152" s="12">
        <v>-1.1384816885799176E-2</v>
      </c>
      <c r="D1152" s="12">
        <v>1.706005138086053E-2</v>
      </c>
      <c r="E1152" s="12">
        <v>9.2312662989701977E-5</v>
      </c>
      <c r="F1152" s="12">
        <v>-8.7450254746394007E-3</v>
      </c>
      <c r="G1152" s="12">
        <v>1.8320709522884782E-2</v>
      </c>
      <c r="H1152" s="12">
        <v>6.183491515674433E-3</v>
      </c>
      <c r="I1152" s="12">
        <v>3.159385553981986E-3</v>
      </c>
      <c r="J1152" s="12">
        <v>-2.1510002151000629E-3</v>
      </c>
      <c r="K1152" s="12">
        <v>2.8411973617452624E-3</v>
      </c>
      <c r="L1152" s="12">
        <v>-1.8697996198072664E-3</v>
      </c>
      <c r="M1152" s="13">
        <f t="shared" si="115"/>
        <v>5.6237806164515852E-3</v>
      </c>
      <c r="N1152" s="32">
        <f t="shared" si="116"/>
        <v>246.73801087732917</v>
      </c>
      <c r="O1152" s="32">
        <f t="shared" si="117"/>
        <v>165.57718318141744</v>
      </c>
      <c r="P1152" s="12" t="str">
        <f t="shared" si="118"/>
        <v/>
      </c>
      <c r="Q1152" s="13">
        <f t="shared" si="119"/>
        <v>1.2773580771207665E-3</v>
      </c>
      <c r="R1152" s="49">
        <f t="shared" si="120"/>
        <v>1</v>
      </c>
    </row>
    <row r="1153" spans="1:18" x14ac:dyDescent="0.35">
      <c r="A1153" s="64" t="s">
        <v>77</v>
      </c>
      <c r="B1153" s="14">
        <v>5.7997471267632328E-3</v>
      </c>
      <c r="C1153" s="12">
        <v>6.3184713375796786E-3</v>
      </c>
      <c r="D1153" s="12">
        <v>3.0390338240517956E-3</v>
      </c>
      <c r="E1153" s="12">
        <v>1.1122649128879614E-2</v>
      </c>
      <c r="F1153" s="12">
        <v>-1.408990947680655E-2</v>
      </c>
      <c r="G1153" s="12">
        <v>-1.0425937698665066E-2</v>
      </c>
      <c r="H1153" s="12">
        <v>4.0588823781619876E-3</v>
      </c>
      <c r="I1153" s="12">
        <v>2.6860700839849372E-2</v>
      </c>
      <c r="J1153" s="12">
        <v>3.3089027807717164E-2</v>
      </c>
      <c r="K1153" s="12">
        <v>-1.4165739148031875E-2</v>
      </c>
      <c r="L1153" s="12">
        <v>1.2363795310499803E-2</v>
      </c>
      <c r="M1153" s="13">
        <f t="shared" si="115"/>
        <v>6.4854373869263765E-3</v>
      </c>
      <c r="N1153" s="32">
        <f t="shared" si="116"/>
        <v>248.33821479784882</v>
      </c>
      <c r="O1153" s="32">
        <f t="shared" si="117"/>
        <v>166.53748897383142</v>
      </c>
      <c r="P1153" s="12" t="str">
        <f t="shared" si="118"/>
        <v/>
      </c>
      <c r="Q1153" s="13">
        <f t="shared" si="119"/>
        <v>6.8569026016314372E-4</v>
      </c>
      <c r="R1153" s="49">
        <f t="shared" si="120"/>
        <v>1</v>
      </c>
    </row>
    <row r="1154" spans="1:18" x14ac:dyDescent="0.35">
      <c r="A1154" s="64" t="s">
        <v>77</v>
      </c>
      <c r="B1154" s="14">
        <v>-7.1151883671083382E-4</v>
      </c>
      <c r="C1154" s="12">
        <v>5.2660894222491539E-3</v>
      </c>
      <c r="D1154" s="12">
        <v>-1.9438104981506221E-2</v>
      </c>
      <c r="E1154" s="12">
        <v>1.2780427687884011E-3</v>
      </c>
      <c r="F1154" s="12">
        <v>-1.2735053819219355E-2</v>
      </c>
      <c r="G1154" s="12">
        <v>-9.250931517409744E-3</v>
      </c>
      <c r="H1154" s="12">
        <v>3.6154525009253202E-3</v>
      </c>
      <c r="I1154" s="12">
        <v>2.9965451596980497E-3</v>
      </c>
      <c r="J1154" s="12">
        <v>1.6431924882629234E-2</v>
      </c>
      <c r="K1154" s="12">
        <v>-7.2872831776661373E-3</v>
      </c>
      <c r="L1154" s="12">
        <v>4.2251349267541372E-3</v>
      </c>
      <c r="M1154" s="13">
        <f t="shared" si="115"/>
        <v>-5.4953143041183436E-3</v>
      </c>
      <c r="N1154" s="32">
        <f t="shared" si="116"/>
        <v>246.97351825381099</v>
      </c>
      <c r="O1154" s="32">
        <f t="shared" si="117"/>
        <v>166.418994413408</v>
      </c>
      <c r="P1154" s="12">
        <f t="shared" si="118"/>
        <v>-5.4953143041183436E-3</v>
      </c>
      <c r="Q1154" s="13">
        <f t="shared" si="119"/>
        <v>-4.7837954674075098E-3</v>
      </c>
      <c r="R1154" s="49" t="str">
        <f t="shared" si="120"/>
        <v/>
      </c>
    </row>
    <row r="1155" spans="1:18" x14ac:dyDescent="0.35">
      <c r="A1155" s="64" t="s">
        <v>77</v>
      </c>
      <c r="B1155" s="14">
        <v>3.2558821606703869E-2</v>
      </c>
      <c r="C1155" s="12">
        <v>6.1753891099581848E-2</v>
      </c>
      <c r="D1155" s="12">
        <v>1.8017656500802559E-2</v>
      </c>
      <c r="E1155" s="12">
        <v>2.4001094066965933E-2</v>
      </c>
      <c r="F1155" s="12">
        <v>-4.9653215636822345E-3</v>
      </c>
      <c r="G1155" s="12">
        <v>-5.1873946310476704E-4</v>
      </c>
      <c r="H1155" s="12">
        <v>9.3890055029217656E-3</v>
      </c>
      <c r="I1155" s="12">
        <v>5.0648483357351282E-2</v>
      </c>
      <c r="J1155" s="12">
        <v>1.8886322812419865E-2</v>
      </c>
      <c r="K1155" s="12">
        <v>3.1017369727037725E-4</v>
      </c>
      <c r="L1155" s="12">
        <v>5.1993120815674754E-2</v>
      </c>
      <c r="M1155" s="13">
        <f t="shared" si="115"/>
        <v>2.6949974101987243E-2</v>
      </c>
      <c r="N1155" s="32">
        <f t="shared" si="116"/>
        <v>253.62944817462787</v>
      </c>
      <c r="O1155" s="32">
        <f t="shared" si="117"/>
        <v>171.8374007644812</v>
      </c>
      <c r="P1155" s="12" t="str">
        <f t="shared" si="118"/>
        <v/>
      </c>
      <c r="Q1155" s="13">
        <f t="shared" si="119"/>
        <v>-5.6088475047166263E-3</v>
      </c>
      <c r="R1155" s="49">
        <f t="shared" si="120"/>
        <v>1</v>
      </c>
    </row>
    <row r="1156" spans="1:18" x14ac:dyDescent="0.35">
      <c r="A1156" s="64" t="s">
        <v>77</v>
      </c>
      <c r="B1156" s="14">
        <v>7.2482243048224149E-3</v>
      </c>
      <c r="C1156" s="12">
        <v>1.0152284263959421E-2</v>
      </c>
      <c r="D1156" s="12">
        <v>1.931491190035084E-2</v>
      </c>
      <c r="E1156" s="12">
        <v>-2.6710590749234875E-4</v>
      </c>
      <c r="F1156" s="12">
        <v>-0.17787458745874585</v>
      </c>
      <c r="G1156" s="12">
        <v>-3.6979369404437468E-2</v>
      </c>
      <c r="H1156" s="12">
        <v>8.1495011943233386E-4</v>
      </c>
      <c r="I1156" s="12">
        <v>1.1307373210223348E-2</v>
      </c>
      <c r="J1156" s="12">
        <v>2.4631038130257243E-2</v>
      </c>
      <c r="K1156" s="12">
        <v>-8.9922480620155953E-3</v>
      </c>
      <c r="L1156" s="12">
        <v>2.916362574806608E-2</v>
      </c>
      <c r="M1156" s="13">
        <f t="shared" si="115"/>
        <v>1.0393865221524138E-2</v>
      </c>
      <c r="N1156" s="32">
        <f t="shared" si="116"/>
        <v>256.26563847516445</v>
      </c>
      <c r="O1156" s="32">
        <f t="shared" si="117"/>
        <v>173.08291678917982</v>
      </c>
      <c r="P1156" s="12" t="str">
        <f t="shared" si="118"/>
        <v/>
      </c>
      <c r="Q1156" s="13">
        <f t="shared" si="119"/>
        <v>3.1456409167017231E-3</v>
      </c>
      <c r="R1156" s="49">
        <f t="shared" si="120"/>
        <v>1</v>
      </c>
    </row>
    <row r="1157" spans="1:18" x14ac:dyDescent="0.35">
      <c r="A1157" s="64">
        <v>10.51</v>
      </c>
      <c r="B1157" s="14">
        <v>1.024369112638146E-3</v>
      </c>
      <c r="C1157" s="12">
        <v>-2.8178274550321181E-3</v>
      </c>
      <c r="D1157" s="12">
        <v>-2.9776866854865913E-3</v>
      </c>
      <c r="E1157" s="12">
        <v>8.4606136171350155E-3</v>
      </c>
      <c r="F1157" s="12">
        <v>-1.082278887532917E-2</v>
      </c>
      <c r="G1157" s="12">
        <v>-1.4012395580705883E-2</v>
      </c>
      <c r="H1157" s="12">
        <v>8.9852305273208088E-4</v>
      </c>
      <c r="I1157" s="12">
        <v>-7.2775388686734388E-3</v>
      </c>
      <c r="J1157" s="12">
        <v>6.3907187100580298E-3</v>
      </c>
      <c r="K1157" s="12">
        <v>9.9082186065915234E-3</v>
      </c>
      <c r="L1157" s="12">
        <v>-8.169285754807909E-3</v>
      </c>
      <c r="M1157" s="13">
        <f t="shared" si="115"/>
        <v>-2.1631162181509601E-4</v>
      </c>
      <c r="N1157" s="32">
        <f t="shared" si="116"/>
        <v>256.21020523929042</v>
      </c>
      <c r="O1157" s="32">
        <f t="shared" si="117"/>
        <v>173.26021758306396</v>
      </c>
      <c r="P1157" s="12">
        <f t="shared" si="118"/>
        <v>-2.1631162181509601E-4</v>
      </c>
      <c r="Q1157" s="13">
        <f t="shared" si="119"/>
        <v>-1.240680734453242E-3</v>
      </c>
      <c r="R1157" s="49" t="str">
        <f t="shared" si="120"/>
        <v/>
      </c>
    </row>
    <row r="1158" spans="1:18" x14ac:dyDescent="0.35">
      <c r="A1158" s="64" t="s">
        <v>77</v>
      </c>
      <c r="B1158" s="14">
        <v>4.1323155561741043E-3</v>
      </c>
      <c r="C1158" s="12">
        <v>-4.1444920642397243E-3</v>
      </c>
      <c r="D1158" s="12">
        <v>3.4365060895198196E-2</v>
      </c>
      <c r="E1158" s="12">
        <v>4.1948160904303755E-4</v>
      </c>
      <c r="F1158" s="12">
        <v>-0.10928216616343611</v>
      </c>
      <c r="G1158" s="12">
        <v>2.2205520634053011E-2</v>
      </c>
      <c r="H1158" s="12">
        <v>1.6383324917241815E-2</v>
      </c>
      <c r="I1158" s="12">
        <v>-1.8327224258580799E-3</v>
      </c>
      <c r="J1158" s="12">
        <v>7.4247753028526819E-3</v>
      </c>
      <c r="K1158" s="12">
        <v>-4.9571413818032539E-3</v>
      </c>
      <c r="L1158" s="12">
        <v>4.2898815992664652E-4</v>
      </c>
      <c r="M1158" s="13">
        <f t="shared" si="115"/>
        <v>8.1062792199456755E-3</v>
      </c>
      <c r="N1158" s="32">
        <f t="shared" si="116"/>
        <v>258.28711670195975</v>
      </c>
      <c r="O1158" s="32">
        <f t="shared" si="117"/>
        <v>173.97618347544858</v>
      </c>
      <c r="P1158" s="12" t="str">
        <f t="shared" si="118"/>
        <v/>
      </c>
      <c r="Q1158" s="13">
        <f t="shared" si="119"/>
        <v>3.9739636637715712E-3</v>
      </c>
      <c r="R1158" s="49">
        <f t="shared" si="120"/>
        <v>1</v>
      </c>
    </row>
    <row r="1159" spans="1:18" x14ac:dyDescent="0.35">
      <c r="A1159" s="64" t="s">
        <v>77</v>
      </c>
      <c r="B1159" s="14">
        <v>7.0053220166539365E-3</v>
      </c>
      <c r="C1159" s="12">
        <v>-8.9855757862378205E-4</v>
      </c>
      <c r="D1159" s="12">
        <v>2.9998500074990275E-4</v>
      </c>
      <c r="E1159" s="12">
        <v>2.5158343080351475E-3</v>
      </c>
      <c r="F1159" s="12">
        <v>6.4005831966466253E-2</v>
      </c>
      <c r="G1159" s="12">
        <v>1.1496557716730083E-2</v>
      </c>
      <c r="H1159" s="12">
        <v>7.7836047474468817E-3</v>
      </c>
      <c r="I1159" s="12">
        <v>5.6751794358200769E-4</v>
      </c>
      <c r="J1159" s="12">
        <v>-2.0364623739334009E-3</v>
      </c>
      <c r="K1159" s="12">
        <v>1.961598339387649E-2</v>
      </c>
      <c r="L1159" s="12">
        <v>1.0777279094365433E-2</v>
      </c>
      <c r="M1159" s="13">
        <f t="shared" si="115"/>
        <v>6.7642944943392272E-3</v>
      </c>
      <c r="N1159" s="32">
        <f t="shared" si="116"/>
        <v>260.03424682342552</v>
      </c>
      <c r="O1159" s="32">
        <f t="shared" si="117"/>
        <v>175.19494266392257</v>
      </c>
      <c r="P1159" s="12" t="str">
        <f t="shared" si="118"/>
        <v/>
      </c>
      <c r="Q1159" s="13">
        <f t="shared" si="119"/>
        <v>-2.4102752231470927E-4</v>
      </c>
      <c r="R1159" s="49">
        <f t="shared" si="120"/>
        <v>1</v>
      </c>
    </row>
    <row r="1160" spans="1:18" x14ac:dyDescent="0.35">
      <c r="A1160" s="64" t="s">
        <v>77</v>
      </c>
      <c r="B1160" s="14">
        <v>8.76077054501323E-4</v>
      </c>
      <c r="C1160" s="12">
        <v>-1.1739089273880454E-2</v>
      </c>
      <c r="D1160" s="12">
        <v>6.1853351327036954E-3</v>
      </c>
      <c r="E1160" s="12">
        <v>1.0126136438681987E-2</v>
      </c>
      <c r="F1160" s="12">
        <v>8.2148607447500854E-2</v>
      </c>
      <c r="G1160" s="12">
        <v>7.6653670785700179E-3</v>
      </c>
      <c r="H1160" s="12">
        <v>7.6139351446098402E-3</v>
      </c>
      <c r="I1160" s="12">
        <v>-1.4013078873615914E-3</v>
      </c>
      <c r="J1160" s="12">
        <v>-2.7694101642211644E-3</v>
      </c>
      <c r="K1160" s="12">
        <v>-1.2214983713354499E-3</v>
      </c>
      <c r="L1160" s="12">
        <v>-2.8564964081678745E-3</v>
      </c>
      <c r="M1160" s="13">
        <f t="shared" si="115"/>
        <v>2.0762192314735884E-3</v>
      </c>
      <c r="N1160" s="32">
        <f t="shared" si="116"/>
        <v>260.5741349275221</v>
      </c>
      <c r="O1160" s="32">
        <f t="shared" si="117"/>
        <v>175.34842693325513</v>
      </c>
      <c r="P1160" s="12" t="str">
        <f t="shared" si="118"/>
        <v/>
      </c>
      <c r="Q1160" s="13">
        <f t="shared" si="119"/>
        <v>1.2001421769722654E-3</v>
      </c>
      <c r="R1160" s="49">
        <f t="shared" si="120"/>
        <v>1</v>
      </c>
    </row>
    <row r="1161" spans="1:18" x14ac:dyDescent="0.35">
      <c r="A1161" s="64" t="s">
        <v>77</v>
      </c>
      <c r="B1161" s="14">
        <v>-3.8802065866255786E-3</v>
      </c>
      <c r="C1161" s="12">
        <v>-9.196283168885877E-3</v>
      </c>
      <c r="D1161" s="12">
        <v>-5.4394396632019282E-3</v>
      </c>
      <c r="E1161" s="12">
        <v>-1.5254865212369628E-3</v>
      </c>
      <c r="F1161" s="12">
        <v>1.8012599322549061E-2</v>
      </c>
      <c r="G1161" s="12">
        <v>7.6726342710997653E-3</v>
      </c>
      <c r="H1161" s="12">
        <v>-2.8812177222071744E-3</v>
      </c>
      <c r="I1161" s="12">
        <v>-1.0457734714333422E-2</v>
      </c>
      <c r="J1161" s="12">
        <v>1.1790499390986531E-2</v>
      </c>
      <c r="K1161" s="12">
        <v>-3.2613126783531676E-3</v>
      </c>
      <c r="L1161" s="12">
        <v>-8.7358538729896962E-3</v>
      </c>
      <c r="M1161" s="13">
        <f t="shared" si="115"/>
        <v>-5.9353958795300924E-3</v>
      </c>
      <c r="N1161" s="32">
        <f t="shared" si="116"/>
        <v>259.02752428076116</v>
      </c>
      <c r="O1161" s="32">
        <f t="shared" si="117"/>
        <v>174.66803881211428</v>
      </c>
      <c r="P1161" s="12">
        <f t="shared" si="118"/>
        <v>-5.9353958795300924E-3</v>
      </c>
      <c r="Q1161" s="13">
        <f t="shared" si="119"/>
        <v>-2.0551892929045138E-3</v>
      </c>
      <c r="R1161" s="49" t="str">
        <f t="shared" si="120"/>
        <v/>
      </c>
    </row>
    <row r="1162" spans="1:18" x14ac:dyDescent="0.35">
      <c r="A1162" s="64">
        <v>10.49</v>
      </c>
      <c r="B1162" s="14">
        <v>-1.6135114115741978E-2</v>
      </c>
      <c r="C1162" s="12">
        <v>-2.3059073769699401E-2</v>
      </c>
      <c r="D1162" s="12">
        <v>-2.2775800711743677E-2</v>
      </c>
      <c r="E1162" s="12">
        <v>-1.2222537486086038E-2</v>
      </c>
      <c r="F1162" s="12">
        <v>-5.7839417874245846E-2</v>
      </c>
      <c r="G1162" s="12">
        <v>-3.1237797735258477E-3</v>
      </c>
      <c r="H1162" s="12">
        <v>-2.3279904045360289E-2</v>
      </c>
      <c r="I1162" s="12">
        <v>-3.4338386737346793E-2</v>
      </c>
      <c r="J1162" s="12">
        <v>-2.1476380796455863E-2</v>
      </c>
      <c r="K1162" s="12">
        <v>-1.4008179959100087E-2</v>
      </c>
      <c r="L1162" s="12">
        <v>-1.9971959140461903E-2</v>
      </c>
      <c r="M1162" s="13">
        <f t="shared" si="115"/>
        <v>-2.1097065144294193E-2</v>
      </c>
      <c r="N1162" s="32">
        <f t="shared" si="116"/>
        <v>253.56280372684469</v>
      </c>
      <c r="O1162" s="32">
        <f t="shared" si="117"/>
        <v>171.84975007350798</v>
      </c>
      <c r="P1162" s="12">
        <f t="shared" si="118"/>
        <v>-2.1097065144294193E-2</v>
      </c>
      <c r="Q1162" s="13">
        <f t="shared" si="119"/>
        <v>-4.9619510285522153E-3</v>
      </c>
      <c r="R1162" s="49" t="str">
        <f t="shared" si="120"/>
        <v/>
      </c>
    </row>
    <row r="1163" spans="1:18" x14ac:dyDescent="0.35">
      <c r="A1163" s="64" t="s">
        <v>77</v>
      </c>
      <c r="B1163" s="14">
        <v>-4.4485431876539749E-4</v>
      </c>
      <c r="C1163" s="12">
        <v>-3.6122519669453679E-3</v>
      </c>
      <c r="D1163" s="12">
        <v>-9.5833173611377109E-3</v>
      </c>
      <c r="E1163" s="12">
        <v>5.059990719667784E-3</v>
      </c>
      <c r="F1163" s="12">
        <v>-2.082645719189391E-2</v>
      </c>
      <c r="G1163" s="12">
        <v>-3.7211124167645382E-3</v>
      </c>
      <c r="H1163" s="12">
        <v>-9.2101590845650172E-4</v>
      </c>
      <c r="I1163" s="12">
        <v>4.1258741258740628E-3</v>
      </c>
      <c r="J1163" s="12">
        <v>9.8420353329053967E-4</v>
      </c>
      <c r="K1163" s="12">
        <v>-5.1851083687649568E-3</v>
      </c>
      <c r="L1163" s="12">
        <v>7.8245890630930237E-3</v>
      </c>
      <c r="M1163" s="13">
        <f t="shared" si="115"/>
        <v>-9.6336784458877752E-4</v>
      </c>
      <c r="N1163" s="32">
        <f t="shared" si="116"/>
        <v>253.31852947515048</v>
      </c>
      <c r="O1163" s="32">
        <f t="shared" si="117"/>
        <v>171.77330197000902</v>
      </c>
      <c r="P1163" s="12">
        <f t="shared" si="118"/>
        <v>-9.6336784458877752E-4</v>
      </c>
      <c r="Q1163" s="13">
        <f t="shared" si="119"/>
        <v>-5.1851352582338002E-4</v>
      </c>
      <c r="R1163" s="49" t="str">
        <f t="shared" si="120"/>
        <v/>
      </c>
    </row>
    <row r="1164" spans="1:18" x14ac:dyDescent="0.35">
      <c r="A1164" s="64" t="s">
        <v>77</v>
      </c>
      <c r="B1164" s="14">
        <v>-6.708307585916562E-3</v>
      </c>
      <c r="C1164" s="12">
        <v>-3.0244338498212175E-2</v>
      </c>
      <c r="D1164" s="12">
        <v>1.0063087819793815E-3</v>
      </c>
      <c r="E1164" s="12">
        <v>-1.0288880094974306E-2</v>
      </c>
      <c r="F1164" s="12">
        <v>-3.7078235076011268E-3</v>
      </c>
      <c r="G1164" s="12">
        <v>2.1623746805581323E-3</v>
      </c>
      <c r="H1164" s="12">
        <v>-1.2375338715534867E-2</v>
      </c>
      <c r="I1164" s="12">
        <v>-6.8249878125217212E-3</v>
      </c>
      <c r="J1164" s="12">
        <v>-5.1619881028464043E-3</v>
      </c>
      <c r="K1164" s="12">
        <v>4.2739497550297045E-3</v>
      </c>
      <c r="L1164" s="12">
        <v>-5.2145195399635469E-3</v>
      </c>
      <c r="M1164" s="13">
        <f t="shared" si="115"/>
        <v>-2.3979794865020801E-3</v>
      </c>
      <c r="N1164" s="32">
        <f t="shared" si="116"/>
        <v>252.7110768379182</v>
      </c>
      <c r="O1164" s="32">
        <f t="shared" si="117"/>
        <v>170.62099382534566</v>
      </c>
      <c r="P1164" s="12">
        <f t="shared" si="118"/>
        <v>-2.3979794865020801E-3</v>
      </c>
      <c r="Q1164" s="13">
        <f t="shared" si="119"/>
        <v>4.3103280994144823E-3</v>
      </c>
      <c r="R1164" s="49" t="str">
        <f t="shared" si="120"/>
        <v/>
      </c>
    </row>
    <row r="1165" spans="1:18" x14ac:dyDescent="0.35">
      <c r="A1165" s="64" t="s">
        <v>77</v>
      </c>
      <c r="B1165" s="14">
        <v>2.0459018201495205E-2</v>
      </c>
      <c r="C1165" s="12">
        <v>2.5298304911148595E-2</v>
      </c>
      <c r="D1165" s="12">
        <v>1.7786026369717378E-2</v>
      </c>
      <c r="E1165" s="12">
        <v>2.334621706872797E-2</v>
      </c>
      <c r="F1165" s="12">
        <v>-1.928477179686694E-3</v>
      </c>
      <c r="G1165" s="12">
        <v>2.0269386687590263E-3</v>
      </c>
      <c r="H1165" s="12">
        <v>1.629235730044698E-2</v>
      </c>
      <c r="I1165" s="12">
        <v>2.9941799312811046E-2</v>
      </c>
      <c r="J1165" s="12">
        <v>-6.5724451472624068E-3</v>
      </c>
      <c r="K1165" s="12">
        <v>1.2871081586049327E-2</v>
      </c>
      <c r="L1165" s="12">
        <v>2.3646582602871336E-2</v>
      </c>
      <c r="M1165" s="13">
        <f t="shared" si="115"/>
        <v>2.0796335189380028E-2</v>
      </c>
      <c r="N1165" s="32">
        <f t="shared" si="116"/>
        <v>257.9665410979087</v>
      </c>
      <c r="O1165" s="32">
        <f t="shared" si="117"/>
        <v>174.11173184357563</v>
      </c>
      <c r="P1165" s="12" t="str">
        <f t="shared" si="118"/>
        <v/>
      </c>
      <c r="Q1165" s="13">
        <f t="shared" si="119"/>
        <v>3.3731698788482326E-4</v>
      </c>
      <c r="R1165" s="49">
        <f t="shared" si="120"/>
        <v>1</v>
      </c>
    </row>
    <row r="1166" spans="1:18" x14ac:dyDescent="0.35">
      <c r="A1166" s="64">
        <v>10.4</v>
      </c>
      <c r="B1166" s="14">
        <v>-5.571185873944895E-3</v>
      </c>
      <c r="C1166" s="12">
        <v>1.0488986564105574E-3</v>
      </c>
      <c r="D1166" s="12">
        <v>-1.1358887664779882E-2</v>
      </c>
      <c r="E1166" s="12">
        <v>-7.2282880027784158E-3</v>
      </c>
      <c r="F1166" s="12">
        <v>1.0542372881356066E-2</v>
      </c>
      <c r="G1166" s="12">
        <v>-5.350734094616616E-3</v>
      </c>
      <c r="H1166" s="12">
        <v>1.1967715001390822E-3</v>
      </c>
      <c r="I1166" s="12">
        <v>-1.3616557734204005E-3</v>
      </c>
      <c r="J1166" s="12">
        <v>2.3379595085311067E-3</v>
      </c>
      <c r="K1166" s="12">
        <v>-3.4843205574913716E-3</v>
      </c>
      <c r="L1166" s="12">
        <v>-5.7466359420783597E-3</v>
      </c>
      <c r="M1166" s="13">
        <f t="shared" si="115"/>
        <v>-6.1431155548950147E-3</v>
      </c>
      <c r="N1166" s="32">
        <f t="shared" si="116"/>
        <v>256.38182282664769</v>
      </c>
      <c r="O1166" s="32">
        <f t="shared" si="117"/>
        <v>173.1417230226406</v>
      </c>
      <c r="P1166" s="12">
        <f t="shared" si="118"/>
        <v>-6.1431155548950147E-3</v>
      </c>
      <c r="Q1166" s="13">
        <f t="shared" si="119"/>
        <v>-5.7192968095011974E-4</v>
      </c>
      <c r="R1166" s="49" t="str">
        <f t="shared" si="120"/>
        <v/>
      </c>
    </row>
    <row r="1167" spans="1:18" x14ac:dyDescent="0.35">
      <c r="A1167" s="64" t="s">
        <v>77</v>
      </c>
      <c r="B1167" s="14">
        <v>4.0111742279509421E-3</v>
      </c>
      <c r="C1167" s="12">
        <v>-2.3450753417822989E-3</v>
      </c>
      <c r="D1167" s="12">
        <v>-5.9560405779280901E-3</v>
      </c>
      <c r="E1167" s="12">
        <v>2.8861290886827984E-3</v>
      </c>
      <c r="F1167" s="12">
        <v>2.012679883265367E-4</v>
      </c>
      <c r="G1167" s="12">
        <v>7.5444466312406533E-3</v>
      </c>
      <c r="H1167" s="12">
        <v>7.4222333416729125E-3</v>
      </c>
      <c r="I1167" s="12">
        <v>6.8857376602127207E-3</v>
      </c>
      <c r="J1167" s="12">
        <v>3.3151364764268054E-2</v>
      </c>
      <c r="K1167" s="12">
        <v>-1.4397367338543354E-3</v>
      </c>
      <c r="L1167" s="12">
        <v>6.5810180548799835E-3</v>
      </c>
      <c r="M1167" s="13">
        <f t="shared" si="115"/>
        <v>8.8867967180682964E-4</v>
      </c>
      <c r="N1167" s="32">
        <f t="shared" si="116"/>
        <v>256.60966414081452</v>
      </c>
      <c r="O1167" s="32">
        <f t="shared" si="117"/>
        <v>173.83622463981203</v>
      </c>
      <c r="P1167" s="12" t="str">
        <f t="shared" si="118"/>
        <v/>
      </c>
      <c r="Q1167" s="13">
        <f t="shared" si="119"/>
        <v>-3.1224945561441125E-3</v>
      </c>
      <c r="R1167" s="49">
        <f t="shared" si="120"/>
        <v>1</v>
      </c>
    </row>
    <row r="1168" spans="1:18" x14ac:dyDescent="0.35">
      <c r="A1168" s="64" t="s">
        <v>77</v>
      </c>
      <c r="B1168" s="14">
        <v>-8.118846379590039E-5</v>
      </c>
      <c r="C1168" s="12">
        <v>4.5011252813202951E-3</v>
      </c>
      <c r="D1168" s="12">
        <v>1.4302833507287005E-3</v>
      </c>
      <c r="E1168" s="12">
        <v>3.6626842242957203E-3</v>
      </c>
      <c r="F1168" s="12">
        <v>1.2543180065063497E-2</v>
      </c>
      <c r="G1168" s="12">
        <v>1.0613361114728548E-2</v>
      </c>
      <c r="H1168" s="12">
        <v>7.6986754966887894E-3</v>
      </c>
      <c r="I1168" s="12">
        <v>-4.5026745209559849E-3</v>
      </c>
      <c r="J1168" s="12">
        <v>-4.1310404457681749E-3</v>
      </c>
      <c r="K1168" s="12">
        <v>1.6683831101956814E-2</v>
      </c>
      <c r="L1168" s="12">
        <v>-1.0688194661587991E-2</v>
      </c>
      <c r="M1168" s="13">
        <f t="shared" si="115"/>
        <v>1.9495677468418771E-3</v>
      </c>
      <c r="N1168" s="32">
        <f t="shared" si="116"/>
        <v>257.10994206555142</v>
      </c>
      <c r="O1168" s="32">
        <f t="shared" si="117"/>
        <v>173.82211114378146</v>
      </c>
      <c r="P1168" s="12" t="str">
        <f t="shared" si="118"/>
        <v/>
      </c>
      <c r="Q1168" s="13">
        <f t="shared" si="119"/>
        <v>2.0307562106377775E-3</v>
      </c>
      <c r="R1168" s="49">
        <f t="shared" si="120"/>
        <v>1</v>
      </c>
    </row>
    <row r="1169" spans="1:18" x14ac:dyDescent="0.35">
      <c r="A1169" s="64" t="s">
        <v>77</v>
      </c>
      <c r="B1169" s="14">
        <v>4.1020418864994301E-3</v>
      </c>
      <c r="C1169" s="12">
        <v>4.2320139407516777E-3</v>
      </c>
      <c r="D1169" s="12">
        <v>1.8682930595228742E-2</v>
      </c>
      <c r="E1169" s="12">
        <v>3.4972630115561731E-3</v>
      </c>
      <c r="F1169" s="12">
        <v>9.3074094928953244E-3</v>
      </c>
      <c r="G1169" s="12">
        <v>1.2241479286128065E-3</v>
      </c>
      <c r="H1169" s="12">
        <v>3.5597907938322848E-4</v>
      </c>
      <c r="I1169" s="12">
        <v>4.3530011902737087E-3</v>
      </c>
      <c r="J1169" s="12">
        <v>2.0017364460737097E-2</v>
      </c>
      <c r="K1169" s="12">
        <v>1.0636142625607858E-2</v>
      </c>
      <c r="L1169" s="12">
        <v>-9.654340143090967E-3</v>
      </c>
      <c r="M1169" s="13">
        <f t="shared" ref="M1169:M1232" si="121">SUMPRODUCT($C$2:$L$2,C1169:L1169)</f>
        <v>7.1921791590990377E-3</v>
      </c>
      <c r="N1169" s="32">
        <f t="shared" ref="N1169:N1232" si="122">+(N1168*(1+M1169))</f>
        <v>258.95912283247242</v>
      </c>
      <c r="O1169" s="32">
        <f t="shared" ref="O1169:O1232" si="123">+(O1168*(1+B1169))</f>
        <v>174.53513672449301</v>
      </c>
      <c r="P1169" s="12" t="str">
        <f t="shared" ref="P1169:P1232" si="124">+IF(M1169&lt;0,M1169,"")</f>
        <v/>
      </c>
      <c r="Q1169" s="13">
        <f t="shared" ref="Q1169:Q1232" si="125">M1169-B1169</f>
        <v>3.0901372725996076E-3</v>
      </c>
      <c r="R1169" s="49">
        <f t="shared" ref="R1169:R1232" si="126">+IF(M1169&gt;0,1,"")</f>
        <v>1</v>
      </c>
    </row>
    <row r="1170" spans="1:18" x14ac:dyDescent="0.35">
      <c r="A1170" s="64" t="s">
        <v>77</v>
      </c>
      <c r="B1170" s="14">
        <v>5.8002607843070653E-3</v>
      </c>
      <c r="C1170" s="12">
        <v>7.7838373822509688E-3</v>
      </c>
      <c r="D1170" s="12">
        <v>4.9261083743843415E-3</v>
      </c>
      <c r="E1170" s="12">
        <v>2.1646427257180356E-3</v>
      </c>
      <c r="F1170" s="12">
        <v>-1.1485954318718794E-2</v>
      </c>
      <c r="G1170" s="12">
        <v>-6.3063063063064639E-3</v>
      </c>
      <c r="H1170" s="12">
        <v>1.4781561370853513E-3</v>
      </c>
      <c r="I1170" s="12">
        <v>6.9752480276301654E-3</v>
      </c>
      <c r="J1170" s="12">
        <v>9.2684541542535914E-3</v>
      </c>
      <c r="K1170" s="12">
        <v>2.1048411346096252E-3</v>
      </c>
      <c r="L1170" s="12">
        <v>1.3723271535091452E-2</v>
      </c>
      <c r="M1170" s="13">
        <f t="shared" si="121"/>
        <v>5.8024230367739547E-3</v>
      </c>
      <c r="N1170" s="32">
        <f t="shared" si="122"/>
        <v>260.4617132123783</v>
      </c>
      <c r="O1170" s="32">
        <f t="shared" si="123"/>
        <v>175.54748603351976</v>
      </c>
      <c r="P1170" s="12" t="str">
        <f t="shared" si="124"/>
        <v/>
      </c>
      <c r="Q1170" s="13">
        <f t="shared" si="125"/>
        <v>2.1622524668894055E-6</v>
      </c>
      <c r="R1170" s="49">
        <f t="shared" si="126"/>
        <v>1</v>
      </c>
    </row>
    <row r="1171" spans="1:18" x14ac:dyDescent="0.35">
      <c r="A1171" s="64">
        <v>10.35</v>
      </c>
      <c r="B1171" s="14">
        <v>7.3697275043249633E-5</v>
      </c>
      <c r="C1171" s="12">
        <v>-2.2138042996999729E-3</v>
      </c>
      <c r="D1171" s="12">
        <v>1.2066365007541435E-3</v>
      </c>
      <c r="E1171" s="12">
        <v>1.9439704516490686E-3</v>
      </c>
      <c r="F1171" s="12">
        <v>-2.788659451563702E-3</v>
      </c>
      <c r="G1171" s="12">
        <v>-7.7710141173422675E-3</v>
      </c>
      <c r="H1171" s="12">
        <v>5.8492319466463272E-3</v>
      </c>
      <c r="I1171" s="12">
        <v>-4.9093782575069245E-3</v>
      </c>
      <c r="J1171" s="12">
        <v>-6.7937965609333739E-3</v>
      </c>
      <c r="K1171" s="12">
        <v>-6.3012602520504668E-3</v>
      </c>
      <c r="L1171" s="12">
        <v>-2.0034344590724729E-4</v>
      </c>
      <c r="M1171" s="13">
        <f t="shared" si="121"/>
        <v>-1.7880063611861884E-3</v>
      </c>
      <c r="N1171" s="32">
        <f t="shared" si="122"/>
        <v>259.99600601230912</v>
      </c>
      <c r="O1171" s="32">
        <f t="shared" si="123"/>
        <v>175.56042340488113</v>
      </c>
      <c r="P1171" s="12">
        <f t="shared" si="124"/>
        <v>-1.7880063611861884E-3</v>
      </c>
      <c r="Q1171" s="13">
        <f t="shared" si="125"/>
        <v>-1.861703636229438E-3</v>
      </c>
      <c r="R1171" s="49" t="str">
        <f t="shared" si="126"/>
        <v/>
      </c>
    </row>
    <row r="1172" spans="1:18" x14ac:dyDescent="0.35">
      <c r="A1172" s="64" t="s">
        <v>77</v>
      </c>
      <c r="B1172" s="14">
        <v>-5.2773409302925289E-3</v>
      </c>
      <c r="C1172" s="12">
        <v>-1.0797751701015712E-2</v>
      </c>
      <c r="D1172" s="12">
        <v>5.0467008134982283E-3</v>
      </c>
      <c r="E1172" s="12">
        <v>8.2135080949403694E-3</v>
      </c>
      <c r="F1172" s="12">
        <v>-1.5114188694320574E-2</v>
      </c>
      <c r="G1172" s="12">
        <v>2.8716877692207543E-3</v>
      </c>
      <c r="H1172" s="12">
        <v>-3.3423913043478803E-3</v>
      </c>
      <c r="I1172" s="12">
        <v>1.0137532524567838E-4</v>
      </c>
      <c r="J1172" s="12">
        <v>-1.3963581469949915E-2</v>
      </c>
      <c r="K1172" s="12">
        <v>-1.3990941117262179E-2</v>
      </c>
      <c r="L1172" s="12">
        <v>-1.0591704119313761E-3</v>
      </c>
      <c r="M1172" s="13">
        <f t="shared" si="121"/>
        <v>-7.6450137059138018E-4</v>
      </c>
      <c r="N1172" s="32">
        <f t="shared" si="122"/>
        <v>259.79723870936442</v>
      </c>
      <c r="O1172" s="32">
        <f t="shared" si="123"/>
        <v>174.63393119670707</v>
      </c>
      <c r="P1172" s="12">
        <f t="shared" si="124"/>
        <v>-7.6450137059138018E-4</v>
      </c>
      <c r="Q1172" s="13">
        <f t="shared" si="125"/>
        <v>4.5128395597011485E-3</v>
      </c>
      <c r="R1172" s="49" t="str">
        <f t="shared" si="126"/>
        <v/>
      </c>
    </row>
    <row r="1173" spans="1:18" x14ac:dyDescent="0.35">
      <c r="A1173" s="64" t="s">
        <v>77</v>
      </c>
      <c r="B1173" s="14">
        <v>1.0280672806559643E-2</v>
      </c>
      <c r="C1173" s="12">
        <v>1.6398345212580434E-2</v>
      </c>
      <c r="D1173" s="12">
        <v>7.5320392715281237E-3</v>
      </c>
      <c r="E1173" s="12">
        <v>5.7731782415326727E-3</v>
      </c>
      <c r="F1173" s="12">
        <v>2.4945916711736293E-2</v>
      </c>
      <c r="G1173" s="12">
        <v>8.9157881036054931E-3</v>
      </c>
      <c r="H1173" s="12">
        <v>9.4064400032718432E-3</v>
      </c>
      <c r="I1173" s="12">
        <v>2.1996215704825239E-2</v>
      </c>
      <c r="J1173" s="12">
        <v>8.5159314898095584E-3</v>
      </c>
      <c r="K1173" s="12">
        <v>-5.0020416496528997E-3</v>
      </c>
      <c r="L1173" s="12">
        <v>1.2580238422742029E-2</v>
      </c>
      <c r="M1173" s="13">
        <f t="shared" si="121"/>
        <v>8.1268596721475982E-3</v>
      </c>
      <c r="N1173" s="32">
        <f t="shared" si="122"/>
        <v>261.90857441156686</v>
      </c>
      <c r="O1173" s="32">
        <f t="shared" si="123"/>
        <v>176.42928550426367</v>
      </c>
      <c r="P1173" s="12" t="str">
        <f t="shared" si="124"/>
        <v/>
      </c>
      <c r="Q1173" s="13">
        <f t="shared" si="125"/>
        <v>-2.1538131344120449E-3</v>
      </c>
      <c r="R1173" s="49">
        <f t="shared" si="126"/>
        <v>1</v>
      </c>
    </row>
    <row r="1174" spans="1:18" x14ac:dyDescent="0.35">
      <c r="A1174" s="64" t="s">
        <v>77</v>
      </c>
      <c r="B1174" s="14">
        <v>9.1994480331192285E-4</v>
      </c>
      <c r="C1174" s="12">
        <v>-1.2112593173793651E-2</v>
      </c>
      <c r="D1174" s="12">
        <v>1.1938855208836863E-2</v>
      </c>
      <c r="E1174" s="12">
        <v>5.0384795271907201E-3</v>
      </c>
      <c r="F1174" s="12">
        <v>-9.8938064771569856E-5</v>
      </c>
      <c r="G1174" s="12">
        <v>1.2900728891180879E-3</v>
      </c>
      <c r="H1174" s="12">
        <v>-9.6159040570471532E-3</v>
      </c>
      <c r="I1174" s="12">
        <v>-3.008562832677697E-3</v>
      </c>
      <c r="J1174" s="12">
        <v>3.1831119544591946E-2</v>
      </c>
      <c r="K1174" s="12">
        <v>-2.0519134092533697E-4</v>
      </c>
      <c r="L1174" s="12">
        <v>1.3357860478279138E-2</v>
      </c>
      <c r="M1174" s="13">
        <f t="shared" si="121"/>
        <v>5.626009419342843E-3</v>
      </c>
      <c r="N1174" s="32">
        <f t="shared" si="122"/>
        <v>263.38207451821296</v>
      </c>
      <c r="O1174" s="32">
        <f t="shared" si="123"/>
        <v>176.59159070861537</v>
      </c>
      <c r="P1174" s="12" t="str">
        <f t="shared" si="124"/>
        <v/>
      </c>
      <c r="Q1174" s="13">
        <f t="shared" si="125"/>
        <v>4.7060646160309201E-3</v>
      </c>
      <c r="R1174" s="49">
        <f t="shared" si="126"/>
        <v>1</v>
      </c>
    </row>
    <row r="1175" spans="1:18" x14ac:dyDescent="0.35">
      <c r="A1175" s="64" t="s">
        <v>77</v>
      </c>
      <c r="B1175" s="14">
        <v>5.4829600325014827E-3</v>
      </c>
      <c r="C1175" s="12">
        <v>6.0560933234052872E-3</v>
      </c>
      <c r="D1175" s="12">
        <v>1.5289620699794337E-2</v>
      </c>
      <c r="E1175" s="12">
        <v>-3.8709677419354049E-3</v>
      </c>
      <c r="F1175" s="12">
        <v>1.9789570896138198E-3</v>
      </c>
      <c r="G1175" s="12">
        <v>7.8593055466082973E-3</v>
      </c>
      <c r="H1175" s="12">
        <v>1.1018382152402584E-2</v>
      </c>
      <c r="I1175" s="12">
        <v>-6.7648229208118194E-3</v>
      </c>
      <c r="J1175" s="12">
        <v>-8.1835317916417738E-3</v>
      </c>
      <c r="K1175" s="12">
        <v>-1.3340174448436271E-3</v>
      </c>
      <c r="L1175" s="12">
        <v>1.3963750104728501E-3</v>
      </c>
      <c r="M1175" s="13">
        <f t="shared" si="121"/>
        <v>2.2974807205492862E-3</v>
      </c>
      <c r="N1175" s="32">
        <f t="shared" si="122"/>
        <v>263.98718975655686</v>
      </c>
      <c r="O1175" s="32">
        <f t="shared" si="123"/>
        <v>177.55983534254656</v>
      </c>
      <c r="P1175" s="12" t="str">
        <f t="shared" si="124"/>
        <v/>
      </c>
      <c r="Q1175" s="13">
        <f t="shared" si="125"/>
        <v>-3.1854793119521965E-3</v>
      </c>
      <c r="R1175" s="49">
        <f t="shared" si="126"/>
        <v>1</v>
      </c>
    </row>
    <row r="1176" spans="1:18" x14ac:dyDescent="0.35">
      <c r="A1176" s="64" t="s">
        <v>77</v>
      </c>
      <c r="B1176" s="14">
        <v>-2.7439180898224391E-3</v>
      </c>
      <c r="C1176" s="12">
        <v>-1.9193763260472618E-2</v>
      </c>
      <c r="D1176" s="12">
        <v>1.9113814074717572E-2</v>
      </c>
      <c r="E1176" s="12">
        <v>3.609954981737884E-3</v>
      </c>
      <c r="F1176" s="12">
        <v>2.2285131176141393E-2</v>
      </c>
      <c r="G1176" s="12">
        <v>-7.6062639821028455E-3</v>
      </c>
      <c r="H1176" s="12">
        <v>7.0407337469653442E-3</v>
      </c>
      <c r="I1176" s="12">
        <v>-1.4022435897435015E-3</v>
      </c>
      <c r="J1176" s="12">
        <v>-8.0192833634635807E-3</v>
      </c>
      <c r="K1176" s="12">
        <v>-1.5618577887381746E-2</v>
      </c>
      <c r="L1176" s="12">
        <v>1.2745070697492755E-2</v>
      </c>
      <c r="M1176" s="13">
        <f t="shared" si="121"/>
        <v>4.1538503489852666E-3</v>
      </c>
      <c r="N1176" s="32">
        <f t="shared" si="122"/>
        <v>265.08375303685477</v>
      </c>
      <c r="O1176" s="32">
        <f t="shared" si="123"/>
        <v>177.07262569832426</v>
      </c>
      <c r="P1176" s="12" t="str">
        <f t="shared" si="124"/>
        <v/>
      </c>
      <c r="Q1176" s="13">
        <f t="shared" si="125"/>
        <v>6.8977684388077058E-3</v>
      </c>
      <c r="R1176" s="49">
        <f t="shared" si="126"/>
        <v>1</v>
      </c>
    </row>
    <row r="1177" spans="1:18" x14ac:dyDescent="0.35">
      <c r="A1177" s="64" t="s">
        <v>77</v>
      </c>
      <c r="B1177" s="14">
        <v>3.8224979409655635E-3</v>
      </c>
      <c r="C1177" s="12">
        <v>2.1128886205854513E-3</v>
      </c>
      <c r="D1177" s="12">
        <v>-1.7405512929810074E-3</v>
      </c>
      <c r="E1177" s="12">
        <v>1.3224154712030867E-2</v>
      </c>
      <c r="F1177" s="12">
        <v>2.5566718186501802E-2</v>
      </c>
      <c r="G1177" s="12">
        <v>9.0171325518484391E-3</v>
      </c>
      <c r="H1177" s="12">
        <v>-5.116391203021653E-3</v>
      </c>
      <c r="I1177" s="12">
        <v>-3.7111334002006835E-3</v>
      </c>
      <c r="J1177" s="12">
        <v>-4.7897196261682207E-2</v>
      </c>
      <c r="K1177" s="12">
        <v>-1.0125260960334059E-2</v>
      </c>
      <c r="L1177" s="12">
        <v>-6.0031943603018334E-3</v>
      </c>
      <c r="M1177" s="13">
        <f t="shared" si="121"/>
        <v>-2.642498857235491E-3</v>
      </c>
      <c r="N1177" s="32">
        <f t="shared" si="122"/>
        <v>264.38326952238322</v>
      </c>
      <c r="O1177" s="32">
        <f t="shared" si="123"/>
        <v>177.74948544545748</v>
      </c>
      <c r="P1177" s="12">
        <f t="shared" si="124"/>
        <v>-2.642498857235491E-3</v>
      </c>
      <c r="Q1177" s="13">
        <f t="shared" si="125"/>
        <v>-6.4649967982010545E-3</v>
      </c>
      <c r="R1177" s="49" t="str">
        <f t="shared" si="126"/>
        <v/>
      </c>
    </row>
    <row r="1178" spans="1:18" x14ac:dyDescent="0.35">
      <c r="A1178" s="64" t="s">
        <v>77</v>
      </c>
      <c r="B1178" s="14">
        <v>-1.1296453750541779E-2</v>
      </c>
      <c r="C1178" s="12">
        <v>-1.3805220883534086E-2</v>
      </c>
      <c r="D1178" s="12">
        <v>-1.3557271465679643E-2</v>
      </c>
      <c r="E1178" s="12">
        <v>-8.1650552341971938E-3</v>
      </c>
      <c r="F1178" s="12">
        <v>-1.5604395604395638E-2</v>
      </c>
      <c r="G1178" s="12">
        <v>2.808630154474745E-3</v>
      </c>
      <c r="H1178" s="12">
        <v>-4.9946149703823273E-2</v>
      </c>
      <c r="I1178" s="12">
        <v>-3.4229336554917889E-2</v>
      </c>
      <c r="J1178" s="12">
        <v>-1.6834355828220904E-2</v>
      </c>
      <c r="K1178" s="12">
        <v>-4.1126225877886613E-3</v>
      </c>
      <c r="L1178" s="12">
        <v>-1.0832225177304866E-2</v>
      </c>
      <c r="M1178" s="13">
        <f t="shared" si="121"/>
        <v>-1.4211473768100023E-2</v>
      </c>
      <c r="N1178" s="32">
        <f t="shared" si="122"/>
        <v>260.62599362284135</v>
      </c>
      <c r="O1178" s="32">
        <f t="shared" si="123"/>
        <v>175.74154660394026</v>
      </c>
      <c r="P1178" s="12">
        <f t="shared" si="124"/>
        <v>-1.4211473768100023E-2</v>
      </c>
      <c r="Q1178" s="13">
        <f t="shared" si="125"/>
        <v>-2.9150200175582439E-3</v>
      </c>
      <c r="R1178" s="49" t="str">
        <f t="shared" si="126"/>
        <v/>
      </c>
    </row>
    <row r="1179" spans="1:18" x14ac:dyDescent="0.35">
      <c r="A1179" s="64" t="s">
        <v>77</v>
      </c>
      <c r="B1179" s="14">
        <v>9.3927190532994143E-3</v>
      </c>
      <c r="C1179" s="12">
        <v>1.0027996945787709E-2</v>
      </c>
      <c r="D1179" s="12">
        <v>1.6629391818771877E-2</v>
      </c>
      <c r="E1179" s="12">
        <v>8.8007411150412551E-3</v>
      </c>
      <c r="F1179" s="12">
        <v>-1.8722291327783469E-2</v>
      </c>
      <c r="G1179" s="12">
        <v>-1.196690006365364E-2</v>
      </c>
      <c r="H1179" s="12">
        <v>7.4535921779792513E-3</v>
      </c>
      <c r="I1179" s="12">
        <v>2.2342680426699957E-2</v>
      </c>
      <c r="J1179" s="12">
        <v>6.8889776357827781E-3</v>
      </c>
      <c r="K1179" s="12">
        <v>-1.5883100381193227E-3</v>
      </c>
      <c r="L1179" s="12">
        <v>1.5095924940484506E-2</v>
      </c>
      <c r="M1179" s="13">
        <f t="shared" si="121"/>
        <v>1.2304361214768043E-2</v>
      </c>
      <c r="N1179" s="32">
        <f t="shared" si="122"/>
        <v>263.83282999033457</v>
      </c>
      <c r="O1179" s="32">
        <f t="shared" si="123"/>
        <v>177.39223757718341</v>
      </c>
      <c r="P1179" s="12" t="str">
        <f t="shared" si="124"/>
        <v/>
      </c>
      <c r="Q1179" s="13">
        <f t="shared" si="125"/>
        <v>2.9116421614686291E-3</v>
      </c>
      <c r="R1179" s="49">
        <f t="shared" si="126"/>
        <v>1</v>
      </c>
    </row>
    <row r="1180" spans="1:18" x14ac:dyDescent="0.35">
      <c r="A1180" s="64">
        <v>10.3</v>
      </c>
      <c r="B1180" s="14">
        <v>-8.3522428730786746E-3</v>
      </c>
      <c r="C1180" s="12">
        <v>-1.4010684406813856E-2</v>
      </c>
      <c r="D1180" s="12">
        <v>4.3288507256147302E-3</v>
      </c>
      <c r="E1180" s="12">
        <v>-2.2957799390573852E-3</v>
      </c>
      <c r="F1180" s="12">
        <v>3.9329129558602904E-3</v>
      </c>
      <c r="G1180" s="12">
        <v>-1.8296611261435447E-2</v>
      </c>
      <c r="H1180" s="12">
        <v>6.6389107685382864E-3</v>
      </c>
      <c r="I1180" s="12">
        <v>-4.7923322683707248E-3</v>
      </c>
      <c r="J1180" s="12">
        <v>-7.1393158155677039E-3</v>
      </c>
      <c r="K1180" s="12">
        <v>-4.2422314137247064E-4</v>
      </c>
      <c r="L1180" s="12">
        <v>-1.3133208255159401E-2</v>
      </c>
      <c r="M1180" s="13">
        <f t="shared" si="121"/>
        <v>-2.3822985135740831E-3</v>
      </c>
      <c r="N1180" s="32">
        <f t="shared" si="122"/>
        <v>263.20430143161656</v>
      </c>
      <c r="O1180" s="32">
        <f t="shared" si="123"/>
        <v>175.91061452513989</v>
      </c>
      <c r="P1180" s="12">
        <f t="shared" si="124"/>
        <v>-2.3822985135740831E-3</v>
      </c>
      <c r="Q1180" s="13">
        <f t="shared" si="125"/>
        <v>5.9699443595045915E-3</v>
      </c>
      <c r="R1180" s="49" t="str">
        <f t="shared" si="126"/>
        <v/>
      </c>
    </row>
    <row r="1181" spans="1:18" x14ac:dyDescent="0.35">
      <c r="A1181" s="64" t="s">
        <v>77</v>
      </c>
      <c r="B1181" s="14">
        <v>-3.0922389816012696E-4</v>
      </c>
      <c r="C1181" s="12">
        <v>4.8047434062565841E-3</v>
      </c>
      <c r="D1181" s="12">
        <v>5.6527115350624157E-4</v>
      </c>
      <c r="E1181" s="12">
        <v>4.602125345159358E-3</v>
      </c>
      <c r="F1181" s="12">
        <v>-5.406805452132013E-3</v>
      </c>
      <c r="G1181" s="12">
        <v>-1.0828192676204274E-2</v>
      </c>
      <c r="H1181" s="12">
        <v>-4.8792756539235316E-2</v>
      </c>
      <c r="I1181" s="12">
        <v>1.2328813906628877E-2</v>
      </c>
      <c r="J1181" s="12">
        <v>-1.2883251772695448E-2</v>
      </c>
      <c r="K1181" s="12">
        <v>8.9124668435014431E-3</v>
      </c>
      <c r="L1181" s="12">
        <v>5.927085663162579E-3</v>
      </c>
      <c r="M1181" s="13">
        <f t="shared" si="121"/>
        <v>6.1712753563034212E-3</v>
      </c>
      <c r="N1181" s="32">
        <f t="shared" si="122"/>
        <v>264.82860765071456</v>
      </c>
      <c r="O1181" s="32">
        <f t="shared" si="123"/>
        <v>175.85621875918869</v>
      </c>
      <c r="P1181" s="12" t="str">
        <f t="shared" si="124"/>
        <v/>
      </c>
      <c r="Q1181" s="13">
        <f t="shared" si="125"/>
        <v>6.4804992544635481E-3</v>
      </c>
      <c r="R1181" s="49">
        <f t="shared" si="126"/>
        <v>1</v>
      </c>
    </row>
    <row r="1182" spans="1:18" x14ac:dyDescent="0.35">
      <c r="A1182" s="64" t="s">
        <v>77</v>
      </c>
      <c r="B1182" s="14">
        <v>-2.1786128105107938E-3</v>
      </c>
      <c r="C1182" s="12">
        <v>2.248448468816755E-2</v>
      </c>
      <c r="D1182" s="12">
        <v>-7.9093252356906563E-3</v>
      </c>
      <c r="E1182" s="12">
        <v>-5.91370981176087E-3</v>
      </c>
      <c r="F1182" s="12">
        <v>-1.6894531249999956E-2</v>
      </c>
      <c r="G1182" s="12">
        <v>-6.2363165925827246E-3</v>
      </c>
      <c r="H1182" s="12">
        <v>-5.3175862271579444E-3</v>
      </c>
      <c r="I1182" s="12">
        <v>7.3206936104175391E-3</v>
      </c>
      <c r="J1182" s="12">
        <v>5.412788344799635E-3</v>
      </c>
      <c r="K1182" s="12">
        <v>1.0831843516668327E-2</v>
      </c>
      <c r="L1182" s="12">
        <v>2.0011117287381808E-3</v>
      </c>
      <c r="M1182" s="13">
        <f t="shared" si="121"/>
        <v>1.1803389221916607E-3</v>
      </c>
      <c r="N1182" s="32">
        <f t="shared" si="122"/>
        <v>265.14119516403451</v>
      </c>
      <c r="O1182" s="32">
        <f t="shared" si="123"/>
        <v>175.47309614819193</v>
      </c>
      <c r="P1182" s="12" t="str">
        <f t="shared" si="124"/>
        <v/>
      </c>
      <c r="Q1182" s="13">
        <f t="shared" si="125"/>
        <v>3.3589517327024545E-3</v>
      </c>
      <c r="R1182" s="49">
        <f t="shared" si="126"/>
        <v>1</v>
      </c>
    </row>
    <row r="1183" spans="1:18" x14ac:dyDescent="0.35">
      <c r="A1183" s="64" t="s">
        <v>77</v>
      </c>
      <c r="B1183" s="14">
        <v>9.6064907906379116E-3</v>
      </c>
      <c r="C1183" s="12">
        <v>2.4875621890547706E-3</v>
      </c>
      <c r="D1183" s="12">
        <v>2.9220201444994043E-2</v>
      </c>
      <c r="E1183" s="12">
        <v>1.8014243820695386E-2</v>
      </c>
      <c r="F1183" s="12">
        <v>-4.4038276878248794E-3</v>
      </c>
      <c r="G1183" s="12">
        <v>1.02143000200281E-2</v>
      </c>
      <c r="H1183" s="12">
        <v>1.5299642614525766E-2</v>
      </c>
      <c r="I1183" s="12">
        <v>3.4830369402860661E-3</v>
      </c>
      <c r="J1183" s="12">
        <v>1.2880503144654165E-2</v>
      </c>
      <c r="K1183" s="12">
        <v>1.8206408655846884E-2</v>
      </c>
      <c r="L1183" s="12">
        <v>1.58382336624876E-2</v>
      </c>
      <c r="M1183" s="13">
        <f t="shared" si="121"/>
        <v>1.7966374926417644E-2</v>
      </c>
      <c r="N1183" s="32">
        <f t="shared" si="122"/>
        <v>269.90482128479005</v>
      </c>
      <c r="O1183" s="32">
        <f t="shared" si="123"/>
        <v>177.15877683034427</v>
      </c>
      <c r="P1183" s="12" t="str">
        <f t="shared" si="124"/>
        <v/>
      </c>
      <c r="Q1183" s="13">
        <f t="shared" si="125"/>
        <v>8.3598841357797327E-3</v>
      </c>
      <c r="R1183" s="49">
        <f t="shared" si="126"/>
        <v>1</v>
      </c>
    </row>
    <row r="1184" spans="1:18" x14ac:dyDescent="0.35">
      <c r="A1184" s="64" t="s">
        <v>77</v>
      </c>
      <c r="B1184" s="14">
        <v>1.1121677894565751E-2</v>
      </c>
      <c r="C1184" s="12">
        <v>-5.9553349875930417E-3</v>
      </c>
      <c r="D1184" s="12">
        <v>1.5941628051732604E-2</v>
      </c>
      <c r="E1184" s="12">
        <v>8.4567901234569032E-3</v>
      </c>
      <c r="F1184" s="12">
        <v>1.6429426632965205E-2</v>
      </c>
      <c r="G1184" s="12">
        <v>5.749405233941296E-3</v>
      </c>
      <c r="H1184" s="12">
        <v>2.2923636363636257E-2</v>
      </c>
      <c r="I1184" s="12">
        <v>2.9202683309415001E-2</v>
      </c>
      <c r="J1184" s="12">
        <v>-1.8379613531369632E-3</v>
      </c>
      <c r="K1184" s="12">
        <v>1.328292633084649E-3</v>
      </c>
      <c r="L1184" s="12">
        <v>1.8540261584250262E-2</v>
      </c>
      <c r="M1184" s="13">
        <f t="shared" si="121"/>
        <v>1.4627261278568324E-2</v>
      </c>
      <c r="N1184" s="32">
        <f t="shared" si="122"/>
        <v>273.85278962606793</v>
      </c>
      <c r="O1184" s="32">
        <f t="shared" si="123"/>
        <v>179.12907968244662</v>
      </c>
      <c r="P1184" s="12" t="str">
        <f t="shared" si="124"/>
        <v/>
      </c>
      <c r="Q1184" s="13">
        <f t="shared" si="125"/>
        <v>3.5055833840025724E-3</v>
      </c>
      <c r="R1184" s="49">
        <f t="shared" si="126"/>
        <v>1</v>
      </c>
    </row>
    <row r="1185" spans="1:18" x14ac:dyDescent="0.35">
      <c r="A1185" s="64">
        <v>10.210000000000001</v>
      </c>
      <c r="B1185" s="14">
        <v>-3.282897091061443E-6</v>
      </c>
      <c r="C1185" s="12">
        <v>6.2905641537693846E-3</v>
      </c>
      <c r="D1185" s="12">
        <v>-9.2923516797712713E-3</v>
      </c>
      <c r="E1185" s="12">
        <v>4.4071738997366605E-3</v>
      </c>
      <c r="F1185" s="12">
        <v>-1.1779333813232151E-2</v>
      </c>
      <c r="G1185" s="12">
        <v>5.9136605558851585E-4</v>
      </c>
      <c r="H1185" s="12">
        <v>-1.8115632909592505E-2</v>
      </c>
      <c r="I1185" s="12">
        <v>6.809780141383559E-4</v>
      </c>
      <c r="J1185" s="12">
        <v>-1.015228426395931E-2</v>
      </c>
      <c r="K1185" s="12">
        <v>-7.5510204081632448E-3</v>
      </c>
      <c r="L1185" s="12">
        <v>-3.8603828212964153E-3</v>
      </c>
      <c r="M1185" s="13">
        <f t="shared" si="121"/>
        <v>-4.1549330261019413E-3</v>
      </c>
      <c r="N1185" s="32">
        <f t="shared" si="122"/>
        <v>272.71494962616043</v>
      </c>
      <c r="O1185" s="32">
        <f t="shared" si="123"/>
        <v>179.12849162011202</v>
      </c>
      <c r="P1185" s="12">
        <f t="shared" si="124"/>
        <v>-4.1549330261019413E-3</v>
      </c>
      <c r="Q1185" s="13">
        <f t="shared" si="125"/>
        <v>-4.1516501290108799E-3</v>
      </c>
      <c r="R1185" s="49" t="str">
        <f t="shared" si="126"/>
        <v/>
      </c>
    </row>
    <row r="1186" spans="1:18" x14ac:dyDescent="0.35">
      <c r="A1186" s="64" t="s">
        <v>77</v>
      </c>
      <c r="B1186" s="14">
        <v>8.0201439226810223E-3</v>
      </c>
      <c r="C1186" s="12">
        <v>-2.7783290335383626E-3</v>
      </c>
      <c r="D1186" s="12">
        <v>2.9890744176459538E-3</v>
      </c>
      <c r="E1186" s="12">
        <v>1.0522680642736759E-2</v>
      </c>
      <c r="F1186" s="12">
        <v>1.9866234024237261E-3</v>
      </c>
      <c r="G1186" s="12">
        <v>-1.7730496453901567E-3</v>
      </c>
      <c r="H1186" s="12">
        <v>2.2302033250303221E-3</v>
      </c>
      <c r="I1186" s="12">
        <v>9.1707443533493027E-3</v>
      </c>
      <c r="J1186" s="12">
        <v>1.8501759678230201E-2</v>
      </c>
      <c r="K1186" s="12">
        <v>-1.2749331688258314E-2</v>
      </c>
      <c r="L1186" s="12">
        <v>2.7719468216804044E-2</v>
      </c>
      <c r="M1186" s="13">
        <f t="shared" si="121"/>
        <v>5.911674561226524E-3</v>
      </c>
      <c r="N1186" s="32">
        <f t="shared" si="122"/>
        <v>274.32715165633158</v>
      </c>
      <c r="O1186" s="32">
        <f t="shared" si="123"/>
        <v>180.56512790355808</v>
      </c>
      <c r="P1186" s="12" t="str">
        <f t="shared" si="124"/>
        <v/>
      </c>
      <c r="Q1186" s="13">
        <f t="shared" si="125"/>
        <v>-2.1084693614544982E-3</v>
      </c>
      <c r="R1186" s="49">
        <f t="shared" si="126"/>
        <v>1</v>
      </c>
    </row>
    <row r="1187" spans="1:18" x14ac:dyDescent="0.35">
      <c r="A1187" s="64" t="s">
        <v>77</v>
      </c>
      <c r="B1187" s="14">
        <v>5.2190027063907518E-3</v>
      </c>
      <c r="C1187" s="12">
        <v>3.9800995024874553E-4</v>
      </c>
      <c r="D1187" s="12">
        <v>-7.638817524749153E-3</v>
      </c>
      <c r="E1187" s="12">
        <v>-3.0354809528595483E-3</v>
      </c>
      <c r="F1187" s="12">
        <v>2.1446037935364481E-2</v>
      </c>
      <c r="G1187" s="12">
        <v>2.6314058285639153E-3</v>
      </c>
      <c r="H1187" s="12">
        <v>7.4560009247754966E-3</v>
      </c>
      <c r="I1187" s="12">
        <v>1.8528032881638845E-2</v>
      </c>
      <c r="J1187" s="12">
        <v>5.9087767795438895E-2</v>
      </c>
      <c r="K1187" s="12">
        <v>1.3018121224744883E-2</v>
      </c>
      <c r="L1187" s="12">
        <v>7.4107049334868336E-3</v>
      </c>
      <c r="M1187" s="13">
        <f t="shared" si="121"/>
        <v>5.2220528382259527E-3</v>
      </c>
      <c r="N1187" s="32">
        <f t="shared" si="122"/>
        <v>275.75970253724097</v>
      </c>
      <c r="O1187" s="32">
        <f t="shared" si="123"/>
        <v>181.50749779476655</v>
      </c>
      <c r="P1187" s="12" t="str">
        <f t="shared" si="124"/>
        <v/>
      </c>
      <c r="Q1187" s="13">
        <f t="shared" si="125"/>
        <v>3.0501318352008436E-6</v>
      </c>
      <c r="R1187" s="49">
        <f t="shared" si="126"/>
        <v>1</v>
      </c>
    </row>
    <row r="1188" spans="1:18" x14ac:dyDescent="0.35">
      <c r="A1188" s="64" t="s">
        <v>77</v>
      </c>
      <c r="B1188" s="14">
        <v>5.1643671625301035E-3</v>
      </c>
      <c r="C1188" s="12">
        <v>2.0340163119156429E-2</v>
      </c>
      <c r="D1188" s="12">
        <v>1.7535381429064412E-2</v>
      </c>
      <c r="E1188" s="12">
        <v>2.9640682340605906E-3</v>
      </c>
      <c r="F1188" s="12">
        <v>9.2523697065769461E-3</v>
      </c>
      <c r="G1188" s="12">
        <v>2.2308247490321342E-3</v>
      </c>
      <c r="H1188" s="12">
        <v>1.84733656521614E-2</v>
      </c>
      <c r="I1188" s="12">
        <v>5.6433052744413459E-3</v>
      </c>
      <c r="J1188" s="12">
        <v>-2.3397809368445599E-2</v>
      </c>
      <c r="K1188" s="12">
        <v>5.2431376580652778E-3</v>
      </c>
      <c r="L1188" s="12">
        <v>9.0977619505601126E-3</v>
      </c>
      <c r="M1188" s="13">
        <f t="shared" si="121"/>
        <v>9.0350194945443933E-3</v>
      </c>
      <c r="N1188" s="32">
        <f t="shared" si="122"/>
        <v>278.25119682547466</v>
      </c>
      <c r="O1188" s="32">
        <f t="shared" si="123"/>
        <v>182.44486915613084</v>
      </c>
      <c r="P1188" s="12" t="str">
        <f t="shared" si="124"/>
        <v/>
      </c>
      <c r="Q1188" s="13">
        <f t="shared" si="125"/>
        <v>3.8706523320142898E-3</v>
      </c>
      <c r="R1188" s="49">
        <f t="shared" si="126"/>
        <v>1</v>
      </c>
    </row>
    <row r="1189" spans="1:18" x14ac:dyDescent="0.35">
      <c r="A1189" s="64" t="s">
        <v>77</v>
      </c>
      <c r="B1189" s="14">
        <v>-1.1184618731818752E-3</v>
      </c>
      <c r="C1189" s="12">
        <v>1.2916118340888127E-2</v>
      </c>
      <c r="D1189" s="12">
        <v>-1.2144650247642219E-2</v>
      </c>
      <c r="E1189" s="12">
        <v>-1.0775818741078802E-2</v>
      </c>
      <c r="F1189" s="12">
        <v>4.5421034073789057E-2</v>
      </c>
      <c r="G1189" s="12">
        <v>2.07528641571193E-2</v>
      </c>
      <c r="H1189" s="12">
        <v>1.1829319814111727E-3</v>
      </c>
      <c r="I1189" s="12">
        <v>1.1129224402783633E-2</v>
      </c>
      <c r="J1189" s="12">
        <v>1.2408724287691353E-3</v>
      </c>
      <c r="K1189" s="12">
        <v>4.7044385354877427E-3</v>
      </c>
      <c r="L1189" s="12">
        <v>6.9807578372531598E-3</v>
      </c>
      <c r="M1189" s="13">
        <f t="shared" si="121"/>
        <v>-4.4881602081195404E-4</v>
      </c>
      <c r="N1189" s="32">
        <f t="shared" si="122"/>
        <v>278.12631323052932</v>
      </c>
      <c r="O1189" s="32">
        <f t="shared" si="123"/>
        <v>182.24081152602204</v>
      </c>
      <c r="P1189" s="12">
        <f t="shared" si="124"/>
        <v>-4.4881602081195404E-4</v>
      </c>
      <c r="Q1189" s="13">
        <f t="shared" si="125"/>
        <v>6.6964585236992114E-4</v>
      </c>
      <c r="R1189" s="49" t="str">
        <f t="shared" si="126"/>
        <v/>
      </c>
    </row>
    <row r="1190" spans="1:18" x14ac:dyDescent="0.35">
      <c r="A1190" s="64">
        <v>10.199999999999999</v>
      </c>
      <c r="B1190" s="14">
        <v>4.7450714019499074E-3</v>
      </c>
      <c r="C1190" s="12">
        <v>2.2230776633625382E-2</v>
      </c>
      <c r="D1190" s="12">
        <v>-1.2190934065934078E-2</v>
      </c>
      <c r="E1190" s="12">
        <v>-1.9510212376792069E-3</v>
      </c>
      <c r="F1190" s="12">
        <v>-5.6969399644324459E-2</v>
      </c>
      <c r="G1190" s="12">
        <v>-2.3088763468444018E-3</v>
      </c>
      <c r="H1190" s="12">
        <v>-3.5164711508707258E-3</v>
      </c>
      <c r="I1190" s="12">
        <v>9.5494992713858196E-3</v>
      </c>
      <c r="J1190" s="12">
        <v>1.0677344010677325E-2</v>
      </c>
      <c r="K1190" s="12">
        <v>-6.4128664495113341E-3</v>
      </c>
      <c r="L1190" s="12">
        <v>1.9211091783485124E-2</v>
      </c>
      <c r="M1190" s="13">
        <f t="shared" si="121"/>
        <v>5.3363225767321353E-5</v>
      </c>
      <c r="N1190" s="32">
        <f t="shared" si="122"/>
        <v>278.14115494777406</v>
      </c>
      <c r="O1190" s="32">
        <f t="shared" si="123"/>
        <v>183.10555718906232</v>
      </c>
      <c r="P1190" s="12" t="str">
        <f t="shared" si="124"/>
        <v/>
      </c>
      <c r="Q1190" s="13">
        <f t="shared" si="125"/>
        <v>-4.691708176182586E-3</v>
      </c>
      <c r="R1190" s="49">
        <f t="shared" si="126"/>
        <v>1</v>
      </c>
    </row>
    <row r="1191" spans="1:18" x14ac:dyDescent="0.35">
      <c r="A1191" s="64" t="s">
        <v>77</v>
      </c>
      <c r="B1191" s="14">
        <v>8.33892687501403E-3</v>
      </c>
      <c r="C1191" s="12">
        <v>5.2250047072115446E-3</v>
      </c>
      <c r="D1191" s="12">
        <v>1.5018251347123313E-2</v>
      </c>
      <c r="E1191" s="12">
        <v>1.5781221364719267E-2</v>
      </c>
      <c r="F1191" s="12">
        <v>3.2188841201716833E-3</v>
      </c>
      <c r="G1191" s="12">
        <v>2.8927744921571907E-3</v>
      </c>
      <c r="H1191" s="12">
        <v>1.3099203884591404E-2</v>
      </c>
      <c r="I1191" s="12">
        <v>7.7393200454531907E-3</v>
      </c>
      <c r="J1191" s="12">
        <v>1.8346460406546194E-2</v>
      </c>
      <c r="K1191" s="12">
        <v>7.683638971416773E-3</v>
      </c>
      <c r="L1191" s="12">
        <v>-1.4306151645206988E-3</v>
      </c>
      <c r="M1191" s="13">
        <f t="shared" si="121"/>
        <v>9.2828594803647628E-3</v>
      </c>
      <c r="N1191" s="32">
        <f t="shared" si="122"/>
        <v>280.7231002048606</v>
      </c>
      <c r="O1191" s="32">
        <f t="shared" si="123"/>
        <v>184.63246104087062</v>
      </c>
      <c r="P1191" s="12" t="str">
        <f t="shared" si="124"/>
        <v/>
      </c>
      <c r="Q1191" s="13">
        <f t="shared" si="125"/>
        <v>9.4393260535073284E-4</v>
      </c>
      <c r="R1191" s="49">
        <f t="shared" si="126"/>
        <v>1</v>
      </c>
    </row>
    <row r="1192" spans="1:18" x14ac:dyDescent="0.35">
      <c r="A1192" s="64" t="s">
        <v>77</v>
      </c>
      <c r="B1192" s="14">
        <v>-7.8622787390415505E-3</v>
      </c>
      <c r="C1192" s="12">
        <v>-1.6857878716928232E-2</v>
      </c>
      <c r="D1192" s="12">
        <v>1.7125047093879964E-3</v>
      </c>
      <c r="E1192" s="12">
        <v>-2.2452088846122153E-3</v>
      </c>
      <c r="F1192" s="12">
        <v>-1.5686274509803977E-2</v>
      </c>
      <c r="G1192" s="12">
        <v>-4.7432856868148132E-3</v>
      </c>
      <c r="H1192" s="12">
        <v>-6.1862564788497387E-3</v>
      </c>
      <c r="I1192" s="12">
        <v>-1.6456892085453867E-2</v>
      </c>
      <c r="J1192" s="12">
        <v>1.2550944794368357E-2</v>
      </c>
      <c r="K1192" s="12">
        <v>1.0065067100447189E-2</v>
      </c>
      <c r="L1192" s="12">
        <v>-1.596038807620781E-2</v>
      </c>
      <c r="M1192" s="13">
        <f t="shared" si="121"/>
        <v>-3.4735608319625354E-3</v>
      </c>
      <c r="N1192" s="32">
        <f t="shared" si="122"/>
        <v>279.7479914393619</v>
      </c>
      <c r="O1192" s="32">
        <f t="shared" si="123"/>
        <v>183.18082916789206</v>
      </c>
      <c r="P1192" s="12">
        <f t="shared" si="124"/>
        <v>-3.4735608319625354E-3</v>
      </c>
      <c r="Q1192" s="13">
        <f t="shared" si="125"/>
        <v>4.3887179070790146E-3</v>
      </c>
      <c r="R1192" s="49" t="str">
        <f t="shared" si="126"/>
        <v/>
      </c>
    </row>
    <row r="1193" spans="1:18" x14ac:dyDescent="0.35">
      <c r="A1193" s="64" t="s">
        <v>77</v>
      </c>
      <c r="B1193" s="14">
        <v>-7.1589314893449885E-4</v>
      </c>
      <c r="C1193" s="12">
        <v>2.8578232912601642E-4</v>
      </c>
      <c r="D1193" s="12">
        <v>-7.0092659076145258E-3</v>
      </c>
      <c r="E1193" s="12">
        <v>-2.2100779554770078E-3</v>
      </c>
      <c r="F1193" s="12">
        <v>1.313753251456995E-2</v>
      </c>
      <c r="G1193" s="12">
        <v>3.3490049591033966E-3</v>
      </c>
      <c r="H1193" s="12">
        <v>-5.8602512337370127E-3</v>
      </c>
      <c r="I1193" s="12">
        <v>-1.7816750844359075E-2</v>
      </c>
      <c r="J1193" s="12">
        <v>-5.0313314732641778E-4</v>
      </c>
      <c r="K1193" s="12">
        <v>-2.2747861097131228E-2</v>
      </c>
      <c r="L1193" s="12">
        <v>7.1007126254758468E-3</v>
      </c>
      <c r="M1193" s="13">
        <f t="shared" si="121"/>
        <v>-9.5447647508383349E-3</v>
      </c>
      <c r="N1193" s="32">
        <f t="shared" si="122"/>
        <v>277.07786267155365</v>
      </c>
      <c r="O1193" s="32">
        <f t="shared" si="123"/>
        <v>183.04969126727462</v>
      </c>
      <c r="P1193" s="12">
        <f t="shared" si="124"/>
        <v>-9.5447647508383349E-3</v>
      </c>
      <c r="Q1193" s="13">
        <f t="shared" si="125"/>
        <v>-8.8288716019038361E-3</v>
      </c>
      <c r="R1193" s="49" t="str">
        <f t="shared" si="126"/>
        <v/>
      </c>
    </row>
    <row r="1194" spans="1:18" x14ac:dyDescent="0.35">
      <c r="A1194" s="64" t="s">
        <v>77</v>
      </c>
      <c r="B1194" s="14">
        <v>6.0621442064276998E-3</v>
      </c>
      <c r="C1194" s="12">
        <v>5.3806961573257261E-3</v>
      </c>
      <c r="D1194" s="12">
        <v>-9.6412092831077434E-4</v>
      </c>
      <c r="E1194" s="12">
        <v>1.3873786798759502E-2</v>
      </c>
      <c r="F1194" s="12">
        <v>-1.556711082222928E-2</v>
      </c>
      <c r="G1194" s="12">
        <v>3.1452596443930503E-3</v>
      </c>
      <c r="H1194" s="12">
        <v>9.0537300803834597E-3</v>
      </c>
      <c r="I1194" s="12">
        <v>1.1672660735693174E-3</v>
      </c>
      <c r="J1194" s="12">
        <v>3.6976020501555906E-2</v>
      </c>
      <c r="K1194" s="12">
        <v>-2.8839221341023791E-3</v>
      </c>
      <c r="L1194" s="12">
        <v>2.0010652058129796E-2</v>
      </c>
      <c r="M1194" s="13">
        <f t="shared" si="121"/>
        <v>4.6466135514310961E-3</v>
      </c>
      <c r="N1194" s="32">
        <f t="shared" si="122"/>
        <v>278.36533642304488</v>
      </c>
      <c r="O1194" s="32">
        <f t="shared" si="123"/>
        <v>184.15936489267892</v>
      </c>
      <c r="P1194" s="12" t="str">
        <f t="shared" si="124"/>
        <v/>
      </c>
      <c r="Q1194" s="13">
        <f t="shared" si="125"/>
        <v>-1.4155306549966037E-3</v>
      </c>
      <c r="R1194" s="49">
        <f t="shared" si="126"/>
        <v>1</v>
      </c>
    </row>
    <row r="1195" spans="1:18" x14ac:dyDescent="0.35">
      <c r="A1195" s="64">
        <v>10.199999999999999</v>
      </c>
      <c r="B1195" s="14">
        <v>2.7461737178402501E-3</v>
      </c>
      <c r="C1195" s="12">
        <v>6.0149663730226788E-3</v>
      </c>
      <c r="D1195" s="12">
        <v>-9.3403184669469397E-3</v>
      </c>
      <c r="E1195" s="12">
        <v>-4.0316974836646091E-3</v>
      </c>
      <c r="F1195" s="12">
        <v>-1.1224456109075409E-2</v>
      </c>
      <c r="G1195" s="12">
        <v>9.0222677245967997E-3</v>
      </c>
      <c r="H1195" s="12">
        <v>-5.2549194991055037E-3</v>
      </c>
      <c r="I1195" s="12">
        <v>2.4862139593508692E-2</v>
      </c>
      <c r="J1195" s="12">
        <v>-2.2506619593998245E-3</v>
      </c>
      <c r="K1195" s="12">
        <v>-2.0142547257514742E-2</v>
      </c>
      <c r="L1195" s="12">
        <v>1.529166045054442E-2</v>
      </c>
      <c r="M1195" s="13">
        <f t="shared" si="121"/>
        <v>-2.4358970360062199E-4</v>
      </c>
      <c r="N1195" s="32">
        <f t="shared" si="122"/>
        <v>278.29752949325291</v>
      </c>
      <c r="O1195" s="32">
        <f t="shared" si="123"/>
        <v>184.66509850044136</v>
      </c>
      <c r="P1195" s="12">
        <f t="shared" si="124"/>
        <v>-2.4358970360062199E-4</v>
      </c>
      <c r="Q1195" s="13">
        <f t="shared" si="125"/>
        <v>-2.9897634214408721E-3</v>
      </c>
      <c r="R1195" s="49" t="str">
        <f t="shared" si="126"/>
        <v/>
      </c>
    </row>
    <row r="1196" spans="1:18" x14ac:dyDescent="0.35">
      <c r="A1196" s="64" t="s">
        <v>77</v>
      </c>
      <c r="B1196" s="14">
        <v>-3.2975291618766445E-3</v>
      </c>
      <c r="C1196" s="12">
        <v>-5.8848453462643224E-3</v>
      </c>
      <c r="D1196" s="12">
        <v>-1.3359774553804549E-2</v>
      </c>
      <c r="E1196" s="12">
        <v>3.669139347531214E-3</v>
      </c>
      <c r="F1196" s="12">
        <v>1.5325030883776902E-2</v>
      </c>
      <c r="G1196" s="12">
        <v>-5.0098294121376785E-3</v>
      </c>
      <c r="H1196" s="12">
        <v>-2.2338990671012637E-2</v>
      </c>
      <c r="I1196" s="12">
        <v>-1.7740745295781513E-2</v>
      </c>
      <c r="J1196" s="12">
        <v>3.317263036843654E-3</v>
      </c>
      <c r="K1196" s="12">
        <v>-4.8492515285682991E-3</v>
      </c>
      <c r="L1196" s="12">
        <v>-5.9020889966447942E-3</v>
      </c>
      <c r="M1196" s="13">
        <f t="shared" si="121"/>
        <v>-8.6643290053858308E-3</v>
      </c>
      <c r="N1196" s="32">
        <f t="shared" si="122"/>
        <v>275.88626813633732</v>
      </c>
      <c r="O1196" s="32">
        <f t="shared" si="123"/>
        <v>184.05615995295534</v>
      </c>
      <c r="P1196" s="12">
        <f t="shared" si="124"/>
        <v>-8.6643290053858308E-3</v>
      </c>
      <c r="Q1196" s="13">
        <f t="shared" si="125"/>
        <v>-5.3667998435091863E-3</v>
      </c>
      <c r="R1196" s="49" t="str">
        <f t="shared" si="126"/>
        <v/>
      </c>
    </row>
    <row r="1197" spans="1:18" x14ac:dyDescent="0.35">
      <c r="A1197" s="64" t="s">
        <v>77</v>
      </c>
      <c r="B1197" s="14">
        <v>1.4074044490595128E-3</v>
      </c>
      <c r="C1197" s="12">
        <v>-1.2028793332070409E-2</v>
      </c>
      <c r="D1197" s="12">
        <v>7.0524348531342262E-4</v>
      </c>
      <c r="E1197" s="12">
        <v>-5.9604227926568498E-4</v>
      </c>
      <c r="F1197" s="12">
        <v>-1.1575139756659136E-2</v>
      </c>
      <c r="G1197" s="12">
        <v>-5.09878903760419E-4</v>
      </c>
      <c r="H1197" s="12">
        <v>7.3865432701980538E-3</v>
      </c>
      <c r="I1197" s="12">
        <v>4.5387673333958656E-3</v>
      </c>
      <c r="J1197" s="12">
        <v>1.6178804443660599E-2</v>
      </c>
      <c r="K1197" s="12">
        <v>1.4618644067796671E-2</v>
      </c>
      <c r="L1197" s="12">
        <v>-3.6953094205760539E-4</v>
      </c>
      <c r="M1197" s="13">
        <f t="shared" si="121"/>
        <v>4.1931859729163381E-3</v>
      </c>
      <c r="N1197" s="32">
        <f t="shared" si="122"/>
        <v>277.04311056600682</v>
      </c>
      <c r="O1197" s="32">
        <f t="shared" si="123"/>
        <v>184.31520141134993</v>
      </c>
      <c r="P1197" s="12" t="str">
        <f t="shared" si="124"/>
        <v/>
      </c>
      <c r="Q1197" s="13">
        <f t="shared" si="125"/>
        <v>2.7857815238568253E-3</v>
      </c>
      <c r="R1197" s="49">
        <f t="shared" si="126"/>
        <v>1</v>
      </c>
    </row>
    <row r="1198" spans="1:18" x14ac:dyDescent="0.35">
      <c r="A1198" s="64" t="s">
        <v>77</v>
      </c>
      <c r="B1198" s="14">
        <v>-3.9562515154996092E-3</v>
      </c>
      <c r="C1198" s="12">
        <v>2.3487680951010947E-3</v>
      </c>
      <c r="D1198" s="12">
        <v>-3.840868247648066E-3</v>
      </c>
      <c r="E1198" s="12">
        <v>5.5663790704147953E-3</v>
      </c>
      <c r="F1198" s="12">
        <v>-2.9509614744826718E-2</v>
      </c>
      <c r="G1198" s="12">
        <v>-1.0521617140670902E-2</v>
      </c>
      <c r="H1198" s="12">
        <v>-9.9286733238231895E-3</v>
      </c>
      <c r="I1198" s="12">
        <v>-3.2001744983173541E-2</v>
      </c>
      <c r="J1198" s="12">
        <v>-2.2124853585527848E-3</v>
      </c>
      <c r="K1198" s="12">
        <v>-4.0718312800167578E-3</v>
      </c>
      <c r="L1198" s="12">
        <v>-2.7848288439263902E-3</v>
      </c>
      <c r="M1198" s="13">
        <f t="shared" si="121"/>
        <v>-7.8283438066470007E-3</v>
      </c>
      <c r="N1198" s="32">
        <f t="shared" si="122"/>
        <v>274.8743218472332</v>
      </c>
      <c r="O1198" s="32">
        <f t="shared" si="123"/>
        <v>183.58600411643667</v>
      </c>
      <c r="P1198" s="12">
        <f t="shared" si="124"/>
        <v>-7.8283438066470007E-3</v>
      </c>
      <c r="Q1198" s="13">
        <f t="shared" si="125"/>
        <v>-3.8720922911473915E-3</v>
      </c>
      <c r="R1198" s="49" t="str">
        <f t="shared" si="126"/>
        <v/>
      </c>
    </row>
    <row r="1199" spans="1:18" x14ac:dyDescent="0.35">
      <c r="A1199" s="64" t="s">
        <v>77</v>
      </c>
      <c r="B1199" s="14">
        <v>3.193588478737075E-3</v>
      </c>
      <c r="C1199" s="12">
        <v>5.0212806656781961E-3</v>
      </c>
      <c r="D1199" s="12">
        <v>-2.7591085956844008E-3</v>
      </c>
      <c r="E1199" s="12">
        <v>-3.9539757225892647E-4</v>
      </c>
      <c r="F1199" s="12">
        <v>2.6738884508588079E-3</v>
      </c>
      <c r="G1199" s="12">
        <v>6.1932074498936673E-2</v>
      </c>
      <c r="H1199" s="12">
        <v>8.299233473574974E-3</v>
      </c>
      <c r="I1199" s="12">
        <v>4.0238210204410763E-3</v>
      </c>
      <c r="J1199" s="12">
        <v>-4.3478260869567187E-4</v>
      </c>
      <c r="K1199" s="12">
        <v>-2.5159870007337437E-3</v>
      </c>
      <c r="L1199" s="12">
        <v>2.0363780150256972E-2</v>
      </c>
      <c r="M1199" s="13">
        <f t="shared" si="121"/>
        <v>2.8637654612095791E-3</v>
      </c>
      <c r="N1199" s="32">
        <f t="shared" si="122"/>
        <v>275.66149743631274</v>
      </c>
      <c r="O1199" s="32">
        <f t="shared" si="123"/>
        <v>184.1723022640403</v>
      </c>
      <c r="P1199" s="12" t="str">
        <f t="shared" si="124"/>
        <v/>
      </c>
      <c r="Q1199" s="13">
        <f t="shared" si="125"/>
        <v>-3.2982301752749587E-4</v>
      </c>
      <c r="R1199" s="49">
        <f t="shared" si="126"/>
        <v>1</v>
      </c>
    </row>
    <row r="1200" spans="1:18" x14ac:dyDescent="0.35">
      <c r="A1200" s="64">
        <v>10.1</v>
      </c>
      <c r="B1200" s="14">
        <v>5.3738205852771337E-3</v>
      </c>
      <c r="C1200" s="12">
        <v>-6.6615911686329632E-4</v>
      </c>
      <c r="D1200" s="12">
        <v>2.8376844494881759E-4</v>
      </c>
      <c r="E1200" s="12">
        <v>1.2024840789525593E-2</v>
      </c>
      <c r="F1200" s="12">
        <v>-1.5111627747957268E-2</v>
      </c>
      <c r="G1200" s="12">
        <v>-1.0923655783468988E-2</v>
      </c>
      <c r="H1200" s="12">
        <v>-2.5721634752784439E-4</v>
      </c>
      <c r="I1200" s="12">
        <v>1.1061237576146299E-2</v>
      </c>
      <c r="J1200" s="12">
        <v>4.7846889952152249E-3</v>
      </c>
      <c r="K1200" s="12">
        <v>-6.3058328954279652E-4</v>
      </c>
      <c r="L1200" s="12">
        <v>1.2570238325905869E-2</v>
      </c>
      <c r="M1200" s="13">
        <f t="shared" si="121"/>
        <v>5.8758726672786124E-3</v>
      </c>
      <c r="N1200" s="32">
        <f t="shared" si="122"/>
        <v>277.28124929451985</v>
      </c>
      <c r="O1200" s="32">
        <f t="shared" si="123"/>
        <v>185.16201117318468</v>
      </c>
      <c r="P1200" s="12" t="str">
        <f t="shared" si="124"/>
        <v/>
      </c>
      <c r="Q1200" s="13">
        <f t="shared" si="125"/>
        <v>5.0205208200147875E-4</v>
      </c>
      <c r="R1200" s="49">
        <f t="shared" si="126"/>
        <v>1</v>
      </c>
    </row>
    <row r="1201" spans="1:18" x14ac:dyDescent="0.35">
      <c r="A1201" s="64" t="s">
        <v>77</v>
      </c>
      <c r="B1201" s="14">
        <v>-9.0514120202667137E-5</v>
      </c>
      <c r="C1201" s="12">
        <v>5.5232834968097499E-3</v>
      </c>
      <c r="D1201" s="12">
        <v>1.3723404255319149E-2</v>
      </c>
      <c r="E1201" s="12">
        <v>-3.2245456322063104E-3</v>
      </c>
      <c r="F1201" s="12">
        <v>-1.8814871385427256E-2</v>
      </c>
      <c r="G1201" s="12">
        <v>4.417719965639888E-3</v>
      </c>
      <c r="H1201" s="12">
        <v>-2.1726079871929871E-3</v>
      </c>
      <c r="I1201" s="12">
        <v>-2.3465990169652895E-2</v>
      </c>
      <c r="J1201" s="12">
        <v>-7.1861471861471848E-3</v>
      </c>
      <c r="K1201" s="12">
        <v>-4.2065411715219714E-4</v>
      </c>
      <c r="L1201" s="12">
        <v>-1.0428875547157213E-2</v>
      </c>
      <c r="M1201" s="13">
        <f t="shared" si="121"/>
        <v>-3.0661452613477908E-3</v>
      </c>
      <c r="N1201" s="32">
        <f t="shared" si="122"/>
        <v>276.43106470593489</v>
      </c>
      <c r="O1201" s="32">
        <f t="shared" si="123"/>
        <v>185.14525139664838</v>
      </c>
      <c r="P1201" s="12">
        <f t="shared" si="124"/>
        <v>-3.0661452613477908E-3</v>
      </c>
      <c r="Q1201" s="13">
        <f t="shared" si="125"/>
        <v>-2.9756311411451236E-3</v>
      </c>
      <c r="R1201" s="49" t="str">
        <f t="shared" si="126"/>
        <v/>
      </c>
    </row>
    <row r="1202" spans="1:18" x14ac:dyDescent="0.35">
      <c r="A1202" s="64" t="s">
        <v>77</v>
      </c>
      <c r="B1202" s="14">
        <v>1.3991255862113583E-3</v>
      </c>
      <c r="C1202" s="12">
        <v>6.155885974050479E-3</v>
      </c>
      <c r="D1202" s="12">
        <v>-4.0577885052647256E-3</v>
      </c>
      <c r="E1202" s="12">
        <v>1.9605920988041703E-5</v>
      </c>
      <c r="F1202" s="12">
        <v>-1.8043516716786945E-3</v>
      </c>
      <c r="G1202" s="12">
        <v>4.0317654245571877E-3</v>
      </c>
      <c r="H1202" s="12">
        <v>5.4146970348087908E-3</v>
      </c>
      <c r="I1202" s="12">
        <v>-1.617145640526052E-2</v>
      </c>
      <c r="J1202" s="12">
        <v>-8.7206767245162631E-5</v>
      </c>
      <c r="K1202" s="12">
        <v>6.522882693319243E-3</v>
      </c>
      <c r="L1202" s="12">
        <v>-8.7984336854317613E-3</v>
      </c>
      <c r="M1202" s="13">
        <f t="shared" si="121"/>
        <v>-4.2627080347654774E-3</v>
      </c>
      <c r="N1202" s="32">
        <f t="shared" si="122"/>
        <v>275.25271978535415</v>
      </c>
      <c r="O1202" s="32">
        <f t="shared" si="123"/>
        <v>185.40429285504297</v>
      </c>
      <c r="P1202" s="12">
        <f t="shared" si="124"/>
        <v>-4.2627080347654774E-3</v>
      </c>
      <c r="Q1202" s="13">
        <f t="shared" si="125"/>
        <v>-5.6618336209768357E-3</v>
      </c>
      <c r="R1202" s="49" t="str">
        <f t="shared" si="126"/>
        <v/>
      </c>
    </row>
    <row r="1203" spans="1:18" x14ac:dyDescent="0.35">
      <c r="A1203" s="64" t="s">
        <v>77</v>
      </c>
      <c r="B1203" s="14">
        <v>6.3752854605425568E-4</v>
      </c>
      <c r="C1203" s="12">
        <v>9.0361445783133654E-3</v>
      </c>
      <c r="D1203" s="12">
        <v>-9.6589512135154543E-3</v>
      </c>
      <c r="E1203" s="12">
        <v>-9.3910520330942049E-3</v>
      </c>
      <c r="F1203" s="12">
        <v>1.0597575671652315E-2</v>
      </c>
      <c r="G1203" s="12">
        <v>2.1720613287904644E-2</v>
      </c>
      <c r="H1203" s="12">
        <v>2.6215307459964698E-3</v>
      </c>
      <c r="I1203" s="12">
        <v>3.8617684919297623E-3</v>
      </c>
      <c r="J1203" s="12">
        <v>-3.66300366300365E-3</v>
      </c>
      <c r="K1203" s="12">
        <v>1.8814675446847673E-3</v>
      </c>
      <c r="L1203" s="12">
        <v>1.7362889262808823E-2</v>
      </c>
      <c r="M1203" s="13">
        <f t="shared" si="121"/>
        <v>1.6149905501392859E-4</v>
      </c>
      <c r="N1203" s="32">
        <f t="shared" si="122"/>
        <v>275.29717283948946</v>
      </c>
      <c r="O1203" s="32">
        <f t="shared" si="123"/>
        <v>185.52249338429905</v>
      </c>
      <c r="P1203" s="12" t="str">
        <f t="shared" si="124"/>
        <v/>
      </c>
      <c r="Q1203" s="13">
        <f t="shared" si="125"/>
        <v>-4.760294910403271E-4</v>
      </c>
      <c r="R1203" s="49">
        <f t="shared" si="126"/>
        <v>1</v>
      </c>
    </row>
    <row r="1204" spans="1:18" x14ac:dyDescent="0.35">
      <c r="A1204" s="64" t="s">
        <v>77</v>
      </c>
      <c r="B1204" s="14">
        <v>7.8118809056646477E-3</v>
      </c>
      <c r="C1204" s="12">
        <v>-1.1660447761193682E-3</v>
      </c>
      <c r="D1204" s="12">
        <v>1.7733011774723195E-4</v>
      </c>
      <c r="E1204" s="12">
        <v>1.18748391948853E-3</v>
      </c>
      <c r="F1204" s="12">
        <v>2.5882930593062792E-2</v>
      </c>
      <c r="G1204" s="12">
        <v>6.9671887095812401E-3</v>
      </c>
      <c r="H1204" s="12">
        <v>9.7481953049507464E-3</v>
      </c>
      <c r="I1204" s="12">
        <v>1.4861576905372598E-2</v>
      </c>
      <c r="J1204" s="12">
        <v>2.3634453781512521E-2</v>
      </c>
      <c r="K1204" s="12">
        <v>-1.7736045905059061E-3</v>
      </c>
      <c r="L1204" s="12">
        <v>2.4928689565905104E-2</v>
      </c>
      <c r="M1204" s="13">
        <f t="shared" si="121"/>
        <v>6.9196494343787707E-3</v>
      </c>
      <c r="N1204" s="32">
        <f t="shared" si="122"/>
        <v>277.20213276581433</v>
      </c>
      <c r="O1204" s="32">
        <f t="shared" si="123"/>
        <v>186.97177300793916</v>
      </c>
      <c r="P1204" s="12" t="str">
        <f t="shared" si="124"/>
        <v/>
      </c>
      <c r="Q1204" s="13">
        <f t="shared" si="125"/>
        <v>-8.9223147128587692E-4</v>
      </c>
      <c r="R1204" s="49">
        <f t="shared" si="126"/>
        <v>1</v>
      </c>
    </row>
    <row r="1205" spans="1:18" x14ac:dyDescent="0.35">
      <c r="A1205" s="64">
        <v>10.1</v>
      </c>
      <c r="B1205" s="14">
        <v>6.9823287324410899E-4</v>
      </c>
      <c r="C1205" s="12">
        <v>-1.8211533971516092E-3</v>
      </c>
      <c r="D1205" s="12">
        <v>-7.6238431261302808E-2</v>
      </c>
      <c r="E1205" s="12">
        <v>9.9037302073654576E-3</v>
      </c>
      <c r="F1205" s="12">
        <v>-4.762230351099106E-2</v>
      </c>
      <c r="G1205" s="12">
        <v>2.7202838557067732E-3</v>
      </c>
      <c r="H1205" s="12">
        <v>-3.7152748459005069E-3</v>
      </c>
      <c r="I1205" s="12">
        <v>-1.328322425970363E-3</v>
      </c>
      <c r="J1205" s="12">
        <v>-1.1159569009748571E-2</v>
      </c>
      <c r="K1205" s="12">
        <v>9.6153846153845812E-3</v>
      </c>
      <c r="L1205" s="12">
        <v>4.5136696368015539E-3</v>
      </c>
      <c r="M1205" s="13">
        <f t="shared" si="121"/>
        <v>-1.689654200140131E-2</v>
      </c>
      <c r="N1205" s="32">
        <f t="shared" si="122"/>
        <v>272.51837528665874</v>
      </c>
      <c r="O1205" s="32">
        <f t="shared" si="123"/>
        <v>187.10232284622205</v>
      </c>
      <c r="P1205" s="12">
        <f t="shared" si="124"/>
        <v>-1.689654200140131E-2</v>
      </c>
      <c r="Q1205" s="13">
        <f t="shared" si="125"/>
        <v>-1.7594774874645419E-2</v>
      </c>
      <c r="R1205" s="49" t="str">
        <f t="shared" si="126"/>
        <v/>
      </c>
    </row>
    <row r="1206" spans="1:18" x14ac:dyDescent="0.35">
      <c r="A1206" s="64" t="s">
        <v>77</v>
      </c>
      <c r="B1206" s="14">
        <v>3.9743217016194876E-3</v>
      </c>
      <c r="C1206" s="12">
        <v>5.6137724550908707E-4</v>
      </c>
      <c r="D1206" s="12">
        <v>-3.0325131472879185E-3</v>
      </c>
      <c r="E1206" s="12">
        <v>5.5394613216410704E-3</v>
      </c>
      <c r="F1206" s="12">
        <v>8.9022901859430181E-3</v>
      </c>
      <c r="G1206" s="12">
        <v>-7.4309978768577478E-3</v>
      </c>
      <c r="H1206" s="12">
        <v>8.6730513885358018E-3</v>
      </c>
      <c r="I1206" s="12">
        <v>1.0900243309002411E-2</v>
      </c>
      <c r="J1206" s="12">
        <v>7.7398711462792757E-3</v>
      </c>
      <c r="K1206" s="12">
        <v>9.0062111801243461E-3</v>
      </c>
      <c r="L1206" s="12">
        <v>9.8482026448127868E-3</v>
      </c>
      <c r="M1206" s="13">
        <f t="shared" si="121"/>
        <v>5.726517928122711E-3</v>
      </c>
      <c r="N1206" s="32">
        <f t="shared" si="122"/>
        <v>274.07895664848064</v>
      </c>
      <c r="O1206" s="32">
        <f t="shared" si="123"/>
        <v>187.84592766833322</v>
      </c>
      <c r="P1206" s="12" t="str">
        <f t="shared" si="124"/>
        <v/>
      </c>
      <c r="Q1206" s="13">
        <f t="shared" si="125"/>
        <v>1.7521962265032234E-3</v>
      </c>
      <c r="R1206" s="49">
        <f t="shared" si="126"/>
        <v>1</v>
      </c>
    </row>
    <row r="1207" spans="1:18" x14ac:dyDescent="0.35">
      <c r="A1207" s="64" t="s">
        <v>77</v>
      </c>
      <c r="B1207" s="14">
        <v>1.7687645570885202E-4</v>
      </c>
      <c r="C1207" s="12">
        <v>7.9483822704329299E-4</v>
      </c>
      <c r="D1207" s="12">
        <v>1.3437548128753862E-2</v>
      </c>
      <c r="E1207" s="12">
        <v>-2.3554145334917509E-3</v>
      </c>
      <c r="F1207" s="12">
        <v>3.771436703906561E-3</v>
      </c>
      <c r="G1207" s="12">
        <v>-1.2358882947118288E-2</v>
      </c>
      <c r="H1207" s="12">
        <v>-4.3972664127268635E-3</v>
      </c>
      <c r="I1207" s="12">
        <v>-2.7919514778088628E-3</v>
      </c>
      <c r="J1207" s="12">
        <v>1.4373980949111687E-2</v>
      </c>
      <c r="K1207" s="12">
        <v>1.4363393864778029E-3</v>
      </c>
      <c r="L1207" s="12">
        <v>-1.8674351585014071E-3</v>
      </c>
      <c r="M1207" s="13">
        <f t="shared" si="121"/>
        <v>2.8290365926659398E-3</v>
      </c>
      <c r="N1207" s="32">
        <f t="shared" si="122"/>
        <v>274.85433604611893</v>
      </c>
      <c r="O1207" s="32">
        <f t="shared" si="123"/>
        <v>187.87915319023853</v>
      </c>
      <c r="P1207" s="12" t="str">
        <f t="shared" si="124"/>
        <v/>
      </c>
      <c r="Q1207" s="13">
        <f t="shared" si="125"/>
        <v>2.6521601369570878E-3</v>
      </c>
      <c r="R1207" s="49">
        <f t="shared" si="126"/>
        <v>1</v>
      </c>
    </row>
    <row r="1208" spans="1:18" x14ac:dyDescent="0.35">
      <c r="A1208" s="64" t="s">
        <v>77</v>
      </c>
      <c r="B1208" s="14">
        <v>-2.9594179446209568E-3</v>
      </c>
      <c r="C1208" s="12">
        <v>-1.2987619715019827E-2</v>
      </c>
      <c r="D1208" s="12">
        <v>-3.0393981991564401E-3</v>
      </c>
      <c r="E1208" s="12">
        <v>1.3658536585370307E-4</v>
      </c>
      <c r="F1208" s="12">
        <v>-7.4613639585991764E-2</v>
      </c>
      <c r="G1208" s="12">
        <v>1.137047286728432E-2</v>
      </c>
      <c r="H1208" s="12">
        <v>-1.1759079528511518E-2</v>
      </c>
      <c r="I1208" s="12">
        <v>-7.0798738495204683E-3</v>
      </c>
      <c r="J1208" s="12">
        <v>-4.3695275157565217E-2</v>
      </c>
      <c r="K1208" s="12">
        <v>7.3762934125600754E-3</v>
      </c>
      <c r="L1208" s="12">
        <v>-6.6752898785050752E-3</v>
      </c>
      <c r="M1208" s="13">
        <f t="shared" si="121"/>
        <v>-1.6640144365947806E-3</v>
      </c>
      <c r="N1208" s="32">
        <f t="shared" si="122"/>
        <v>274.39697446297748</v>
      </c>
      <c r="O1208" s="32">
        <f t="shared" si="123"/>
        <v>187.32314025286715</v>
      </c>
      <c r="P1208" s="12">
        <f t="shared" si="124"/>
        <v>-1.6640144365947806E-3</v>
      </c>
      <c r="Q1208" s="13">
        <f t="shared" si="125"/>
        <v>1.2954035080261761E-3</v>
      </c>
      <c r="R1208" s="49" t="str">
        <f t="shared" si="126"/>
        <v/>
      </c>
    </row>
    <row r="1209" spans="1:18" x14ac:dyDescent="0.35">
      <c r="A1209" s="64">
        <v>10.050000000000001</v>
      </c>
      <c r="B1209" s="14">
        <v>-1.249438851269713E-3</v>
      </c>
      <c r="C1209" s="12">
        <v>-1.0507880910682998E-2</v>
      </c>
      <c r="D1209" s="12">
        <v>-8.1932853168706909E-3</v>
      </c>
      <c r="E1209" s="12">
        <v>1.3071385371752342E-3</v>
      </c>
      <c r="F1209" s="12">
        <v>1.9037039874363337E-2</v>
      </c>
      <c r="G1209" s="12">
        <v>-5.0562131937422761E-3</v>
      </c>
      <c r="H1209" s="12">
        <v>-1.0817273477753409E-3</v>
      </c>
      <c r="I1209" s="12">
        <v>-1.662669345951906E-2</v>
      </c>
      <c r="J1209" s="12">
        <v>-1.0615711252653925E-3</v>
      </c>
      <c r="K1209" s="12">
        <v>-7.5256788365706262E-3</v>
      </c>
      <c r="L1209" s="12">
        <v>9.4640158121148676E-3</v>
      </c>
      <c r="M1209" s="13">
        <f t="shared" si="121"/>
        <v>-5.343746161262263E-3</v>
      </c>
      <c r="N1209" s="32">
        <f t="shared" si="122"/>
        <v>272.93066668402901</v>
      </c>
      <c r="O1209" s="32">
        <f t="shared" si="123"/>
        <v>187.08909144369338</v>
      </c>
      <c r="P1209" s="12">
        <f t="shared" si="124"/>
        <v>-5.343746161262263E-3</v>
      </c>
      <c r="Q1209" s="13">
        <f t="shared" si="125"/>
        <v>-4.09430730999255E-3</v>
      </c>
      <c r="R1209" s="49" t="str">
        <f t="shared" si="126"/>
        <v/>
      </c>
    </row>
    <row r="1210" spans="1:18" x14ac:dyDescent="0.35">
      <c r="A1210" s="64" t="s">
        <v>77</v>
      </c>
      <c r="B1210" s="14">
        <v>-3.6948561190650597E-3</v>
      </c>
      <c r="C1210" s="12">
        <v>-7.0796460176991705E-3</v>
      </c>
      <c r="D1210" s="12">
        <v>-2.7318835011142628E-2</v>
      </c>
      <c r="E1210" s="12">
        <v>3.9474709687475684E-2</v>
      </c>
      <c r="F1210" s="12">
        <v>-6.1945572094421975E-2</v>
      </c>
      <c r="G1210" s="12">
        <v>-1.5066363745067424E-2</v>
      </c>
      <c r="H1210" s="12">
        <v>-1.5502550511527158E-2</v>
      </c>
      <c r="I1210" s="12">
        <v>-1.3513068125638683E-2</v>
      </c>
      <c r="J1210" s="12">
        <v>-1.7711654268508625E-2</v>
      </c>
      <c r="K1210" s="12">
        <v>3.9963110974485794E-3</v>
      </c>
      <c r="L1210" s="12">
        <v>8.9836911453053947E-3</v>
      </c>
      <c r="M1210" s="13">
        <f t="shared" si="121"/>
        <v>-2.1973404731006592E-3</v>
      </c>
      <c r="N1210" s="32">
        <f t="shared" si="122"/>
        <v>272.33094508377388</v>
      </c>
      <c r="O1210" s="32">
        <f t="shared" si="123"/>
        <v>186.39782416936234</v>
      </c>
      <c r="P1210" s="12">
        <f t="shared" si="124"/>
        <v>-2.1973404731006592E-3</v>
      </c>
      <c r="Q1210" s="13">
        <f t="shared" si="125"/>
        <v>1.4975156459644005E-3</v>
      </c>
      <c r="R1210" s="49" t="str">
        <f t="shared" si="126"/>
        <v/>
      </c>
    </row>
    <row r="1211" spans="1:18" x14ac:dyDescent="0.35">
      <c r="A1211" s="64" t="s">
        <v>77</v>
      </c>
      <c r="B1211" s="14">
        <v>-1.5992074947274171E-2</v>
      </c>
      <c r="C1211" s="12">
        <v>-2.5003613238907318E-2</v>
      </c>
      <c r="D1211" s="12">
        <v>-1.2245704127987311E-2</v>
      </c>
      <c r="E1211" s="12">
        <v>-1.7600749765698143E-2</v>
      </c>
      <c r="F1211" s="12">
        <v>-4.7243147940374985E-2</v>
      </c>
      <c r="G1211" s="12">
        <v>1.5721743353162676E-2</v>
      </c>
      <c r="H1211" s="12">
        <v>-1.7714996960662255E-2</v>
      </c>
      <c r="I1211" s="12">
        <v>-1.683872907687689E-2</v>
      </c>
      <c r="J1211" s="12">
        <v>2.7046520014417652E-4</v>
      </c>
      <c r="K1211" s="12">
        <v>5.2051439069196181E-3</v>
      </c>
      <c r="L1211" s="12">
        <v>-2.1300397242135061E-2</v>
      </c>
      <c r="M1211" s="13">
        <f t="shared" si="121"/>
        <v>-1.1509552743174119E-2</v>
      </c>
      <c r="N1211" s="32">
        <f t="shared" si="122"/>
        <v>269.19653770773374</v>
      </c>
      <c r="O1211" s="32">
        <f t="shared" si="123"/>
        <v>183.41693619523707</v>
      </c>
      <c r="P1211" s="12">
        <f t="shared" si="124"/>
        <v>-1.1509552743174119E-2</v>
      </c>
      <c r="Q1211" s="13">
        <f t="shared" si="125"/>
        <v>4.482522204100052E-3</v>
      </c>
      <c r="R1211" s="49" t="str">
        <f t="shared" si="126"/>
        <v/>
      </c>
    </row>
    <row r="1212" spans="1:18" x14ac:dyDescent="0.35">
      <c r="A1212" s="64" t="s">
        <v>77</v>
      </c>
      <c r="B1212" s="14">
        <v>1.473707159815385E-2</v>
      </c>
      <c r="C1212" s="12">
        <v>4.792963731593991E-3</v>
      </c>
      <c r="D1212" s="12">
        <v>7.7184563087382418E-3</v>
      </c>
      <c r="E1212" s="12">
        <v>2.1999198641506457E-2</v>
      </c>
      <c r="F1212" s="12">
        <v>1.3500441603229829E-2</v>
      </c>
      <c r="G1212" s="12">
        <v>2.2171756409490095E-2</v>
      </c>
      <c r="H1212" s="12">
        <v>8.2510682186531792E-3</v>
      </c>
      <c r="I1212" s="12">
        <v>1.4680395555102477E-2</v>
      </c>
      <c r="J1212" s="12">
        <v>1.9828751689949797E-3</v>
      </c>
      <c r="K1212" s="12">
        <v>1.1168646563102902E-2</v>
      </c>
      <c r="L1212" s="12">
        <v>1.1686766661223702E-2</v>
      </c>
      <c r="M1212" s="13">
        <f t="shared" si="121"/>
        <v>1.2490152812017992E-2</v>
      </c>
      <c r="N1212" s="32">
        <f t="shared" si="122"/>
        <v>272.5588436001695</v>
      </c>
      <c r="O1212" s="32">
        <f t="shared" si="123"/>
        <v>186.11996471626028</v>
      </c>
      <c r="P1212" s="12" t="str">
        <f t="shared" si="124"/>
        <v/>
      </c>
      <c r="Q1212" s="13">
        <f t="shared" si="125"/>
        <v>-2.2469187861358583E-3</v>
      </c>
      <c r="R1212" s="49">
        <f t="shared" si="126"/>
        <v>1</v>
      </c>
    </row>
    <row r="1213" spans="1:18" x14ac:dyDescent="0.35">
      <c r="A1213" s="64" t="s">
        <v>77</v>
      </c>
      <c r="B1213" s="14">
        <v>-4.8578659513360822E-3</v>
      </c>
      <c r="C1213" s="12">
        <v>-2.1145807720679421E-3</v>
      </c>
      <c r="D1213" s="12">
        <v>-5.1988253035955001E-3</v>
      </c>
      <c r="E1213" s="12">
        <v>-1.473004256590249E-2</v>
      </c>
      <c r="F1213" s="12">
        <v>4.1580214125653603E-2</v>
      </c>
      <c r="G1213" s="12">
        <v>-1.7539756782037896E-3</v>
      </c>
      <c r="H1213" s="12">
        <v>-1.3795119099809905E-2</v>
      </c>
      <c r="I1213" s="12">
        <v>-6.5306942630362075E-3</v>
      </c>
      <c r="J1213" s="12">
        <v>1.1333992983718622E-2</v>
      </c>
      <c r="K1213" s="12">
        <v>-2.8115272617732501E-3</v>
      </c>
      <c r="L1213" s="12">
        <v>1.2220428867881772E-3</v>
      </c>
      <c r="M1213" s="13">
        <f t="shared" si="121"/>
        <v>-5.1527764274787828E-3</v>
      </c>
      <c r="N1213" s="32">
        <f t="shared" si="122"/>
        <v>271.15440881576563</v>
      </c>
      <c r="O1213" s="32">
        <f t="shared" si="123"/>
        <v>185.21581887680128</v>
      </c>
      <c r="P1213" s="12">
        <f t="shared" si="124"/>
        <v>-5.1527764274787828E-3</v>
      </c>
      <c r="Q1213" s="13">
        <f t="shared" si="125"/>
        <v>-2.9491047614270058E-4</v>
      </c>
      <c r="R1213" s="49" t="str">
        <f t="shared" si="126"/>
        <v/>
      </c>
    </row>
    <row r="1214" spans="1:18" x14ac:dyDescent="0.35">
      <c r="A1214" s="64">
        <v>9.9499999999999993</v>
      </c>
      <c r="B1214" s="14">
        <v>7.2818886237755454E-3</v>
      </c>
      <c r="C1214" s="12">
        <v>5.0906761285235635E-2</v>
      </c>
      <c r="D1214" s="12">
        <v>6.4227869310249375E-3</v>
      </c>
      <c r="E1214" s="12">
        <v>-5.3244907626716076E-3</v>
      </c>
      <c r="F1214" s="12">
        <v>-2.0796812749004023E-2</v>
      </c>
      <c r="G1214" s="12">
        <v>-8.7852875717464585E-4</v>
      </c>
      <c r="H1214" s="12">
        <v>6.8458643274160735E-3</v>
      </c>
      <c r="I1214" s="12">
        <v>-3.7081984897517906E-3</v>
      </c>
      <c r="J1214" s="12">
        <v>8.0049808769899755E-4</v>
      </c>
      <c r="K1214" s="12">
        <v>4.0781391602054073E-2</v>
      </c>
      <c r="L1214" s="12">
        <v>-1.4992054901780127E-2</v>
      </c>
      <c r="M1214" s="13">
        <f t="shared" si="121"/>
        <v>6.8851439739338284E-3</v>
      </c>
      <c r="N1214" s="32">
        <f t="shared" si="122"/>
        <v>273.02134595962912</v>
      </c>
      <c r="O1214" s="32">
        <f t="shared" si="123"/>
        <v>186.56453984122354</v>
      </c>
      <c r="P1214" s="12" t="str">
        <f t="shared" si="124"/>
        <v/>
      </c>
      <c r="Q1214" s="13">
        <f t="shared" si="125"/>
        <v>-3.9674464984171699E-4</v>
      </c>
      <c r="R1214" s="49">
        <f t="shared" si="126"/>
        <v>1</v>
      </c>
    </row>
    <row r="1215" spans="1:18" x14ac:dyDescent="0.35">
      <c r="A1215" s="64" t="s">
        <v>77</v>
      </c>
      <c r="B1215" s="14">
        <v>-7.9747078829839335E-4</v>
      </c>
      <c r="C1215" s="12">
        <v>3.1793669402110147E-2</v>
      </c>
      <c r="D1215" s="12">
        <v>-8.4033613445377853E-3</v>
      </c>
      <c r="E1215" s="12">
        <v>-7.8104164285442979E-3</v>
      </c>
      <c r="F1215" s="12">
        <v>-4.5162340304337745E-3</v>
      </c>
      <c r="G1215" s="12">
        <v>5.5102878246087172E-3</v>
      </c>
      <c r="H1215" s="12">
        <v>-2.2517219049861814E-2</v>
      </c>
      <c r="I1215" s="12">
        <v>-2.7407457535358892E-3</v>
      </c>
      <c r="J1215" s="12">
        <v>1.0175968716672701E-2</v>
      </c>
      <c r="K1215" s="12">
        <v>-2.3219814241485226E-3</v>
      </c>
      <c r="L1215" s="12">
        <v>-2.478256803516321E-2</v>
      </c>
      <c r="M1215" s="13">
        <f t="shared" si="121"/>
        <v>-8.6564972354319265E-3</v>
      </c>
      <c r="N1215" s="32">
        <f t="shared" si="122"/>
        <v>270.65793743311571</v>
      </c>
      <c r="O1215" s="32">
        <f t="shared" si="123"/>
        <v>186.41576007056781</v>
      </c>
      <c r="P1215" s="12">
        <f t="shared" si="124"/>
        <v>-8.6564972354319265E-3</v>
      </c>
      <c r="Q1215" s="13">
        <f t="shared" si="125"/>
        <v>-7.8590264471335332E-3</v>
      </c>
      <c r="R1215" s="49" t="str">
        <f t="shared" si="126"/>
        <v/>
      </c>
    </row>
    <row r="1216" spans="1:18" x14ac:dyDescent="0.35">
      <c r="A1216" s="64" t="s">
        <v>77</v>
      </c>
      <c r="B1216" s="14">
        <v>7.7996845425867267E-3</v>
      </c>
      <c r="C1216" s="12">
        <v>4.235786029177846E-2</v>
      </c>
      <c r="D1216" s="12">
        <v>-3.153981451870802E-2</v>
      </c>
      <c r="E1216" s="12">
        <v>2.303970509177411E-3</v>
      </c>
      <c r="F1216" s="12">
        <v>2.5421996975518057E-2</v>
      </c>
      <c r="G1216" s="12">
        <v>1.0493791173555644E-2</v>
      </c>
      <c r="H1216" s="12">
        <v>1.4122677587401045E-2</v>
      </c>
      <c r="I1216" s="12">
        <v>9.1609269500898538E-3</v>
      </c>
      <c r="J1216" s="12">
        <v>7.8740157480314821E-3</v>
      </c>
      <c r="K1216" s="12">
        <v>5.9154383242823183E-3</v>
      </c>
      <c r="L1216" s="12">
        <v>-1.4384349827388787E-3</v>
      </c>
      <c r="M1216" s="13">
        <f t="shared" si="121"/>
        <v>-5.4983224634459248E-3</v>
      </c>
      <c r="N1216" s="32">
        <f t="shared" si="122"/>
        <v>269.16977281581728</v>
      </c>
      <c r="O1216" s="32">
        <f t="shared" si="123"/>
        <v>187.86974419288478</v>
      </c>
      <c r="P1216" s="12">
        <f t="shared" si="124"/>
        <v>-5.4983224634459248E-3</v>
      </c>
      <c r="Q1216" s="13">
        <f t="shared" si="125"/>
        <v>-1.3298007006032651E-2</v>
      </c>
      <c r="R1216" s="49" t="str">
        <f t="shared" si="126"/>
        <v/>
      </c>
    </row>
    <row r="1217" spans="1:18" x14ac:dyDescent="0.35">
      <c r="A1217" s="64" t="s">
        <v>77</v>
      </c>
      <c r="B1217" s="14">
        <v>-2.5041278983324311E-3</v>
      </c>
      <c r="C1217" s="12">
        <v>-9.4615216917374179E-3</v>
      </c>
      <c r="D1217" s="12">
        <v>-2.4641928426961668E-2</v>
      </c>
      <c r="E1217" s="12">
        <v>-5.1720174699254606E-4</v>
      </c>
      <c r="F1217" s="12">
        <v>5.8989995615608137E-3</v>
      </c>
      <c r="G1217" s="12">
        <v>2.8269774418738791E-3</v>
      </c>
      <c r="H1217" s="12">
        <v>-2.6129817685135448E-3</v>
      </c>
      <c r="I1217" s="12">
        <v>-4.0345627542615059E-3</v>
      </c>
      <c r="J1217" s="12">
        <v>-1.3791899441340738E-2</v>
      </c>
      <c r="K1217" s="12">
        <v>1.9280825219318842E-3</v>
      </c>
      <c r="L1217" s="12">
        <v>-1.9158743877844886E-2</v>
      </c>
      <c r="M1217" s="13">
        <f t="shared" si="121"/>
        <v>-1.044390426981397E-2</v>
      </c>
      <c r="N1217" s="32">
        <f t="shared" si="122"/>
        <v>266.3585894762013</v>
      </c>
      <c r="O1217" s="32">
        <f t="shared" si="123"/>
        <v>187.39929432519881</v>
      </c>
      <c r="P1217" s="12">
        <f t="shared" si="124"/>
        <v>-1.044390426981397E-2</v>
      </c>
      <c r="Q1217" s="13">
        <f t="shared" si="125"/>
        <v>-7.9397763714815391E-3</v>
      </c>
      <c r="R1217" s="49" t="str">
        <f t="shared" si="126"/>
        <v/>
      </c>
    </row>
    <row r="1218" spans="1:18" x14ac:dyDescent="0.35">
      <c r="A1218" s="64" t="s">
        <v>77</v>
      </c>
      <c r="B1218" s="14">
        <v>1.1345503612643082E-2</v>
      </c>
      <c r="C1218" s="12">
        <v>1.0872435953869219E-2</v>
      </c>
      <c r="D1218" s="12">
        <v>-6.4748201438848962E-3</v>
      </c>
      <c r="E1218" s="12">
        <v>1.4316652931368301E-2</v>
      </c>
      <c r="F1218" s="12">
        <v>3.645441217260359E-2</v>
      </c>
      <c r="G1218" s="12">
        <v>-5.9832010125416835E-3</v>
      </c>
      <c r="H1218" s="12">
        <v>2.5007442691278303E-3</v>
      </c>
      <c r="I1218" s="12">
        <v>2.3562772170272916E-2</v>
      </c>
      <c r="J1218" s="12">
        <v>2.94299876084263E-2</v>
      </c>
      <c r="K1218" s="12">
        <v>-2.9827768690464662E-3</v>
      </c>
      <c r="L1218" s="12">
        <v>1.0207078866206309E-2</v>
      </c>
      <c r="M1218" s="13">
        <f t="shared" si="121"/>
        <v>5.8170052035458279E-3</v>
      </c>
      <c r="N1218" s="32">
        <f t="shared" si="122"/>
        <v>267.90799877719348</v>
      </c>
      <c r="O1218" s="32">
        <f t="shared" si="123"/>
        <v>189.52543369597211</v>
      </c>
      <c r="P1218" s="12" t="str">
        <f t="shared" si="124"/>
        <v/>
      </c>
      <c r="Q1218" s="13">
        <f t="shared" si="125"/>
        <v>-5.5284984090972541E-3</v>
      </c>
      <c r="R1218" s="49">
        <f t="shared" si="126"/>
        <v>1</v>
      </c>
    </row>
    <row r="1219" spans="1:18" x14ac:dyDescent="0.35">
      <c r="A1219" s="64">
        <v>9.9</v>
      </c>
      <c r="B1219" s="14">
        <v>3.2300302834731287E-3</v>
      </c>
      <c r="C1219" s="12">
        <v>1.6024384933594593E-2</v>
      </c>
      <c r="D1219" s="12">
        <v>2.257528645056861E-2</v>
      </c>
      <c r="E1219" s="12">
        <v>-1.6363086690348361E-2</v>
      </c>
      <c r="F1219" s="12">
        <v>3.9148220361662212E-2</v>
      </c>
      <c r="G1219" s="12">
        <v>9.4918393332561468E-3</v>
      </c>
      <c r="H1219" s="12">
        <v>1.725366751796642E-2</v>
      </c>
      <c r="I1219" s="12">
        <v>1.2070841990699632E-2</v>
      </c>
      <c r="J1219" s="12">
        <v>3.2672713984780444E-3</v>
      </c>
      <c r="K1219" s="12">
        <v>-2.5381200540436355E-2</v>
      </c>
      <c r="L1219" s="12">
        <v>2.3987788035182422E-3</v>
      </c>
      <c r="M1219" s="13">
        <f t="shared" si="121"/>
        <v>9.790071374754497E-4</v>
      </c>
      <c r="N1219" s="32">
        <f t="shared" si="122"/>
        <v>268.17028262018312</v>
      </c>
      <c r="O1219" s="32">
        <f t="shared" si="123"/>
        <v>190.13760658629849</v>
      </c>
      <c r="P1219" s="12" t="str">
        <f t="shared" si="124"/>
        <v/>
      </c>
      <c r="Q1219" s="13">
        <f t="shared" si="125"/>
        <v>-2.2510231459976788E-3</v>
      </c>
      <c r="R1219" s="49">
        <f t="shared" si="126"/>
        <v>1</v>
      </c>
    </row>
    <row r="1220" spans="1:18" x14ac:dyDescent="0.35">
      <c r="A1220" s="64" t="s">
        <v>77</v>
      </c>
      <c r="B1220" s="14">
        <v>3.0309684562790373E-4</v>
      </c>
      <c r="C1220" s="12">
        <v>-2.3571765310933523E-3</v>
      </c>
      <c r="D1220" s="12">
        <v>-1.2329737159994969E-2</v>
      </c>
      <c r="E1220" s="12">
        <v>3.6497752506818859E-3</v>
      </c>
      <c r="F1220" s="12">
        <v>-1.1772929619955352E-3</v>
      </c>
      <c r="G1220" s="12">
        <v>1.7199862401100496E-3</v>
      </c>
      <c r="H1220" s="12">
        <v>8.5826886585900208E-3</v>
      </c>
      <c r="I1220" s="12">
        <v>2.8024896535991939E-3</v>
      </c>
      <c r="J1220" s="12">
        <v>-7.713073659854075E-4</v>
      </c>
      <c r="K1220" s="12">
        <v>-1.386275868897946E-3</v>
      </c>
      <c r="L1220" s="12">
        <v>9.1854000483442277E-3</v>
      </c>
      <c r="M1220" s="13">
        <f t="shared" si="121"/>
        <v>-1.086712598342291E-3</v>
      </c>
      <c r="N1220" s="32">
        <f t="shared" si="122"/>
        <v>267.87885859555877</v>
      </c>
      <c r="O1220" s="32">
        <f t="shared" si="123"/>
        <v>190.19523669509005</v>
      </c>
      <c r="P1220" s="12">
        <f t="shared" si="124"/>
        <v>-1.086712598342291E-3</v>
      </c>
      <c r="Q1220" s="13">
        <f t="shared" si="125"/>
        <v>-1.3898094439701947E-3</v>
      </c>
      <c r="R1220" s="49" t="str">
        <f t="shared" si="126"/>
        <v/>
      </c>
    </row>
    <row r="1221" spans="1:18" x14ac:dyDescent="0.35">
      <c r="A1221" s="64" t="s">
        <v>77</v>
      </c>
      <c r="B1221" s="14">
        <v>-2.8970988816641174E-3</v>
      </c>
      <c r="C1221" s="12">
        <v>-5.112123034624938E-3</v>
      </c>
      <c r="D1221" s="12">
        <v>1.1007549238749803E-2</v>
      </c>
      <c r="E1221" s="12">
        <v>-4.4212218649518631E-3</v>
      </c>
      <c r="F1221" s="12">
        <v>0.11978341743710619</v>
      </c>
      <c r="G1221" s="12">
        <v>1.098901098901095E-2</v>
      </c>
      <c r="H1221" s="12">
        <v>-2.952328576803942E-3</v>
      </c>
      <c r="I1221" s="12">
        <v>-7.344100347707383E-3</v>
      </c>
      <c r="J1221" s="12">
        <v>8.8768815129294243E-3</v>
      </c>
      <c r="K1221" s="12">
        <v>-8.4283589489340116E-3</v>
      </c>
      <c r="L1221" s="12">
        <v>-2.3257485029940073E-2</v>
      </c>
      <c r="M1221" s="13">
        <f t="shared" si="121"/>
        <v>-4.84845685859581E-3</v>
      </c>
      <c r="N1221" s="32">
        <f t="shared" si="122"/>
        <v>266.58005950632833</v>
      </c>
      <c r="O1221" s="32">
        <f t="shared" si="123"/>
        <v>189.64422228756285</v>
      </c>
      <c r="P1221" s="12">
        <f t="shared" si="124"/>
        <v>-4.84845685859581E-3</v>
      </c>
      <c r="Q1221" s="13">
        <f t="shared" si="125"/>
        <v>-1.9513579769316926E-3</v>
      </c>
      <c r="R1221" s="49" t="str">
        <f t="shared" si="126"/>
        <v/>
      </c>
    </row>
    <row r="1222" spans="1:18" x14ac:dyDescent="0.35">
      <c r="A1222" s="64" t="s">
        <v>77</v>
      </c>
      <c r="B1222" s="14">
        <v>-1.0077831870769494E-4</v>
      </c>
      <c r="C1222" s="12">
        <v>-3.0225830130835574E-3</v>
      </c>
      <c r="D1222" s="12">
        <v>-1.1263140330385335E-3</v>
      </c>
      <c r="E1222" s="12">
        <v>-5.9019166810848622E-3</v>
      </c>
      <c r="F1222" s="12">
        <v>1.4736357356665897E-2</v>
      </c>
      <c r="G1222" s="12">
        <v>-2.2078804347824832E-3</v>
      </c>
      <c r="H1222" s="12">
        <v>-5.0222080297268601E-3</v>
      </c>
      <c r="I1222" s="12">
        <v>5.172357350967216E-3</v>
      </c>
      <c r="J1222" s="12">
        <v>-1.211425656720222E-2</v>
      </c>
      <c r="K1222" s="12">
        <v>7.0000000000001172E-3</v>
      </c>
      <c r="L1222" s="12">
        <v>1.1893376492802643E-2</v>
      </c>
      <c r="M1222" s="13">
        <f t="shared" si="121"/>
        <v>3.4566047949974262E-3</v>
      </c>
      <c r="N1222" s="32">
        <f t="shared" si="122"/>
        <v>267.50152141826857</v>
      </c>
      <c r="O1222" s="32">
        <f t="shared" si="123"/>
        <v>189.62511026168809</v>
      </c>
      <c r="P1222" s="12" t="str">
        <f t="shared" si="124"/>
        <v/>
      </c>
      <c r="Q1222" s="13">
        <f t="shared" si="125"/>
        <v>3.5573831137051212E-3</v>
      </c>
      <c r="R1222" s="49">
        <f t="shared" si="126"/>
        <v>1</v>
      </c>
    </row>
    <row r="1223" spans="1:18" x14ac:dyDescent="0.35">
      <c r="A1223" s="64" t="s">
        <v>77</v>
      </c>
      <c r="B1223" s="14">
        <v>-5.8581363435491474E-3</v>
      </c>
      <c r="C1223" s="12">
        <v>-1.4292520247736196E-3</v>
      </c>
      <c r="D1223" s="12">
        <v>7.6425140948006565E-3</v>
      </c>
      <c r="E1223" s="12">
        <v>-1.4175207890156694E-2</v>
      </c>
      <c r="F1223" s="12">
        <v>-1.3776783688288163E-2</v>
      </c>
      <c r="G1223" s="12">
        <v>8.7943262411347423E-3</v>
      </c>
      <c r="H1223" s="12">
        <v>-8.4612242516202141E-4</v>
      </c>
      <c r="I1223" s="12">
        <v>-3.0939586386581341E-3</v>
      </c>
      <c r="J1223" s="12">
        <v>-3.1883309668258697E-2</v>
      </c>
      <c r="K1223" s="12">
        <v>5.8589870903673624E-3</v>
      </c>
      <c r="L1223" s="12">
        <v>8.3607987592089206E-3</v>
      </c>
      <c r="M1223" s="13">
        <f t="shared" si="121"/>
        <v>2.2672621000118208E-3</v>
      </c>
      <c r="N1223" s="32">
        <f t="shared" si="122"/>
        <v>268.10801747947568</v>
      </c>
      <c r="O1223" s="32">
        <f t="shared" si="123"/>
        <v>188.51426051161459</v>
      </c>
      <c r="P1223" s="12" t="str">
        <f t="shared" si="124"/>
        <v/>
      </c>
      <c r="Q1223" s="13">
        <f t="shared" si="125"/>
        <v>8.1253984435609682E-3</v>
      </c>
      <c r="R1223" s="49">
        <f t="shared" si="126"/>
        <v>1</v>
      </c>
    </row>
    <row r="1224" spans="1:18" x14ac:dyDescent="0.35">
      <c r="A1224" s="64" t="s">
        <v>77</v>
      </c>
      <c r="B1224" s="14">
        <v>-2.4316175793941408E-3</v>
      </c>
      <c r="C1224" s="12">
        <v>-1.9734559333795976E-2</v>
      </c>
      <c r="D1224" s="12">
        <v>5.26359416445632E-3</v>
      </c>
      <c r="E1224" s="12">
        <v>-7.9447594012985734E-3</v>
      </c>
      <c r="F1224" s="12">
        <v>-1.4462266631606768E-2</v>
      </c>
      <c r="G1224" s="12">
        <v>5.8492688413946947E-3</v>
      </c>
      <c r="H1224" s="12">
        <v>4.3217988027450804E-3</v>
      </c>
      <c r="I1224" s="12">
        <v>7.5138843515190068E-3</v>
      </c>
      <c r="J1224" s="12">
        <v>2.7555555555556221E-3</v>
      </c>
      <c r="K1224" s="12">
        <v>1.2636982920327666E-2</v>
      </c>
      <c r="L1224" s="12">
        <v>1.0814967915595108E-2</v>
      </c>
      <c r="M1224" s="13">
        <f t="shared" si="121"/>
        <v>6.4563559518223592E-3</v>
      </c>
      <c r="N1224" s="32">
        <f t="shared" si="122"/>
        <v>269.83901827386057</v>
      </c>
      <c r="O1224" s="32">
        <f t="shared" si="123"/>
        <v>188.05586592178807</v>
      </c>
      <c r="P1224" s="12" t="str">
        <f t="shared" si="124"/>
        <v/>
      </c>
      <c r="Q1224" s="13">
        <f t="shared" si="125"/>
        <v>8.8879735312165E-3</v>
      </c>
      <c r="R1224" s="49">
        <f t="shared" si="126"/>
        <v>1</v>
      </c>
    </row>
    <row r="1225" spans="1:18" x14ac:dyDescent="0.35">
      <c r="A1225" s="64" t="s">
        <v>77</v>
      </c>
      <c r="B1225" s="14">
        <v>-4.0042027712021699E-3</v>
      </c>
      <c r="C1225" s="12">
        <v>-4.9112871111897105E-3</v>
      </c>
      <c r="D1225" s="12">
        <v>-1.2987012987012991E-2</v>
      </c>
      <c r="E1225" s="12">
        <v>-2.9265206042869973E-3</v>
      </c>
      <c r="F1225" s="12">
        <v>1.17062433297761E-2</v>
      </c>
      <c r="G1225" s="12">
        <v>5.0324312234395485E-4</v>
      </c>
      <c r="H1225" s="12">
        <v>-6.9781641613120282E-4</v>
      </c>
      <c r="I1225" s="12">
        <v>-7.4578469520092394E-4</v>
      </c>
      <c r="J1225" s="12">
        <v>-5.1413881748071377E-3</v>
      </c>
      <c r="K1225" s="12">
        <v>-4.494491566734915E-2</v>
      </c>
      <c r="L1225" s="12">
        <v>-6.4195534843909385E-3</v>
      </c>
      <c r="M1225" s="13">
        <f t="shared" si="121"/>
        <v>-1.5266244873480002E-2</v>
      </c>
      <c r="N1225" s="32">
        <f t="shared" si="122"/>
        <v>265.71958974447239</v>
      </c>
      <c r="O1225" s="32">
        <f t="shared" si="123"/>
        <v>187.30285210232321</v>
      </c>
      <c r="P1225" s="12">
        <f t="shared" si="124"/>
        <v>-1.5266244873480002E-2</v>
      </c>
      <c r="Q1225" s="13">
        <f t="shared" si="125"/>
        <v>-1.1262042102277832E-2</v>
      </c>
      <c r="R1225" s="49" t="str">
        <f t="shared" si="126"/>
        <v/>
      </c>
    </row>
    <row r="1226" spans="1:18" x14ac:dyDescent="0.35">
      <c r="A1226" s="64" t="s">
        <v>77</v>
      </c>
      <c r="B1226" s="14">
        <v>1.518640789806236E-2</v>
      </c>
      <c r="C1226" s="12">
        <v>1.2716763005780285E-2</v>
      </c>
      <c r="D1226" s="12">
        <v>1.1236424394319044E-2</v>
      </c>
      <c r="E1226" s="12">
        <v>5.9297160082500966E-3</v>
      </c>
      <c r="F1226" s="12">
        <v>1.3416845228284124E-2</v>
      </c>
      <c r="G1226" s="12">
        <v>2.0119599843513303E-3</v>
      </c>
      <c r="H1226" s="12">
        <v>1.8475952166196352E-2</v>
      </c>
      <c r="I1226" s="12">
        <v>3.5662134536132761E-2</v>
      </c>
      <c r="J1226" s="12">
        <v>2.521607413347593E-2</v>
      </c>
      <c r="K1226" s="12">
        <v>-1.1535320538995419E-2</v>
      </c>
      <c r="L1226" s="12">
        <v>4.2547081767929429E-2</v>
      </c>
      <c r="M1226" s="13">
        <f t="shared" si="121"/>
        <v>1.5433731000085445E-2</v>
      </c>
      <c r="N1226" s="32">
        <f t="shared" si="122"/>
        <v>269.82063441404159</v>
      </c>
      <c r="O1226" s="32">
        <f t="shared" si="123"/>
        <v>190.14730961481953</v>
      </c>
      <c r="P1226" s="12" t="str">
        <f t="shared" si="124"/>
        <v/>
      </c>
      <c r="Q1226" s="13">
        <f t="shared" si="125"/>
        <v>2.4732310202308511E-4</v>
      </c>
      <c r="R1226" s="49">
        <f t="shared" si="126"/>
        <v>1</v>
      </c>
    </row>
    <row r="1227" spans="1:18" x14ac:dyDescent="0.35">
      <c r="A1227" s="64" t="s">
        <v>77</v>
      </c>
      <c r="B1227" s="14">
        <v>-4.2663343080389105E-3</v>
      </c>
      <c r="C1227" s="12">
        <v>-2.6343519494204104E-3</v>
      </c>
      <c r="D1227" s="12">
        <v>-1.0987649221363971E-2</v>
      </c>
      <c r="E1227" s="12">
        <v>-5.8553319007157434E-3</v>
      </c>
      <c r="F1227" s="12">
        <v>-8.3273697222041587E-3</v>
      </c>
      <c r="G1227" s="12">
        <v>-4.9082492051982785E-3</v>
      </c>
      <c r="H1227" s="12">
        <v>-3.4853159638899012E-3</v>
      </c>
      <c r="I1227" s="12">
        <v>-1.0527635041985284E-2</v>
      </c>
      <c r="J1227" s="12">
        <v>-1.412306622631665E-2</v>
      </c>
      <c r="K1227" s="12">
        <v>-7.848807187855078E-3</v>
      </c>
      <c r="L1227" s="12">
        <v>-7.7352124314274961E-3</v>
      </c>
      <c r="M1227" s="13">
        <f t="shared" si="121"/>
        <v>-8.9303178662345252E-3</v>
      </c>
      <c r="N1227" s="32">
        <f t="shared" si="122"/>
        <v>267.41105038185515</v>
      </c>
      <c r="O1227" s="32">
        <f t="shared" si="123"/>
        <v>189.33607762422852</v>
      </c>
      <c r="P1227" s="12">
        <f t="shared" si="124"/>
        <v>-8.9303178662345252E-3</v>
      </c>
      <c r="Q1227" s="13">
        <f t="shared" si="125"/>
        <v>-4.6639835581956147E-3</v>
      </c>
      <c r="R1227" s="49" t="str">
        <f t="shared" si="126"/>
        <v/>
      </c>
    </row>
    <row r="1228" spans="1:18" x14ac:dyDescent="0.35">
      <c r="A1228" s="64">
        <v>9.8000000000000007</v>
      </c>
      <c r="B1228" s="14">
        <v>4.1339768795463083E-3</v>
      </c>
      <c r="C1228" s="12">
        <v>9.4646944884662076E-3</v>
      </c>
      <c r="D1228" s="12">
        <v>1.3365075387378411E-2</v>
      </c>
      <c r="E1228" s="12">
        <v>-4.4024907785665812E-3</v>
      </c>
      <c r="F1228" s="12">
        <v>-1.4531260250606803E-2</v>
      </c>
      <c r="G1228" s="12">
        <v>-1.0761728602656784E-2</v>
      </c>
      <c r="H1228" s="12">
        <v>6.7656671062439333E-3</v>
      </c>
      <c r="I1228" s="12">
        <v>1.5199493350221749E-2</v>
      </c>
      <c r="J1228" s="12">
        <v>3.5086172698020945E-2</v>
      </c>
      <c r="K1228" s="12">
        <v>-2.081815342979132E-4</v>
      </c>
      <c r="L1228" s="12">
        <v>-2.4057367568818266E-3</v>
      </c>
      <c r="M1228" s="13">
        <f t="shared" si="121"/>
        <v>5.529409650662365E-3</v>
      </c>
      <c r="N1228" s="32">
        <f t="shared" si="122"/>
        <v>268.88967562453035</v>
      </c>
      <c r="O1228" s="32">
        <f t="shared" si="123"/>
        <v>190.11878859159106</v>
      </c>
      <c r="P1228" s="12" t="str">
        <f t="shared" si="124"/>
        <v/>
      </c>
      <c r="Q1228" s="13">
        <f t="shared" si="125"/>
        <v>1.3954327711160567E-3</v>
      </c>
      <c r="R1228" s="49">
        <f t="shared" si="126"/>
        <v>1</v>
      </c>
    </row>
    <row r="1229" spans="1:18" x14ac:dyDescent="0.35">
      <c r="A1229" s="64" t="s">
        <v>77</v>
      </c>
      <c r="B1229" s="14">
        <v>2.3909903277790079E-3</v>
      </c>
      <c r="C1229" s="12">
        <v>5.1458723998081268E-3</v>
      </c>
      <c r="D1229" s="12">
        <v>9.1085191443762703E-3</v>
      </c>
      <c r="E1229" s="12">
        <v>9.3618038403313619E-3</v>
      </c>
      <c r="F1229" s="12">
        <v>1.1483540258962144E-2</v>
      </c>
      <c r="G1229" s="12">
        <v>1.6998130205676532E-3</v>
      </c>
      <c r="H1229" s="12">
        <v>-2.3634603337319149E-3</v>
      </c>
      <c r="I1229" s="12">
        <v>5.8016219588270523E-3</v>
      </c>
      <c r="J1229" s="12">
        <v>3.3641357577822717E-3</v>
      </c>
      <c r="K1229" s="12">
        <v>3.1233732431035222E-4</v>
      </c>
      <c r="L1229" s="12">
        <v>3.269489403144421E-3</v>
      </c>
      <c r="M1229" s="13">
        <f t="shared" si="121"/>
        <v>5.5451900529777205E-3</v>
      </c>
      <c r="N1229" s="32">
        <f t="shared" si="122"/>
        <v>270.38071997915188</v>
      </c>
      <c r="O1229" s="32">
        <f t="shared" si="123"/>
        <v>190.57336077624262</v>
      </c>
      <c r="P1229" s="12" t="str">
        <f t="shared" si="124"/>
        <v/>
      </c>
      <c r="Q1229" s="13">
        <f t="shared" si="125"/>
        <v>3.1541997251987126E-3</v>
      </c>
      <c r="R1229" s="49">
        <f t="shared" si="126"/>
        <v>1</v>
      </c>
    </row>
    <row r="1230" spans="1:18" x14ac:dyDescent="0.35">
      <c r="A1230" s="64" t="s">
        <v>77</v>
      </c>
      <c r="B1230" s="14">
        <v>3.1567253988336041E-3</v>
      </c>
      <c r="C1230" s="12">
        <v>8.9808668488871035E-3</v>
      </c>
      <c r="D1230" s="12">
        <v>3.6350269563796278E-3</v>
      </c>
      <c r="E1230" s="12">
        <v>5.7228559024351533E-3</v>
      </c>
      <c r="F1230" s="12">
        <v>-5.2323285507436257E-3</v>
      </c>
      <c r="G1230" s="12">
        <v>-7.579614231574161E-3</v>
      </c>
      <c r="H1230" s="12">
        <v>-1.3986013986013734E-3</v>
      </c>
      <c r="I1230" s="12">
        <v>1.4048254047013709E-2</v>
      </c>
      <c r="J1230" s="12">
        <v>2.2918258212376585E-3</v>
      </c>
      <c r="K1230" s="12">
        <v>3.1223980016648056E-4</v>
      </c>
      <c r="L1230" s="12">
        <v>5.177155800032418E-3</v>
      </c>
      <c r="M1230" s="13">
        <f t="shared" si="121"/>
        <v>5.4489689520367691E-3</v>
      </c>
      <c r="N1230" s="32">
        <f t="shared" si="122"/>
        <v>271.8540161275476</v>
      </c>
      <c r="O1230" s="32">
        <f t="shared" si="123"/>
        <v>191.17494854454606</v>
      </c>
      <c r="P1230" s="12" t="str">
        <f t="shared" si="124"/>
        <v/>
      </c>
      <c r="Q1230" s="13">
        <f t="shared" si="125"/>
        <v>2.2922435532031649E-3</v>
      </c>
      <c r="R1230" s="49">
        <f t="shared" si="126"/>
        <v>1</v>
      </c>
    </row>
    <row r="1231" spans="1:18" x14ac:dyDescent="0.35">
      <c r="A1231" s="64" t="s">
        <v>77</v>
      </c>
      <c r="B1231" s="14">
        <v>-6.3981691392923645E-3</v>
      </c>
      <c r="C1231" s="12">
        <v>-1.8059855521156409E-3</v>
      </c>
      <c r="D1231" s="12">
        <v>-9.1156960892034844E-3</v>
      </c>
      <c r="E1231" s="12">
        <v>-5.7883996546581606E-3</v>
      </c>
      <c r="F1231" s="12">
        <v>2.5075258857388594E-2</v>
      </c>
      <c r="G1231" s="12">
        <v>9.8033627814191338E-3</v>
      </c>
      <c r="H1231" s="12">
        <v>5.4879094494939551E-3</v>
      </c>
      <c r="I1231" s="12">
        <v>1.3119667268111979E-2</v>
      </c>
      <c r="J1231" s="12">
        <v>-6.2669376693766932E-3</v>
      </c>
      <c r="K1231" s="12">
        <v>9.0521277702633185E-3</v>
      </c>
      <c r="L1231" s="12">
        <v>-3.6490308339656496E-2</v>
      </c>
      <c r="M1231" s="13">
        <f t="shared" si="121"/>
        <v>-4.963978859656647E-3</v>
      </c>
      <c r="N1231" s="32">
        <f t="shared" si="122"/>
        <v>270.50453853857772</v>
      </c>
      <c r="O1231" s="32">
        <f t="shared" si="123"/>
        <v>189.95177888856253</v>
      </c>
      <c r="P1231" s="12">
        <f t="shared" si="124"/>
        <v>-4.963978859656647E-3</v>
      </c>
      <c r="Q1231" s="13">
        <f t="shared" si="125"/>
        <v>1.4341902796357175E-3</v>
      </c>
      <c r="R1231" s="49" t="str">
        <f t="shared" si="126"/>
        <v/>
      </c>
    </row>
    <row r="1232" spans="1:18" x14ac:dyDescent="0.35">
      <c r="A1232" s="64" t="s">
        <v>77</v>
      </c>
      <c r="B1232" s="14">
        <v>-6.9223220118076467E-3</v>
      </c>
      <c r="C1232" s="12">
        <v>-1.0424743689153027E-2</v>
      </c>
      <c r="D1232" s="12">
        <v>-8.1728202390242144E-3</v>
      </c>
      <c r="E1232" s="12">
        <v>-3.09854151453548E-3</v>
      </c>
      <c r="F1232" s="12">
        <v>-3.4530609610481378E-3</v>
      </c>
      <c r="G1232" s="12">
        <v>5.0234238302195866E-3</v>
      </c>
      <c r="H1232" s="12">
        <v>-4.8609926658707003E-3</v>
      </c>
      <c r="I1232" s="12">
        <v>-3.0185945423799598E-4</v>
      </c>
      <c r="J1232" s="12">
        <v>1.1505028123401928E-2</v>
      </c>
      <c r="K1232" s="12">
        <v>8.970921839554391E-3</v>
      </c>
      <c r="L1232" s="12">
        <v>-7.1353570064910388E-3</v>
      </c>
      <c r="M1232" s="13">
        <f t="shared" si="121"/>
        <v>-1.9395087705085432E-3</v>
      </c>
      <c r="N1232" s="32">
        <f t="shared" si="122"/>
        <v>269.97989261361977</v>
      </c>
      <c r="O1232" s="32">
        <f t="shared" si="123"/>
        <v>188.63687150838021</v>
      </c>
      <c r="P1232" s="12">
        <f t="shared" si="124"/>
        <v>-1.9395087705085432E-3</v>
      </c>
      <c r="Q1232" s="13">
        <f t="shared" si="125"/>
        <v>4.9828132412991031E-3</v>
      </c>
      <c r="R1232" s="49" t="str">
        <f t="shared" si="126"/>
        <v/>
      </c>
    </row>
    <row r="1233" spans="1:18" x14ac:dyDescent="0.35">
      <c r="A1233" s="64">
        <v>9.74</v>
      </c>
      <c r="B1233" s="14">
        <v>5.1001162801573852E-3</v>
      </c>
      <c r="C1233" s="12">
        <v>3.8089848511231095E-2</v>
      </c>
      <c r="D1233" s="12">
        <v>1.0766045548654235E-2</v>
      </c>
      <c r="E1233" s="12">
        <v>4.5533734558134142E-4</v>
      </c>
      <c r="F1233" s="12">
        <v>-2.9792746113990187E-3</v>
      </c>
      <c r="G1233" s="12">
        <v>-3.369650679546643E-4</v>
      </c>
      <c r="H1233" s="12">
        <v>2.2852572342675348E-3</v>
      </c>
      <c r="I1233" s="12">
        <v>-2.2555709885862751E-2</v>
      </c>
      <c r="J1233" s="12">
        <v>-2.1063274075322269E-2</v>
      </c>
      <c r="K1233" s="12">
        <v>1.6249361267245854E-2</v>
      </c>
      <c r="L1233" s="12">
        <v>-2.2353082562192039E-3</v>
      </c>
      <c r="M1233" s="13">
        <f t="shared" ref="M1233:M1270" si="127">SUMPRODUCT($C$2:$L$2,C1233:L1233)</f>
        <v>1.932537946747687E-3</v>
      </c>
      <c r="N1233" s="32">
        <f t="shared" ref="N1233:N1270" si="128">+(N1232*(1+M1233))</f>
        <v>270.50163900095441</v>
      </c>
      <c r="O1233" s="32">
        <f t="shared" ref="O1233:O1270" si="129">+(O1232*(1+B1233))</f>
        <v>189.59894148779804</v>
      </c>
      <c r="P1233" s="12" t="str">
        <f t="shared" ref="P1233:P1270" si="130">+IF(M1233&lt;0,M1233,"")</f>
        <v/>
      </c>
      <c r="Q1233" s="13">
        <f t="shared" ref="Q1233:Q1270" si="131">M1233-B1233</f>
        <v>-3.1675783334096982E-3</v>
      </c>
      <c r="R1233" s="49">
        <f t="shared" ref="R1233:R1270" si="132">+IF(M1233&gt;0,1,"")</f>
        <v>1</v>
      </c>
    </row>
    <row r="1234" spans="1:18" x14ac:dyDescent="0.35">
      <c r="A1234" s="64" t="s">
        <v>77</v>
      </c>
      <c r="B1234" s="14">
        <v>8.3464376436432897E-3</v>
      </c>
      <c r="C1234" s="12">
        <v>5.4933534616514734E-3</v>
      </c>
      <c r="D1234" s="12">
        <v>1.261777959852517E-2</v>
      </c>
      <c r="E1234" s="12">
        <v>5.1845255763331988E-3</v>
      </c>
      <c r="F1234" s="12">
        <v>8.1200467714694913E-3</v>
      </c>
      <c r="G1234" s="12">
        <v>4.2696629213483384E-3</v>
      </c>
      <c r="H1234" s="12">
        <v>3.4200701114373011E-4</v>
      </c>
      <c r="I1234" s="12">
        <v>2.1438942263136695E-2</v>
      </c>
      <c r="J1234" s="12">
        <v>-7.0143730097254053E-3</v>
      </c>
      <c r="K1234" s="12">
        <v>1.4983909895414316E-2</v>
      </c>
      <c r="L1234" s="12">
        <v>1.2285604162651786E-2</v>
      </c>
      <c r="M1234" s="13">
        <f t="shared" si="127"/>
        <v>1.3756581767155723E-2</v>
      </c>
      <c r="N1234" s="32">
        <f t="shared" si="128"/>
        <v>274.22281691602069</v>
      </c>
      <c r="O1234" s="32">
        <f t="shared" si="129"/>
        <v>191.18141723022671</v>
      </c>
      <c r="P1234" s="12" t="str">
        <f t="shared" si="130"/>
        <v/>
      </c>
      <c r="Q1234" s="13">
        <f t="shared" si="131"/>
        <v>5.4101441235124333E-3</v>
      </c>
      <c r="R1234" s="49">
        <f t="shared" si="132"/>
        <v>1</v>
      </c>
    </row>
    <row r="1235" spans="1:18" x14ac:dyDescent="0.35">
      <c r="A1235" s="64" t="s">
        <v>77</v>
      </c>
      <c r="B1235" s="14">
        <v>-3.1651410010334891E-3</v>
      </c>
      <c r="C1235" s="12">
        <v>-3.7534406539330156E-4</v>
      </c>
      <c r="D1235" s="12">
        <v>5.4616069261266276E-3</v>
      </c>
      <c r="E1235" s="12">
        <v>-2.5533003917554198E-2</v>
      </c>
      <c r="F1235" s="12">
        <v>1.6141503962884274E-2</v>
      </c>
      <c r="G1235" s="12">
        <v>-1.8460505705973906E-3</v>
      </c>
      <c r="H1235" s="12">
        <v>-2.2137382831419639E-2</v>
      </c>
      <c r="I1235" s="12">
        <v>-1.3397852714350345E-2</v>
      </c>
      <c r="J1235" s="12">
        <v>-4.9404117009750337E-3</v>
      </c>
      <c r="K1235" s="12">
        <v>-4.1612999108292525E-3</v>
      </c>
      <c r="L1235" s="12">
        <v>6.8059587834943258E-3</v>
      </c>
      <c r="M1235" s="13">
        <f t="shared" si="127"/>
        <v>-4.4003548600204147E-3</v>
      </c>
      <c r="N1235" s="32">
        <f t="shared" si="128"/>
        <v>273.01613921087579</v>
      </c>
      <c r="O1235" s="32">
        <f t="shared" si="129"/>
        <v>190.57630108791562</v>
      </c>
      <c r="P1235" s="12">
        <f t="shared" si="130"/>
        <v>-4.4003548600204147E-3</v>
      </c>
      <c r="Q1235" s="13">
        <f t="shared" si="131"/>
        <v>-1.2352138589869256E-3</v>
      </c>
      <c r="R1235" s="49" t="str">
        <f t="shared" si="132"/>
        <v/>
      </c>
    </row>
    <row r="1236" spans="1:18" x14ac:dyDescent="0.35">
      <c r="A1236" s="64" t="s">
        <v>77</v>
      </c>
      <c r="B1236" s="14">
        <v>2.1059939828742547E-3</v>
      </c>
      <c r="C1236" s="12">
        <v>-7.5514205849221971E-3</v>
      </c>
      <c r="D1236" s="12">
        <v>3.041886291393392E-2</v>
      </c>
      <c r="E1236" s="12">
        <v>6.4646464646465063E-3</v>
      </c>
      <c r="F1236" s="12">
        <v>1.5409493008655906E-2</v>
      </c>
      <c r="G1236" s="12">
        <v>-1.6813316146389035E-3</v>
      </c>
      <c r="H1236" s="12">
        <v>-2.6804964745644755E-3</v>
      </c>
      <c r="I1236" s="12">
        <v>-2.4829869413279804E-3</v>
      </c>
      <c r="J1236" s="12">
        <v>5.8359827533642772E-3</v>
      </c>
      <c r="K1236" s="12">
        <v>1.7610188040990904E-2</v>
      </c>
      <c r="L1236" s="12">
        <v>-7.0908575210359981E-4</v>
      </c>
      <c r="M1236" s="13">
        <f t="shared" si="127"/>
        <v>1.2593536875505925E-2</v>
      </c>
      <c r="N1236" s="32">
        <f t="shared" si="128"/>
        <v>276.45437802763621</v>
      </c>
      <c r="O1236" s="32">
        <f t="shared" si="129"/>
        <v>190.97765363128519</v>
      </c>
      <c r="P1236" s="12" t="str">
        <f t="shared" si="130"/>
        <v/>
      </c>
      <c r="Q1236" s="13">
        <f t="shared" si="131"/>
        <v>1.0487542892631671E-2</v>
      </c>
      <c r="R1236" s="49">
        <f t="shared" si="132"/>
        <v>1</v>
      </c>
    </row>
    <row r="1237" spans="1:18" x14ac:dyDescent="0.35">
      <c r="A1237" s="64">
        <v>10.039999999999999</v>
      </c>
      <c r="B1237" s="14">
        <v>2.6881596267984698E-3</v>
      </c>
      <c r="C1237" s="12">
        <v>-1.4839414831007258E-2</v>
      </c>
      <c r="D1237" s="12">
        <v>1.1792729118669465E-2</v>
      </c>
      <c r="E1237" s="12">
        <v>4.2151746286633873E-4</v>
      </c>
      <c r="F1237" s="12">
        <v>8.6401249024199878E-2</v>
      </c>
      <c r="G1237" s="12">
        <v>-6.5682366810755344E-3</v>
      </c>
      <c r="H1237" s="12">
        <v>4.9371895997663007E-3</v>
      </c>
      <c r="I1237" s="12">
        <v>-3.2881595525645624E-3</v>
      </c>
      <c r="J1237" s="12">
        <v>-6.1918164104783902E-3</v>
      </c>
      <c r="K1237" s="12">
        <v>9.7770825185916621E-5</v>
      </c>
      <c r="L1237" s="12">
        <v>-1.1093239982969849E-2</v>
      </c>
      <c r="M1237" s="13">
        <f t="shared" si="127"/>
        <v>7.984097403200541E-4</v>
      </c>
      <c r="N1237" s="32">
        <f t="shared" si="128"/>
        <v>276.67510189580759</v>
      </c>
      <c r="O1237" s="32">
        <f t="shared" si="129"/>
        <v>191.49103204939752</v>
      </c>
      <c r="P1237" s="12" t="str">
        <f t="shared" si="130"/>
        <v/>
      </c>
      <c r="Q1237" s="13">
        <f t="shared" si="131"/>
        <v>-1.8897498864784157E-3</v>
      </c>
      <c r="R1237" s="49">
        <f t="shared" si="132"/>
        <v>1</v>
      </c>
    </row>
    <row r="1238" spans="1:18" x14ac:dyDescent="0.35">
      <c r="A1238" s="64" t="s">
        <v>77</v>
      </c>
      <c r="B1238" s="14">
        <v>2.9834428900241683E-3</v>
      </c>
      <c r="C1238" s="12">
        <v>-3.2259441007040812E-2</v>
      </c>
      <c r="D1238" s="12">
        <v>-8.6063833892942032E-3</v>
      </c>
      <c r="E1238" s="12">
        <v>3.9325053670671295E-3</v>
      </c>
      <c r="F1238" s="12">
        <v>-3.2766153138653609E-3</v>
      </c>
      <c r="G1238" s="12">
        <v>-6.6116636528029682E-3</v>
      </c>
      <c r="H1238" s="12">
        <v>-1.7064449547951943E-2</v>
      </c>
      <c r="I1238" s="12">
        <v>-3.0523524696305371E-3</v>
      </c>
      <c r="J1238" s="12">
        <v>-8.7138375740676288E-3</v>
      </c>
      <c r="K1238" s="12">
        <v>-1.8379118193371902E-2</v>
      </c>
      <c r="L1238" s="12">
        <v>1.1528618240091992E-2</v>
      </c>
      <c r="M1238" s="13">
        <f t="shared" si="127"/>
        <v>-4.5561594639403919E-3</v>
      </c>
      <c r="N1238" s="32">
        <f t="shared" si="128"/>
        <v>275.4145260118683</v>
      </c>
      <c r="O1238" s="32">
        <f t="shared" si="129"/>
        <v>192.06233460746867</v>
      </c>
      <c r="P1238" s="12">
        <f t="shared" si="130"/>
        <v>-4.5561594639403919E-3</v>
      </c>
      <c r="Q1238" s="13">
        <f t="shared" si="131"/>
        <v>-7.5396023539645602E-3</v>
      </c>
      <c r="R1238" s="49" t="str">
        <f t="shared" si="132"/>
        <v/>
      </c>
    </row>
    <row r="1239" spans="1:18" x14ac:dyDescent="0.35">
      <c r="A1239" s="64" t="s">
        <v>77</v>
      </c>
      <c r="B1239" s="14">
        <v>8.4858635280862238E-3</v>
      </c>
      <c r="C1239" s="12">
        <v>1.4286344195070466E-2</v>
      </c>
      <c r="D1239" s="12">
        <v>5.0607287449389027E-4</v>
      </c>
      <c r="E1239" s="12">
        <v>1.2790535004096881E-3</v>
      </c>
      <c r="F1239" s="12">
        <v>1.9695484168637201E-2</v>
      </c>
      <c r="G1239" s="12">
        <v>1.5416121508618374E-2</v>
      </c>
      <c r="H1239" s="12">
        <v>1.5881935407547676E-2</v>
      </c>
      <c r="I1239" s="12">
        <v>1.8462965826503641E-2</v>
      </c>
      <c r="J1239" s="12">
        <v>-3.3095991561181481E-2</v>
      </c>
      <c r="K1239" s="12">
        <v>2.2308535006473562E-2</v>
      </c>
      <c r="L1239" s="12">
        <v>2.002790191766568E-2</v>
      </c>
      <c r="M1239" s="13">
        <f t="shared" si="127"/>
        <v>1.2271218564106746E-2</v>
      </c>
      <c r="N1239" s="32">
        <f t="shared" si="128"/>
        <v>278.79419785628983</v>
      </c>
      <c r="O1239" s="32">
        <f t="shared" si="129"/>
        <v>193.69214936783328</v>
      </c>
      <c r="P1239" s="12" t="str">
        <f t="shared" si="130"/>
        <v/>
      </c>
      <c r="Q1239" s="13">
        <f t="shared" si="131"/>
        <v>3.7853550360205223E-3</v>
      </c>
      <c r="R1239" s="49">
        <f t="shared" si="132"/>
        <v>1</v>
      </c>
    </row>
    <row r="1240" spans="1:18" x14ac:dyDescent="0.35">
      <c r="A1240" s="64" t="s">
        <v>77</v>
      </c>
      <c r="B1240" s="14">
        <v>-4.8273464622994311E-4</v>
      </c>
      <c r="C1240" s="12">
        <v>1.7562926574794524E-2</v>
      </c>
      <c r="D1240" s="12">
        <v>-1.3890510096883357E-2</v>
      </c>
      <c r="E1240" s="12">
        <v>1.7744156803257471E-2</v>
      </c>
      <c r="F1240" s="12">
        <v>-3.1107717541924984E-3</v>
      </c>
      <c r="G1240" s="12">
        <v>-2.4649859943977059E-3</v>
      </c>
      <c r="H1240" s="12">
        <v>-1.1819849195027543E-2</v>
      </c>
      <c r="I1240" s="12">
        <v>-1.2176606340337681E-2</v>
      </c>
      <c r="J1240" s="12">
        <v>-1.8409927723987529E-2</v>
      </c>
      <c r="K1240" s="12">
        <v>8.1831466147099796E-3</v>
      </c>
      <c r="L1240" s="12">
        <v>3.245398488571638E-4</v>
      </c>
      <c r="M1240" s="13">
        <f t="shared" si="127"/>
        <v>-1.8076502254786003E-3</v>
      </c>
      <c r="N1240" s="32">
        <f t="shared" si="128"/>
        <v>278.29023546167281</v>
      </c>
      <c r="O1240" s="32">
        <f t="shared" si="129"/>
        <v>193.59864745663069</v>
      </c>
      <c r="P1240" s="12">
        <f t="shared" si="130"/>
        <v>-1.8076502254786003E-3</v>
      </c>
      <c r="Q1240" s="13">
        <f t="shared" si="131"/>
        <v>-1.3249155792486571E-3</v>
      </c>
      <c r="R1240" s="49" t="str">
        <f t="shared" si="132"/>
        <v/>
      </c>
    </row>
    <row r="1241" spans="1:18" x14ac:dyDescent="0.35">
      <c r="A1241" s="64">
        <v>9.8800000000000008</v>
      </c>
      <c r="B1241" s="14">
        <v>4.7066578173196039E-3</v>
      </c>
      <c r="C1241" s="12">
        <v>1.1235955056179803E-2</v>
      </c>
      <c r="D1241" s="12">
        <v>1.104797979797989E-2</v>
      </c>
      <c r="E1241" s="12">
        <v>1.0707981957246648E-2</v>
      </c>
      <c r="F1241" s="12">
        <v>-1.3106011176987953E-2</v>
      </c>
      <c r="G1241" s="12">
        <v>-3.7066157475008632E-3</v>
      </c>
      <c r="H1241" s="12">
        <v>-1.1195239077276264E-3</v>
      </c>
      <c r="I1241" s="12">
        <v>5.9942823768097675E-3</v>
      </c>
      <c r="J1241" s="12">
        <v>-8.798740390849602E-4</v>
      </c>
      <c r="K1241" s="12">
        <v>1.9325538699390687E-3</v>
      </c>
      <c r="L1241" s="12">
        <v>1.0242862439747924E-2</v>
      </c>
      <c r="M1241" s="13">
        <f t="shared" si="127"/>
        <v>7.8508941160479028E-3</v>
      </c>
      <c r="N1241" s="32">
        <f t="shared" si="128"/>
        <v>280.47506263381246</v>
      </c>
      <c r="O1241" s="32">
        <f t="shared" si="129"/>
        <v>194.50985004410495</v>
      </c>
      <c r="P1241" s="12" t="str">
        <f t="shared" si="130"/>
        <v/>
      </c>
      <c r="Q1241" s="13">
        <f t="shared" si="131"/>
        <v>3.1442362987282989E-3</v>
      </c>
      <c r="R1241" s="49">
        <f t="shared" si="132"/>
        <v>1</v>
      </c>
    </row>
    <row r="1242" spans="1:18" x14ac:dyDescent="0.35">
      <c r="A1242" s="64" t="s">
        <v>77</v>
      </c>
      <c r="B1242" s="14">
        <v>-1.2879273439672101E-3</v>
      </c>
      <c r="C1242" s="12">
        <v>6.1258977608789067E-3</v>
      </c>
      <c r="D1242" s="12">
        <v>4.9953168904151024E-3</v>
      </c>
      <c r="E1242" s="12">
        <v>-1.2263272275690795E-2</v>
      </c>
      <c r="F1242" s="12">
        <v>-2.3311966426169284E-2</v>
      </c>
      <c r="G1242" s="12">
        <v>-5.29875986471251E-3</v>
      </c>
      <c r="H1242" s="12">
        <v>2.8904291402447324E-3</v>
      </c>
      <c r="I1242" s="12">
        <v>-6.7224836521406761E-4</v>
      </c>
      <c r="J1242" s="12">
        <v>-3.3835457705677641E-3</v>
      </c>
      <c r="K1242" s="12">
        <v>-2.6039155174075734E-3</v>
      </c>
      <c r="L1242" s="12">
        <v>1.0850116988576408E-2</v>
      </c>
      <c r="M1242" s="13">
        <f t="shared" si="127"/>
        <v>8.0197494426768466E-4</v>
      </c>
      <c r="N1242" s="32">
        <f t="shared" si="128"/>
        <v>280.69999660653667</v>
      </c>
      <c r="O1242" s="32">
        <f t="shared" si="129"/>
        <v>194.25933548956218</v>
      </c>
      <c r="P1242" s="12" t="str">
        <f t="shared" si="130"/>
        <v/>
      </c>
      <c r="Q1242" s="13">
        <f t="shared" si="131"/>
        <v>2.0899022882348945E-3</v>
      </c>
      <c r="R1242" s="49">
        <f t="shared" si="132"/>
        <v>1</v>
      </c>
    </row>
    <row r="1243" spans="1:18" x14ac:dyDescent="0.35">
      <c r="A1243" s="64" t="s">
        <v>77</v>
      </c>
      <c r="B1243" s="14">
        <v>-9.7021838238409153E-4</v>
      </c>
      <c r="C1243" s="12">
        <v>3.5271887465881946E-3</v>
      </c>
      <c r="D1243" s="12">
        <v>6.0577819198508465E-3</v>
      </c>
      <c r="E1243" s="12">
        <v>1.9251925192518282E-3</v>
      </c>
      <c r="F1243" s="12">
        <v>5.3858378951088248E-3</v>
      </c>
      <c r="G1243" s="12">
        <v>4.1935849484300292E-3</v>
      </c>
      <c r="H1243" s="12">
        <v>1.8145457753727667E-2</v>
      </c>
      <c r="I1243" s="12">
        <v>2.739726027397249E-2</v>
      </c>
      <c r="J1243" s="12">
        <v>-1.8137847642080152E-3</v>
      </c>
      <c r="K1243" s="12">
        <v>8.218913169599551E-3</v>
      </c>
      <c r="L1243" s="12">
        <v>2.267002518891692E-2</v>
      </c>
      <c r="M1243" s="13">
        <f t="shared" si="127"/>
        <v>1.2902515515936819E-2</v>
      </c>
      <c r="N1243" s="32">
        <f t="shared" si="128"/>
        <v>284.32173266807592</v>
      </c>
      <c r="O1243" s="32">
        <f t="shared" si="129"/>
        <v>194.07086151132049</v>
      </c>
      <c r="P1243" s="12" t="str">
        <f t="shared" si="130"/>
        <v/>
      </c>
      <c r="Q1243" s="13">
        <f t="shared" si="131"/>
        <v>1.3872733898320911E-2</v>
      </c>
      <c r="R1243" s="49">
        <f t="shared" si="132"/>
        <v>1</v>
      </c>
    </row>
    <row r="1244" spans="1:18" x14ac:dyDescent="0.35">
      <c r="A1244" s="64" t="s">
        <v>77</v>
      </c>
      <c r="B1244" s="14">
        <v>4.7891399698500869E-3</v>
      </c>
      <c r="C1244" s="12">
        <v>-4.6445457968953274E-3</v>
      </c>
      <c r="D1244" s="12">
        <v>2.2850084915856161E-2</v>
      </c>
      <c r="E1244" s="12">
        <v>-3.0783106544841621E-3</v>
      </c>
      <c r="F1244" s="12">
        <v>-1.9876467316530588E-2</v>
      </c>
      <c r="G1244" s="12">
        <v>-1.7155756207674955E-2</v>
      </c>
      <c r="H1244" s="12">
        <v>-2.3165800115540147E-2</v>
      </c>
      <c r="I1244" s="12">
        <v>1.6874999999999973E-2</v>
      </c>
      <c r="J1244" s="12">
        <v>4.798956343474714E-3</v>
      </c>
      <c r="K1244" s="12">
        <v>-6.4256257792270066E-3</v>
      </c>
      <c r="L1244" s="12">
        <v>3.616917410020859E-2</v>
      </c>
      <c r="M1244" s="13">
        <f t="shared" si="127"/>
        <v>1.3812411398695202E-2</v>
      </c>
      <c r="N1244" s="32">
        <f t="shared" si="128"/>
        <v>288.24890140927727</v>
      </c>
      <c r="O1244" s="32">
        <f t="shared" si="129"/>
        <v>195.00029403116758</v>
      </c>
      <c r="P1244" s="12" t="str">
        <f t="shared" si="130"/>
        <v/>
      </c>
      <c r="Q1244" s="13">
        <f t="shared" si="131"/>
        <v>9.023271428845115E-3</v>
      </c>
      <c r="R1244" s="49">
        <f t="shared" si="132"/>
        <v>1</v>
      </c>
    </row>
    <row r="1245" spans="1:18" x14ac:dyDescent="0.35">
      <c r="A1245" s="64" t="s">
        <v>77</v>
      </c>
      <c r="B1245" s="14">
        <v>4.8854335671504323E-3</v>
      </c>
      <c r="C1245" s="12">
        <v>3.2032957793845629E-2</v>
      </c>
      <c r="D1245" s="12">
        <v>5.2830188679244827E-3</v>
      </c>
      <c r="E1245" s="12">
        <v>1.8644901170223216E-2</v>
      </c>
      <c r="F1245" s="12">
        <v>5.5850904963861137E-3</v>
      </c>
      <c r="G1245" s="12">
        <v>1.165594855305474E-2</v>
      </c>
      <c r="H1245" s="12">
        <v>1.0142527647998056E-2</v>
      </c>
      <c r="I1245" s="12">
        <v>-1.6097403927767262E-3</v>
      </c>
      <c r="J1245" s="12">
        <v>-4.6369284985581238E-5</v>
      </c>
      <c r="K1245" s="12">
        <v>-1.2258687258687173E-2</v>
      </c>
      <c r="L1245" s="12">
        <v>-8.9943464108266369E-4</v>
      </c>
      <c r="M1245" s="13">
        <f t="shared" si="127"/>
        <v>8.3491879162101443E-4</v>
      </c>
      <c r="N1245" s="32">
        <f t="shared" si="128"/>
        <v>288.48956583372797</v>
      </c>
      <c r="O1245" s="32">
        <f t="shared" si="129"/>
        <v>195.95295501323164</v>
      </c>
      <c r="P1245" s="12" t="str">
        <f t="shared" si="130"/>
        <v/>
      </c>
      <c r="Q1245" s="13">
        <f t="shared" si="131"/>
        <v>-4.0505147755294183E-3</v>
      </c>
      <c r="R1245" s="49">
        <f t="shared" si="132"/>
        <v>1</v>
      </c>
    </row>
    <row r="1246" spans="1:18" x14ac:dyDescent="0.35">
      <c r="A1246" s="64">
        <v>9.7799999999999994</v>
      </c>
      <c r="B1246" s="14">
        <v>4.4100258689507843E-3</v>
      </c>
      <c r="C1246" s="12">
        <v>4.3095723014256571E-2</v>
      </c>
      <c r="D1246" s="12">
        <v>1.8656156156156234E-2</v>
      </c>
      <c r="E1246" s="12">
        <v>-6.7190546985111954E-3</v>
      </c>
      <c r="F1246" s="12">
        <v>1.3692120348094639E-2</v>
      </c>
      <c r="G1246" s="12">
        <v>-1.1237868210454582E-2</v>
      </c>
      <c r="H1246" s="12">
        <v>8.0501156289336517E-3</v>
      </c>
      <c r="I1246" s="12">
        <v>-4.1041275797371046E-4</v>
      </c>
      <c r="J1246" s="12">
        <v>-1.6508230929747292E-2</v>
      </c>
      <c r="K1246" s="12">
        <v>4.7884295905402663E-3</v>
      </c>
      <c r="L1246" s="12">
        <v>1.1917520469841847E-2</v>
      </c>
      <c r="M1246" s="13">
        <f t="shared" si="127"/>
        <v>7.2099136177494723E-3</v>
      </c>
      <c r="N1246" s="32">
        <f t="shared" si="128"/>
        <v>290.56955068301119</v>
      </c>
      <c r="O1246" s="32">
        <f t="shared" si="129"/>
        <v>196.81711261393735</v>
      </c>
      <c r="P1246" s="12" t="str">
        <f t="shared" si="130"/>
        <v/>
      </c>
      <c r="Q1246" s="13">
        <f t="shared" si="131"/>
        <v>2.799887748798688E-3</v>
      </c>
      <c r="R1246" s="49">
        <f t="shared" si="132"/>
        <v>1</v>
      </c>
    </row>
    <row r="1247" spans="1:18" x14ac:dyDescent="0.35">
      <c r="A1247" s="64" t="s">
        <v>77</v>
      </c>
      <c r="B1247" s="14">
        <v>-5.5021475256769037E-3</v>
      </c>
      <c r="C1247" s="12">
        <v>-6.443298969072031E-3</v>
      </c>
      <c r="D1247" s="12">
        <v>3.2059549692302625E-3</v>
      </c>
      <c r="E1247" s="12">
        <v>-1.0146758674312473E-2</v>
      </c>
      <c r="F1247" s="12">
        <v>1.8722531497216588E-2</v>
      </c>
      <c r="G1247" s="12">
        <v>1.3604270707766597E-2</v>
      </c>
      <c r="H1247" s="12">
        <v>-1.6436287605993805E-2</v>
      </c>
      <c r="I1247" s="12">
        <v>1.4370344301719573E-3</v>
      </c>
      <c r="J1247" s="12">
        <v>2.0038662831816767E-2</v>
      </c>
      <c r="K1247" s="12">
        <v>-2.917720287881731E-3</v>
      </c>
      <c r="L1247" s="12">
        <v>-1.7792840499895046E-3</v>
      </c>
      <c r="M1247" s="13">
        <f t="shared" si="127"/>
        <v>-1.2081682859171304E-3</v>
      </c>
      <c r="N1247" s="32">
        <f t="shared" si="128"/>
        <v>290.21849376702278</v>
      </c>
      <c r="O1247" s="32">
        <f t="shared" si="129"/>
        <v>195.73419582475771</v>
      </c>
      <c r="P1247" s="12">
        <f t="shared" si="130"/>
        <v>-1.2081682859171304E-3</v>
      </c>
      <c r="Q1247" s="13">
        <f t="shared" si="131"/>
        <v>4.2939792397597735E-3</v>
      </c>
      <c r="R1247" s="49" t="str">
        <f t="shared" si="132"/>
        <v/>
      </c>
    </row>
    <row r="1248" spans="1:18" x14ac:dyDescent="0.35">
      <c r="A1248" s="64" t="s">
        <v>77</v>
      </c>
      <c r="B1248" s="14">
        <v>-2.8466618195801541E-3</v>
      </c>
      <c r="C1248" s="12">
        <v>-8.3323507448020973E-3</v>
      </c>
      <c r="D1248" s="12">
        <v>-1.7300910960917015E-2</v>
      </c>
      <c r="E1248" s="12">
        <v>1.8066492547570423E-3</v>
      </c>
      <c r="F1248" s="12">
        <v>1.1849636170151667E-2</v>
      </c>
      <c r="G1248" s="12">
        <v>6.2294710612742499E-4</v>
      </c>
      <c r="H1248" s="12">
        <v>-5.9049306170622096E-5</v>
      </c>
      <c r="I1248" s="12">
        <v>-2.899229800568115E-3</v>
      </c>
      <c r="J1248" s="12">
        <v>-5.7317185911066604E-3</v>
      </c>
      <c r="K1248" s="12">
        <v>2.0483808037456974E-3</v>
      </c>
      <c r="L1248" s="12">
        <v>-3.1192972032423327E-3</v>
      </c>
      <c r="M1248" s="13">
        <f t="shared" si="127"/>
        <v>-5.130687929783855E-3</v>
      </c>
      <c r="N1248" s="32">
        <f t="shared" si="128"/>
        <v>288.72947324405226</v>
      </c>
      <c r="O1248" s="32">
        <f t="shared" si="129"/>
        <v>195.17700676271716</v>
      </c>
      <c r="P1248" s="12">
        <f t="shared" si="130"/>
        <v>-5.130687929783855E-3</v>
      </c>
      <c r="Q1248" s="13">
        <f t="shared" si="131"/>
        <v>-2.284026110203701E-3</v>
      </c>
      <c r="R1248" s="49" t="str">
        <f t="shared" si="132"/>
        <v/>
      </c>
    </row>
    <row r="1249" spans="1:18" x14ac:dyDescent="0.35">
      <c r="A1249" s="64" t="s">
        <v>77</v>
      </c>
      <c r="B1249" s="14">
        <v>-5.0090615052493792E-3</v>
      </c>
      <c r="C1249" s="12">
        <v>1.807300542982837E-2</v>
      </c>
      <c r="D1249" s="12">
        <v>5.1994168878256808E-2</v>
      </c>
      <c r="E1249" s="12">
        <v>-6.1158482799177349E-3</v>
      </c>
      <c r="F1249" s="12">
        <v>-1.7765271026974783E-2</v>
      </c>
      <c r="G1249" s="12">
        <v>5.88601505461539E-3</v>
      </c>
      <c r="H1249" s="12">
        <v>-1.1072398724459642E-2</v>
      </c>
      <c r="I1249" s="12">
        <v>-8.8110902255644774E-4</v>
      </c>
      <c r="J1249" s="12">
        <v>-7.2989307298930717E-3</v>
      </c>
      <c r="K1249" s="12">
        <v>3.1149615496932626E-3</v>
      </c>
      <c r="L1249" s="12">
        <v>-1.292066668085734E-2</v>
      </c>
      <c r="M1249" s="13">
        <f t="shared" si="127"/>
        <v>1.1757870201591712E-2</v>
      </c>
      <c r="N1249" s="32">
        <f t="shared" si="128"/>
        <v>292.12431691382977</v>
      </c>
      <c r="O1249" s="32">
        <f t="shared" si="129"/>
        <v>194.19935313143222</v>
      </c>
      <c r="P1249" s="12" t="str">
        <f t="shared" si="130"/>
        <v/>
      </c>
      <c r="Q1249" s="13">
        <f t="shared" si="131"/>
        <v>1.6766931706841091E-2</v>
      </c>
      <c r="R1249" s="49">
        <f t="shared" si="132"/>
        <v>1</v>
      </c>
    </row>
    <row r="1250" spans="1:18" x14ac:dyDescent="0.35">
      <c r="A1250" s="64" t="s">
        <v>77</v>
      </c>
      <c r="B1250" s="14">
        <v>5.9018398963164298E-3</v>
      </c>
      <c r="C1250" s="12">
        <v>-5.4891579398138601E-3</v>
      </c>
      <c r="D1250" s="12">
        <v>1.0197555429221072E-2</v>
      </c>
      <c r="E1250" s="12">
        <v>8.7371555923712041E-3</v>
      </c>
      <c r="F1250" s="12">
        <v>-4.2829031137863183E-3</v>
      </c>
      <c r="G1250" s="12">
        <v>1.1140494007764623E-2</v>
      </c>
      <c r="H1250" s="12">
        <v>7.2851043501627188E-3</v>
      </c>
      <c r="I1250" s="12">
        <v>4.4094303016051217E-3</v>
      </c>
      <c r="J1250" s="12">
        <v>3.62010022010959E-2</v>
      </c>
      <c r="K1250" s="12">
        <v>1.067442988840428E-3</v>
      </c>
      <c r="L1250" s="12">
        <v>4.3992064176656687E-3</v>
      </c>
      <c r="M1250" s="13">
        <f t="shared" si="127"/>
        <v>5.8505877327069073E-3</v>
      </c>
      <c r="N1250" s="32">
        <f t="shared" si="128"/>
        <v>293.83341585879117</v>
      </c>
      <c r="O1250" s="32">
        <f t="shared" si="129"/>
        <v>195.34548662158215</v>
      </c>
      <c r="P1250" s="12" t="str">
        <f t="shared" si="130"/>
        <v/>
      </c>
      <c r="Q1250" s="13">
        <f t="shared" si="131"/>
        <v>-5.1252163609522526E-5</v>
      </c>
      <c r="R1250" s="49">
        <f t="shared" si="132"/>
        <v>1</v>
      </c>
    </row>
    <row r="1251" spans="1:18" x14ac:dyDescent="0.35">
      <c r="A1251" s="64">
        <v>9.75</v>
      </c>
      <c r="B1251" s="14">
        <v>2.6355795716241914E-3</v>
      </c>
      <c r="C1251" s="12">
        <v>-4.0319423784546116E-3</v>
      </c>
      <c r="D1251" s="12">
        <v>-1.5862966480250429E-2</v>
      </c>
      <c r="E1251" s="12">
        <v>6.1392875298167393E-3</v>
      </c>
      <c r="F1251" s="12">
        <v>3.1969309462915874E-3</v>
      </c>
      <c r="G1251" s="12">
        <v>1.0628234377608292E-2</v>
      </c>
      <c r="H1251" s="12">
        <v>8.2698520911759221E-3</v>
      </c>
      <c r="I1251" s="12">
        <v>1.8438304846639664E-3</v>
      </c>
      <c r="J1251" s="12">
        <v>-1.8891801500497074E-2</v>
      </c>
      <c r="K1251" s="12">
        <v>-7.7549437766577523E-4</v>
      </c>
      <c r="L1251" s="12">
        <v>1.2560116798351117E-2</v>
      </c>
      <c r="M1251" s="13">
        <f t="shared" si="127"/>
        <v>-1.1848869422001061E-3</v>
      </c>
      <c r="N1251" s="32">
        <f t="shared" si="128"/>
        <v>293.48525648115805</v>
      </c>
      <c r="O1251" s="32">
        <f t="shared" si="129"/>
        <v>195.86033519553098</v>
      </c>
      <c r="P1251" s="12">
        <f t="shared" si="130"/>
        <v>-1.1848869422001061E-3</v>
      </c>
      <c r="Q1251" s="13">
        <f t="shared" si="131"/>
        <v>-3.8204665138242976E-3</v>
      </c>
      <c r="R1251" s="49" t="str">
        <f t="shared" si="132"/>
        <v/>
      </c>
    </row>
    <row r="1252" spans="1:18" x14ac:dyDescent="0.35">
      <c r="A1252" s="64" t="s">
        <v>77</v>
      </c>
      <c r="B1252" s="14">
        <v>4.0908483593822265E-3</v>
      </c>
      <c r="C1252" s="12">
        <v>7.8607082498138858E-4</v>
      </c>
      <c r="D1252" s="12">
        <v>8.4345961401002256E-3</v>
      </c>
      <c r="E1252" s="12">
        <v>6.5099106101826898E-3</v>
      </c>
      <c r="F1252" s="12">
        <v>3.4764470710935136E-4</v>
      </c>
      <c r="G1252" s="12">
        <v>2.0922805858385463E-2</v>
      </c>
      <c r="H1252" s="12">
        <v>3.5865475070553376E-3</v>
      </c>
      <c r="I1252" s="12">
        <v>-2.9651485495603369E-2</v>
      </c>
      <c r="J1252" s="12">
        <v>-5.7582458079969978E-3</v>
      </c>
      <c r="K1252" s="12">
        <v>-1.9402405898327757E-4</v>
      </c>
      <c r="L1252" s="12">
        <v>1.1746994338542427E-2</v>
      </c>
      <c r="M1252" s="13">
        <f t="shared" si="127"/>
        <v>-5.3355344589101419E-4</v>
      </c>
      <c r="N1252" s="32">
        <f t="shared" si="128"/>
        <v>293.32866641124434</v>
      </c>
      <c r="O1252" s="32">
        <f t="shared" si="129"/>
        <v>196.66157012643367</v>
      </c>
      <c r="P1252" s="12">
        <f t="shared" si="130"/>
        <v>-5.3355344589101419E-4</v>
      </c>
      <c r="Q1252" s="13">
        <f t="shared" si="131"/>
        <v>-4.6244018052732407E-3</v>
      </c>
      <c r="R1252" s="49" t="str">
        <f t="shared" si="132"/>
        <v/>
      </c>
    </row>
    <row r="1253" spans="1:18" x14ac:dyDescent="0.35">
      <c r="A1253" s="64" t="s">
        <v>77</v>
      </c>
      <c r="B1253" s="14">
        <v>3.3998857734067744E-3</v>
      </c>
      <c r="C1253" s="12">
        <v>3.2203589522050713E-3</v>
      </c>
      <c r="D1253" s="12">
        <v>1.5345903033739727E-2</v>
      </c>
      <c r="E1253" s="12">
        <v>3.3980113910609955E-3</v>
      </c>
      <c r="F1253" s="12">
        <v>8.6880973066898459E-3</v>
      </c>
      <c r="G1253" s="12">
        <v>3.3976917268905282E-3</v>
      </c>
      <c r="H1253" s="12">
        <v>1.8893901224442011E-2</v>
      </c>
      <c r="I1253" s="12">
        <v>-1.0838150289017356E-2</v>
      </c>
      <c r="J1253" s="12">
        <v>-2.9189639994441352E-3</v>
      </c>
      <c r="K1253" s="12">
        <v>-1.0673394139336434E-2</v>
      </c>
      <c r="L1253" s="12">
        <v>7.6915016242271594E-3</v>
      </c>
      <c r="M1253" s="13">
        <f t="shared" si="127"/>
        <v>1.5195988416420072E-3</v>
      </c>
      <c r="N1253" s="32">
        <f t="shared" si="128"/>
        <v>293.77440831294331</v>
      </c>
      <c r="O1253" s="32">
        <f t="shared" si="129"/>
        <v>197.33019700088238</v>
      </c>
      <c r="P1253" s="12" t="str">
        <f t="shared" si="130"/>
        <v/>
      </c>
      <c r="Q1253" s="13">
        <f t="shared" si="131"/>
        <v>-1.8802869317647672E-3</v>
      </c>
      <c r="R1253" s="49">
        <f t="shared" si="132"/>
        <v>1</v>
      </c>
    </row>
    <row r="1254" spans="1:18" x14ac:dyDescent="0.35">
      <c r="A1254" s="64" t="s">
        <v>77</v>
      </c>
      <c r="B1254" s="14">
        <v>6.1836929312208966E-4</v>
      </c>
      <c r="C1254" s="12">
        <v>6.5766294773927925E-3</v>
      </c>
      <c r="D1254" s="12">
        <v>8.0282034276946135E-4</v>
      </c>
      <c r="E1254" s="12">
        <v>-7.6388755267361441E-3</v>
      </c>
      <c r="F1254" s="12">
        <v>1.5561297731840451E-2</v>
      </c>
      <c r="G1254" s="12">
        <v>-3.7624294544491566E-4</v>
      </c>
      <c r="H1254" s="12">
        <v>-5.4049391944340774E-3</v>
      </c>
      <c r="I1254" s="12">
        <v>5.8436815193572134E-3</v>
      </c>
      <c r="J1254" s="12">
        <v>1.0362453531598703E-2</v>
      </c>
      <c r="K1254" s="12">
        <v>-2.5500196155354704E-3</v>
      </c>
      <c r="L1254" s="12">
        <v>2.0277858658125592E-2</v>
      </c>
      <c r="M1254" s="13">
        <f t="shared" si="127"/>
        <v>3.1637995908290039E-3</v>
      </c>
      <c r="N1254" s="32">
        <f t="shared" si="128"/>
        <v>294.70385166575983</v>
      </c>
      <c r="O1254" s="32">
        <f t="shared" si="129"/>
        <v>197.45221993531345</v>
      </c>
      <c r="P1254" s="12" t="str">
        <f t="shared" si="130"/>
        <v/>
      </c>
      <c r="Q1254" s="13">
        <f t="shared" si="131"/>
        <v>2.5454302977069142E-3</v>
      </c>
      <c r="R1254" s="49">
        <f t="shared" si="132"/>
        <v>1</v>
      </c>
    </row>
    <row r="1255" spans="1:18" x14ac:dyDescent="0.35">
      <c r="A1255" s="64" t="s">
        <v>77</v>
      </c>
      <c r="B1255" s="14">
        <v>6.552152903416264E-5</v>
      </c>
      <c r="C1255" s="12">
        <v>3.4612841753198786E-3</v>
      </c>
      <c r="D1255" s="12">
        <v>5.7547433035713969E-3</v>
      </c>
      <c r="E1255" s="12">
        <v>3.1217280024820049E-3</v>
      </c>
      <c r="F1255" s="12">
        <v>1.8319574804930294E-2</v>
      </c>
      <c r="G1255" s="12">
        <v>1.4302613184213442E-2</v>
      </c>
      <c r="H1255" s="12">
        <v>1.1244399479693579E-2</v>
      </c>
      <c r="I1255" s="12">
        <v>-7.2621641249093205E-4</v>
      </c>
      <c r="J1255" s="12">
        <v>-5.1970749206641242E-3</v>
      </c>
      <c r="K1255" s="12">
        <v>3.6381514257619596E-3</v>
      </c>
      <c r="L1255" s="12">
        <v>1.4839880139429606E-2</v>
      </c>
      <c r="M1255" s="13">
        <f t="shared" si="127"/>
        <v>5.2131152507815161E-3</v>
      </c>
      <c r="N1255" s="32">
        <f t="shared" si="128"/>
        <v>296.24017680934264</v>
      </c>
      <c r="O1255" s="32">
        <f t="shared" si="129"/>
        <v>197.4651573066748</v>
      </c>
      <c r="P1255" s="12" t="str">
        <f t="shared" si="130"/>
        <v/>
      </c>
      <c r="Q1255" s="13">
        <f t="shared" si="131"/>
        <v>5.1475937217473535E-3</v>
      </c>
      <c r="R1255" s="49">
        <f t="shared" si="132"/>
        <v>1</v>
      </c>
    </row>
    <row r="1256" spans="1:18" x14ac:dyDescent="0.35">
      <c r="A1256" s="64">
        <v>9.8699999999999992</v>
      </c>
      <c r="B1256" s="14">
        <v>3.6466298082578064E-3</v>
      </c>
      <c r="C1256" s="12">
        <v>-5.1546391752577136E-3</v>
      </c>
      <c r="D1256" s="12">
        <v>3.6411554599993234E-3</v>
      </c>
      <c r="E1256" s="12">
        <v>2.1687445636416447E-2</v>
      </c>
      <c r="F1256" s="12">
        <v>-3.9700166574125895E-3</v>
      </c>
      <c r="G1256" s="12">
        <v>-2.5445292620864812E-3</v>
      </c>
      <c r="H1256" s="12">
        <v>-1.6007317630917228E-3</v>
      </c>
      <c r="I1256" s="12">
        <v>5.2991763565890526E-3</v>
      </c>
      <c r="J1256" s="12">
        <v>1.5857605177993506E-2</v>
      </c>
      <c r="K1256" s="12">
        <v>6.1722347408641465E-3</v>
      </c>
      <c r="L1256" s="12">
        <v>-4.9613337350608022E-3</v>
      </c>
      <c r="M1256" s="13">
        <f t="shared" si="127"/>
        <v>5.5702972450235649E-3</v>
      </c>
      <c r="N1256" s="32">
        <f t="shared" si="128"/>
        <v>297.89032265008899</v>
      </c>
      <c r="O1256" s="32">
        <f t="shared" si="129"/>
        <v>198.18523963540164</v>
      </c>
      <c r="P1256" s="12" t="str">
        <f t="shared" si="130"/>
        <v/>
      </c>
      <c r="Q1256" s="13">
        <f t="shared" si="131"/>
        <v>1.9236674367657585E-3</v>
      </c>
      <c r="R1256" s="49">
        <f t="shared" si="132"/>
        <v>1</v>
      </c>
    </row>
    <row r="1257" spans="1:18" x14ac:dyDescent="0.35">
      <c r="A1257" s="64" t="s">
        <v>77</v>
      </c>
      <c r="B1257" s="14">
        <v>-3.8114143626080121E-3</v>
      </c>
      <c r="C1257" s="12">
        <v>-8.1810744477761599E-4</v>
      </c>
      <c r="D1257" s="12">
        <v>1.5375578743694218E-2</v>
      </c>
      <c r="E1257" s="12">
        <v>-8.6838072535331268E-3</v>
      </c>
      <c r="F1257" s="12">
        <v>1.3629902165733121E-2</v>
      </c>
      <c r="G1257" s="12">
        <v>3.8796768707483054E-3</v>
      </c>
      <c r="H1257" s="12">
        <v>8.9899221255154149E-3</v>
      </c>
      <c r="I1257" s="12">
        <v>-1.2108798457784786E-2</v>
      </c>
      <c r="J1257" s="12">
        <v>9.5116734173759099E-3</v>
      </c>
      <c r="K1257" s="12">
        <v>5.2580331061342633E-3</v>
      </c>
      <c r="L1257" s="12">
        <v>-1.7501715854495559E-2</v>
      </c>
      <c r="M1257" s="13">
        <f t="shared" si="127"/>
        <v>-1.1166500360000548E-3</v>
      </c>
      <c r="N1257" s="32">
        <f t="shared" si="128"/>
        <v>297.55768341057768</v>
      </c>
      <c r="O1257" s="32">
        <f t="shared" si="129"/>
        <v>197.42987356659836</v>
      </c>
      <c r="P1257" s="12">
        <f t="shared" si="130"/>
        <v>-1.1166500360000548E-3</v>
      </c>
      <c r="Q1257" s="13">
        <f t="shared" si="131"/>
        <v>2.6947643266079574E-3</v>
      </c>
      <c r="R1257" s="49" t="str">
        <f t="shared" si="132"/>
        <v/>
      </c>
    </row>
    <row r="1258" spans="1:18" x14ac:dyDescent="0.35">
      <c r="A1258" s="64" t="s">
        <v>77</v>
      </c>
      <c r="B1258" s="14">
        <v>5.8276082381798489E-3</v>
      </c>
      <c r="C1258" s="12">
        <v>6.1603243917653927E-3</v>
      </c>
      <c r="D1258" s="12">
        <v>-1.500663558716453E-2</v>
      </c>
      <c r="E1258" s="12">
        <v>1.6603687163632141E-3</v>
      </c>
      <c r="F1258" s="12">
        <v>1.72138810977287E-2</v>
      </c>
      <c r="G1258" s="12">
        <v>4.2352692042988416E-3</v>
      </c>
      <c r="H1258" s="12">
        <v>-3.0077748141422722E-3</v>
      </c>
      <c r="I1258" s="12">
        <v>-1.2653596365521325E-2</v>
      </c>
      <c r="J1258" s="12">
        <v>1.5778559192137775E-2</v>
      </c>
      <c r="K1258" s="12">
        <v>-3.2932971716388426E-3</v>
      </c>
      <c r="L1258" s="12">
        <v>3.1661564381253671E-2</v>
      </c>
      <c r="M1258" s="13">
        <f t="shared" si="127"/>
        <v>-1.6770111697158654E-3</v>
      </c>
      <c r="N1258" s="32">
        <f t="shared" si="128"/>
        <v>297.05867585186337</v>
      </c>
      <c r="O1258" s="32">
        <f t="shared" si="129"/>
        <v>198.58041752425788</v>
      </c>
      <c r="P1258" s="12">
        <f t="shared" si="130"/>
        <v>-1.6770111697158654E-3</v>
      </c>
      <c r="Q1258" s="13">
        <f t="shared" si="131"/>
        <v>-7.5046194078957143E-3</v>
      </c>
      <c r="R1258" s="49" t="str">
        <f t="shared" si="132"/>
        <v/>
      </c>
    </row>
    <row r="1259" spans="1:18" x14ac:dyDescent="0.35">
      <c r="A1259" s="64" t="s">
        <v>77</v>
      </c>
      <c r="B1259" s="14">
        <v>-2.755518440207827E-3</v>
      </c>
      <c r="C1259" s="12">
        <v>-1.5577772611020779E-2</v>
      </c>
      <c r="D1259" s="12">
        <v>-4.2492917847024581E-3</v>
      </c>
      <c r="E1259" s="12">
        <v>-4.6680003810612991E-3</v>
      </c>
      <c r="F1259" s="12">
        <v>-6.0283304498270907E-3</v>
      </c>
      <c r="G1259" s="12">
        <v>7.327745268596253E-3</v>
      </c>
      <c r="H1259" s="12">
        <v>-1.2295081967213073E-2</v>
      </c>
      <c r="I1259" s="12">
        <v>1.9146439379902347E-3</v>
      </c>
      <c r="J1259" s="12">
        <v>-4.1363394283685406E-2</v>
      </c>
      <c r="K1259" s="12">
        <v>-1.0981535471331516E-2</v>
      </c>
      <c r="L1259" s="12">
        <v>-3.5051382139726917E-3</v>
      </c>
      <c r="M1259" s="13">
        <f t="shared" si="127"/>
        <v>-4.5004806685258201E-3</v>
      </c>
      <c r="N1259" s="32">
        <f t="shared" si="128"/>
        <v>295.72176902377419</v>
      </c>
      <c r="O1259" s="32">
        <f t="shared" si="129"/>
        <v>198.03322552190562</v>
      </c>
      <c r="P1259" s="12">
        <f t="shared" si="130"/>
        <v>-4.5004806685258201E-3</v>
      </c>
      <c r="Q1259" s="13">
        <f t="shared" si="131"/>
        <v>-1.7449622283179931E-3</v>
      </c>
      <c r="R1259" s="49" t="str">
        <f t="shared" si="132"/>
        <v/>
      </c>
    </row>
    <row r="1260" spans="1:18" x14ac:dyDescent="0.35">
      <c r="A1260" s="64">
        <v>9.65</v>
      </c>
      <c r="B1260" s="14">
        <v>-2.7111658161485086E-2</v>
      </c>
      <c r="C1260" s="12">
        <v>-3.4522122500393548E-2</v>
      </c>
      <c r="D1260" s="12">
        <v>-3.6116989903896224E-2</v>
      </c>
      <c r="E1260" s="12">
        <v>-2.1898928024502329E-2</v>
      </c>
      <c r="F1260" s="12">
        <v>-3.5872610079142775E-2</v>
      </c>
      <c r="G1260" s="12">
        <v>-1.8840276324053606E-3</v>
      </c>
      <c r="H1260" s="12">
        <v>-9.7683264177040874E-3</v>
      </c>
      <c r="I1260" s="12">
        <v>-2.5212674146221192E-2</v>
      </c>
      <c r="J1260" s="12">
        <v>-2.4398148148148224E-2</v>
      </c>
      <c r="K1260" s="12">
        <v>6.8782548884738226E-4</v>
      </c>
      <c r="L1260" s="12">
        <v>-1.81069629866496E-2</v>
      </c>
      <c r="M1260" s="13">
        <f t="shared" si="127"/>
        <v>-2.0742042567651151E-2</v>
      </c>
      <c r="N1260" s="32">
        <f t="shared" si="128"/>
        <v>289.58789550250196</v>
      </c>
      <c r="O1260" s="32">
        <f t="shared" si="129"/>
        <v>192.66421640693943</v>
      </c>
      <c r="P1260" s="12">
        <f t="shared" si="130"/>
        <v>-2.0742042567651151E-2</v>
      </c>
      <c r="Q1260" s="13">
        <f t="shared" si="131"/>
        <v>6.3696155938339355E-3</v>
      </c>
      <c r="R1260" s="49" t="str">
        <f t="shared" si="132"/>
        <v/>
      </c>
    </row>
    <row r="1261" spans="1:18" x14ac:dyDescent="0.35">
      <c r="A1261" s="64" t="s">
        <v>77</v>
      </c>
      <c r="B1261" s="14">
        <v>1.5598602672868944E-2</v>
      </c>
      <c r="C1261" s="12">
        <v>9.7443633546703268E-3</v>
      </c>
      <c r="D1261" s="12">
        <v>-2.1596717298969503E-3</v>
      </c>
      <c r="E1261" s="12">
        <v>6.0474401127288413E-3</v>
      </c>
      <c r="F1261" s="12">
        <v>1.1734837799717956E-2</v>
      </c>
      <c r="G1261" s="12">
        <v>9.4379194630866969E-4</v>
      </c>
      <c r="H1261" s="12">
        <v>-1.0184781027207102E-3</v>
      </c>
      <c r="I1261" s="12">
        <v>2.1691013722886288E-2</v>
      </c>
      <c r="J1261" s="12">
        <v>2.2920324585963048E-2</v>
      </c>
      <c r="K1261" s="12">
        <v>2.74941084053415E-3</v>
      </c>
      <c r="L1261" s="12">
        <v>2.7396702625686942E-2</v>
      </c>
      <c r="M1261" s="13">
        <f t="shared" si="127"/>
        <v>9.7000785766303346E-3</v>
      </c>
      <c r="N1261" s="32">
        <f t="shared" si="128"/>
        <v>292.39692084371728</v>
      </c>
      <c r="O1261" s="32">
        <f t="shared" si="129"/>
        <v>195.66950896795092</v>
      </c>
      <c r="P1261" s="12" t="str">
        <f t="shared" si="130"/>
        <v/>
      </c>
      <c r="Q1261" s="13">
        <f t="shared" si="131"/>
        <v>-5.8985240962386096E-3</v>
      </c>
      <c r="R1261" s="49">
        <f t="shared" si="132"/>
        <v>1</v>
      </c>
    </row>
    <row r="1262" spans="1:18" x14ac:dyDescent="0.35">
      <c r="A1262" s="64" t="s">
        <v>77</v>
      </c>
      <c r="B1262" s="14">
        <v>-1.5643032313906735E-3</v>
      </c>
      <c r="C1262" s="12">
        <v>4.4415731244451528E-4</v>
      </c>
      <c r="D1262" s="12">
        <v>-3.8597503787607401E-3</v>
      </c>
      <c r="E1262" s="12">
        <v>-9.3376130726563478E-4</v>
      </c>
      <c r="F1262" s="12">
        <v>3.5409580103717975E-3</v>
      </c>
      <c r="G1262" s="12">
        <v>-2.619172341540299E-4</v>
      </c>
      <c r="H1262" s="12">
        <v>1.4797553160500909E-2</v>
      </c>
      <c r="I1262" s="12">
        <v>3.0112651646447164E-2</v>
      </c>
      <c r="J1262" s="12">
        <v>-5.8452403043235401E-3</v>
      </c>
      <c r="K1262" s="12">
        <v>4.9843321582451861E-2</v>
      </c>
      <c r="L1262" s="12">
        <v>4.4991679213883806E-2</v>
      </c>
      <c r="M1262" s="13">
        <f t="shared" si="127"/>
        <v>2.3416794039884059E-2</v>
      </c>
      <c r="N1262" s="32">
        <f t="shared" si="128"/>
        <v>299.24391931701092</v>
      </c>
      <c r="O1262" s="32">
        <f t="shared" si="129"/>
        <v>195.36342252278772</v>
      </c>
      <c r="P1262" s="12" t="str">
        <f t="shared" si="130"/>
        <v/>
      </c>
      <c r="Q1262" s="13">
        <f t="shared" si="131"/>
        <v>2.4981097271274733E-2</v>
      </c>
      <c r="R1262" s="49">
        <f t="shared" si="132"/>
        <v>1</v>
      </c>
    </row>
    <row r="1263" spans="1:18" x14ac:dyDescent="0.35">
      <c r="A1263" s="64" t="s">
        <v>77</v>
      </c>
      <c r="B1263" s="14">
        <v>4.0260011950075114E-3</v>
      </c>
      <c r="C1263" s="12">
        <v>6.336521774226167E-3</v>
      </c>
      <c r="D1263" s="12">
        <v>1.6657613615788547E-2</v>
      </c>
      <c r="E1263" s="12">
        <v>-2.7260159277231466E-4</v>
      </c>
      <c r="F1263" s="12">
        <v>3.3895479676602225E-3</v>
      </c>
      <c r="G1263" s="12">
        <v>1.6767094576892738E-3</v>
      </c>
      <c r="H1263" s="12">
        <v>-7.7214535851656274E-3</v>
      </c>
      <c r="I1263" s="12">
        <v>-6.5795403334835134E-3</v>
      </c>
      <c r="J1263" s="12">
        <v>-1.3999066728884735E-3</v>
      </c>
      <c r="K1263" s="12">
        <v>1.6976028355563999E-2</v>
      </c>
      <c r="L1263" s="12">
        <v>1.2474643107664773E-2</v>
      </c>
      <c r="M1263" s="13">
        <f t="shared" si="127"/>
        <v>9.1908351222152601E-3</v>
      </c>
      <c r="N1263" s="32">
        <f t="shared" si="128"/>
        <v>301.99422084077901</v>
      </c>
      <c r="O1263" s="32">
        <f t="shared" si="129"/>
        <v>196.14995589532521</v>
      </c>
      <c r="P1263" s="12" t="str">
        <f t="shared" si="130"/>
        <v/>
      </c>
      <c r="Q1263" s="13">
        <f t="shared" si="131"/>
        <v>5.1648339272077487E-3</v>
      </c>
      <c r="R1263" s="49">
        <f t="shared" si="132"/>
        <v>1</v>
      </c>
    </row>
    <row r="1264" spans="1:18" x14ac:dyDescent="0.35">
      <c r="A1264" s="64" t="s">
        <v>77</v>
      </c>
      <c r="B1264" s="14">
        <v>-6.2943520220175575E-3</v>
      </c>
      <c r="C1264" s="12">
        <v>-7.5800112296463551E-3</v>
      </c>
      <c r="D1264" s="12">
        <v>-1.7025823686553809E-2</v>
      </c>
      <c r="E1264" s="12">
        <v>-3.5447870206258836E-3</v>
      </c>
      <c r="F1264" s="12">
        <v>-1.2404817942683E-2</v>
      </c>
      <c r="G1264" s="12">
        <v>4.969398964272731E-3</v>
      </c>
      <c r="H1264" s="12">
        <v>-2.9766553848824095E-2</v>
      </c>
      <c r="I1264" s="12">
        <v>-2.2802879090304318E-2</v>
      </c>
      <c r="J1264" s="12">
        <v>-9.8598130841122122E-3</v>
      </c>
      <c r="K1264" s="12">
        <v>-2.3479776208383041E-2</v>
      </c>
      <c r="L1264" s="12">
        <v>1.2938863402303324E-2</v>
      </c>
      <c r="M1264" s="13">
        <f t="shared" si="127"/>
        <v>-1.2611473613420545E-2</v>
      </c>
      <c r="N1264" s="32">
        <f t="shared" si="128"/>
        <v>298.18562869324001</v>
      </c>
      <c r="O1264" s="32">
        <f t="shared" si="129"/>
        <v>194.91531902381681</v>
      </c>
      <c r="P1264" s="12">
        <f t="shared" si="130"/>
        <v>-1.2611473613420545E-2</v>
      </c>
      <c r="Q1264" s="13">
        <f t="shared" si="131"/>
        <v>-6.3171215914029875E-3</v>
      </c>
      <c r="R1264" s="49" t="str">
        <f t="shared" si="132"/>
        <v/>
      </c>
    </row>
    <row r="1265" spans="1:18" x14ac:dyDescent="0.35">
      <c r="A1265" s="64">
        <v>9.35</v>
      </c>
      <c r="B1265" s="14">
        <v>5.270724249404557E-3</v>
      </c>
      <c r="C1265" s="12">
        <v>1.9559506971105201E-2</v>
      </c>
      <c r="D1265" s="12">
        <v>1.9241221871942438E-2</v>
      </c>
      <c r="E1265" s="12">
        <v>3.8505893160807325E-3</v>
      </c>
      <c r="F1265" s="12">
        <v>-1.9625984803883778E-4</v>
      </c>
      <c r="G1265" s="12">
        <v>5.7255881740578829E-3</v>
      </c>
      <c r="H1265" s="12">
        <v>1.9350029815146108E-2</v>
      </c>
      <c r="I1265" s="12">
        <v>7.2728398118346194E-2</v>
      </c>
      <c r="J1265" s="12">
        <v>4.9554013875123815E-3</v>
      </c>
      <c r="K1265" s="12">
        <v>1.1834319526627279E-2</v>
      </c>
      <c r="L1265" s="12">
        <v>-2.565808932268554E-2</v>
      </c>
      <c r="M1265" s="13">
        <f t="shared" si="127"/>
        <v>1.8105559203345594E-2</v>
      </c>
      <c r="N1265" s="32">
        <f t="shared" si="128"/>
        <v>303.58444624713229</v>
      </c>
      <c r="O1265" s="32">
        <f t="shared" si="129"/>
        <v>195.94266392237606</v>
      </c>
      <c r="P1265" s="12" t="str">
        <f t="shared" si="130"/>
        <v/>
      </c>
      <c r="Q1265" s="13">
        <f t="shared" si="131"/>
        <v>1.2834834953941037E-2</v>
      </c>
      <c r="R1265" s="49">
        <f t="shared" si="132"/>
        <v>1</v>
      </c>
    </row>
    <row r="1266" spans="1:18" x14ac:dyDescent="0.35">
      <c r="A1266" s="64" t="s">
        <v>77</v>
      </c>
      <c r="B1266" s="14">
        <v>1.0672252892777845E-2</v>
      </c>
      <c r="C1266" s="12">
        <v>3.943874113123802E-2</v>
      </c>
      <c r="D1266" s="12">
        <v>8.4257679180888001E-3</v>
      </c>
      <c r="E1266" s="12">
        <v>6.2502433895399445E-3</v>
      </c>
      <c r="F1266" s="12">
        <v>2.2097588334268004E-2</v>
      </c>
      <c r="G1266" s="12">
        <v>2.5877238381120105E-3</v>
      </c>
      <c r="H1266" s="12">
        <v>7.3707917751324459E-3</v>
      </c>
      <c r="I1266" s="12">
        <v>8.251110726444022E-3</v>
      </c>
      <c r="J1266" s="12">
        <v>1.8221095144172139E-2</v>
      </c>
      <c r="K1266" s="12">
        <v>-6.3120764875151947E-3</v>
      </c>
      <c r="L1266" s="12">
        <v>7.7787053198754563E-3</v>
      </c>
      <c r="M1266" s="13">
        <f t="shared" si="127"/>
        <v>4.6818860787307395E-3</v>
      </c>
      <c r="N1266" s="32">
        <f t="shared" si="128"/>
        <v>305.00579403973592</v>
      </c>
      <c r="O1266" s="32">
        <f t="shared" si="129"/>
        <v>198.03381358424022</v>
      </c>
      <c r="P1266" s="12" t="str">
        <f t="shared" si="130"/>
        <v/>
      </c>
      <c r="Q1266" s="13">
        <f t="shared" si="131"/>
        <v>-5.9903668140471053E-3</v>
      </c>
      <c r="R1266" s="49">
        <f t="shared" si="132"/>
        <v>1</v>
      </c>
    </row>
    <row r="1267" spans="1:18" x14ac:dyDescent="0.35">
      <c r="A1267" s="64" t="s">
        <v>77</v>
      </c>
      <c r="B1267" s="14">
        <v>3.2664551389505192E-5</v>
      </c>
      <c r="C1267" s="12">
        <v>2.0210494203782847E-3</v>
      </c>
      <c r="D1267" s="12">
        <v>-5.6407544509077256E-3</v>
      </c>
      <c r="E1267" s="12">
        <v>1.6834691073743802E-3</v>
      </c>
      <c r="F1267" s="12">
        <v>2.4418349429322639E-3</v>
      </c>
      <c r="G1267" s="12">
        <v>-9.4982448895313265E-3</v>
      </c>
      <c r="H1267" s="12">
        <v>8.1298452425886403E-3</v>
      </c>
      <c r="I1267" s="12">
        <v>1.6424401968639035E-2</v>
      </c>
      <c r="J1267" s="12">
        <v>2.0293330873535353E-3</v>
      </c>
      <c r="K1267" s="12">
        <v>-7.7533862680989607E-3</v>
      </c>
      <c r="L1267" s="12">
        <v>-1.2293384540080554E-2</v>
      </c>
      <c r="M1267" s="13">
        <f t="shared" si="127"/>
        <v>-1.9791882649377963E-3</v>
      </c>
      <c r="N1267" s="32">
        <f t="shared" si="128"/>
        <v>304.40213015143445</v>
      </c>
      <c r="O1267" s="32">
        <f t="shared" si="129"/>
        <v>198.04028226992091</v>
      </c>
      <c r="P1267" s="12">
        <f t="shared" si="130"/>
        <v>-1.9791882649377963E-3</v>
      </c>
      <c r="Q1267" s="13">
        <f t="shared" si="131"/>
        <v>-2.0118528163273015E-3</v>
      </c>
      <c r="R1267" s="49" t="str">
        <f t="shared" si="132"/>
        <v/>
      </c>
    </row>
    <row r="1268" spans="1:18" x14ac:dyDescent="0.35">
      <c r="A1268" s="64" t="s">
        <v>77</v>
      </c>
      <c r="B1268" s="14">
        <v>-5.3375103001329638E-3</v>
      </c>
      <c r="C1268" s="12">
        <v>-1.6440232903299434E-2</v>
      </c>
      <c r="D1268" s="12">
        <v>1.9358269810317186E-2</v>
      </c>
      <c r="E1268" s="12">
        <v>5.563497276204421E-3</v>
      </c>
      <c r="F1268" s="12">
        <v>-1.0619372143306771E-2</v>
      </c>
      <c r="G1268" s="12">
        <v>5.5242860120909842E-3</v>
      </c>
      <c r="H1268" s="12">
        <v>-5.3281875522017685E-3</v>
      </c>
      <c r="I1268" s="12">
        <v>-9.0648049096335725E-3</v>
      </c>
      <c r="J1268" s="12">
        <v>-3.0838626530423907E-3</v>
      </c>
      <c r="K1268" s="12">
        <v>8.6612690642062784E-3</v>
      </c>
      <c r="L1268" s="12">
        <v>-2.0470790050509891E-2</v>
      </c>
      <c r="M1268" s="13">
        <f t="shared" si="127"/>
        <v>2.7989036422424438E-3</v>
      </c>
      <c r="N1268" s="32">
        <f t="shared" si="128"/>
        <v>305.25412238222168</v>
      </c>
      <c r="O1268" s="32">
        <f t="shared" si="129"/>
        <v>196.98324022346395</v>
      </c>
      <c r="P1268" s="12" t="str">
        <f t="shared" si="130"/>
        <v/>
      </c>
      <c r="Q1268" s="13">
        <f t="shared" si="131"/>
        <v>8.1364139423754072E-3</v>
      </c>
      <c r="R1268" s="49">
        <f t="shared" si="132"/>
        <v>1</v>
      </c>
    </row>
    <row r="1269" spans="1:18" x14ac:dyDescent="0.35">
      <c r="A1269" s="64" t="s">
        <v>77</v>
      </c>
      <c r="B1269" s="12">
        <v>5.8273875272412123E-3</v>
      </c>
      <c r="C1269" s="12">
        <v>4.3722189978718795E-3</v>
      </c>
      <c r="D1269" s="12">
        <v>-8.7301311258738412E-3</v>
      </c>
      <c r="E1269" s="12">
        <v>3.8421639066976709E-5</v>
      </c>
      <c r="F1269" s="12">
        <v>-2.8769813826109436E-3</v>
      </c>
      <c r="G1269" s="12">
        <v>-2.4359904633565188E-3</v>
      </c>
      <c r="H1269" s="12">
        <v>1.7373175816537412E-3</v>
      </c>
      <c r="I1269" s="12">
        <v>8.3238636363636154E-3</v>
      </c>
      <c r="J1269" s="12">
        <v>5.4480816288839939E-3</v>
      </c>
      <c r="K1269" s="12">
        <v>-2.6134030240806405E-3</v>
      </c>
      <c r="L1269" s="12">
        <v>1.2823256990523779E-2</v>
      </c>
      <c r="M1269" s="13">
        <f t="shared" si="127"/>
        <v>8.0755749138871616E-4</v>
      </c>
      <c r="N1269" s="32">
        <f t="shared" si="128"/>
        <v>305.50063263552869</v>
      </c>
      <c r="O1269" s="32">
        <f t="shared" si="129"/>
        <v>198.13113790061772</v>
      </c>
      <c r="P1269" s="12" t="str">
        <f t="shared" si="130"/>
        <v/>
      </c>
      <c r="Q1269" s="13">
        <f t="shared" si="131"/>
        <v>-5.0198300358524958E-3</v>
      </c>
      <c r="R1269" s="49">
        <f t="shared" si="132"/>
        <v>1</v>
      </c>
    </row>
    <row r="1270" spans="1:18" x14ac:dyDescent="0.35">
      <c r="A1270" s="64">
        <v>9.3699999999999992</v>
      </c>
      <c r="B1270" s="12">
        <v>7.9024225191588471E-3</v>
      </c>
      <c r="C1270" s="12">
        <v>1.2481701209646312E-2</v>
      </c>
      <c r="D1270" s="12">
        <v>7.8807017543859548E-2</v>
      </c>
      <c r="E1270" s="12">
        <v>5.8590748424773853E-3</v>
      </c>
      <c r="F1270" s="12">
        <v>5.6873352753503692E-3</v>
      </c>
      <c r="G1270" s="12">
        <v>-1.0754922845118697E-2</v>
      </c>
      <c r="H1270" s="12">
        <v>4.1045207538443762E-3</v>
      </c>
      <c r="I1270" s="12">
        <v>7.4099118135970699E-3</v>
      </c>
      <c r="J1270" s="12">
        <v>1.6439362630297882E-2</v>
      </c>
      <c r="K1270" s="12">
        <v>-6.457046603032035E-3</v>
      </c>
      <c r="L1270" s="12">
        <v>4.2843419788665127E-3</v>
      </c>
      <c r="M1270" s="13">
        <f t="shared" si="127"/>
        <v>2.3166395681111202E-2</v>
      </c>
      <c r="N1270" s="32">
        <f t="shared" si="128"/>
        <v>312.57798117199314</v>
      </c>
      <c r="O1270" s="32">
        <f t="shared" si="129"/>
        <v>199.69685386651011</v>
      </c>
      <c r="P1270" s="12" t="str">
        <f t="shared" si="130"/>
        <v/>
      </c>
      <c r="Q1270" s="13">
        <f t="shared" si="131"/>
        <v>1.5263973161952354E-2</v>
      </c>
      <c r="R1270" s="49">
        <f t="shared" si="132"/>
        <v>1</v>
      </c>
    </row>
    <row r="1271" spans="1:18" x14ac:dyDescent="0.35">
      <c r="A1271" s="63"/>
    </row>
    <row r="1272" spans="1:18" x14ac:dyDescent="0.35">
      <c r="A1272" s="63"/>
    </row>
    <row r="1273" spans="1:18" x14ac:dyDescent="0.35">
      <c r="A1273" s="63"/>
    </row>
    <row r="1274" spans="1:18" x14ac:dyDescent="0.35">
      <c r="A1274" s="63"/>
    </row>
  </sheetData>
  <autoFilter ref="Y2:AC2" xr:uid="{FD346299-E898-48C4-9B0F-EF83B622B76C}"/>
  <mergeCells count="4">
    <mergeCell ref="C13:E13"/>
    <mergeCell ref="F13:G13"/>
    <mergeCell ref="H13:I13"/>
    <mergeCell ref="Y20:Z20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C349-F31C-4696-B492-E90CC434BEC4}">
  <sheetPr>
    <tabColor rgb="FFFF0000"/>
  </sheetPr>
  <dimension ref="A1:G1256"/>
  <sheetViews>
    <sheetView showGridLines="0" zoomScale="60" zoomScaleNormal="60" workbookViewId="0">
      <selection activeCell="J4" sqref="J4"/>
    </sheetView>
  </sheetViews>
  <sheetFormatPr baseColWidth="10" defaultRowHeight="14.5" x14ac:dyDescent="0.35"/>
  <cols>
    <col min="1" max="1" width="11.6328125" bestFit="1" customWidth="1"/>
    <col min="3" max="3" width="17.08984375" bestFit="1" customWidth="1"/>
    <col min="6" max="6" width="16.90625" bestFit="1" customWidth="1"/>
  </cols>
  <sheetData>
    <row r="1" spans="1:7" x14ac:dyDescent="0.35">
      <c r="A1" s="55" t="s">
        <v>57</v>
      </c>
      <c r="B1" s="56" t="s">
        <v>74</v>
      </c>
      <c r="C1" s="55" t="s">
        <v>73</v>
      </c>
    </row>
    <row r="2" spans="1:7" x14ac:dyDescent="0.35">
      <c r="A2" s="13">
        <v>-1.0281604489315466E-2</v>
      </c>
      <c r="B2" s="2">
        <v>1</v>
      </c>
      <c r="C2" s="13">
        <f>+SMALL($A$2:$A$1256,B2)</f>
        <v>-5.4259072166775633E-2</v>
      </c>
    </row>
    <row r="3" spans="1:7" x14ac:dyDescent="0.35">
      <c r="A3" s="13">
        <v>-3.5030149327129542E-2</v>
      </c>
      <c r="B3" s="2">
        <v>2</v>
      </c>
      <c r="C3" s="13">
        <f>+SMALL($A$2:$A$1256,B3)</f>
        <v>-5.0525797737803933E-2</v>
      </c>
      <c r="F3" s="55" t="s">
        <v>75</v>
      </c>
      <c r="G3" s="39">
        <v>0.95</v>
      </c>
    </row>
    <row r="4" spans="1:7" x14ac:dyDescent="0.35">
      <c r="A4" s="13">
        <v>9.8658989684853315E-3</v>
      </c>
      <c r="B4" s="2">
        <v>3</v>
      </c>
      <c r="C4" s="13">
        <f>+SMALL($A$2:$A$1256,B4)</f>
        <v>-4.3543103027197161E-2</v>
      </c>
      <c r="F4" s="55" t="s">
        <v>76</v>
      </c>
      <c r="G4" s="2">
        <f>+ROUND(((100%-G3)*B1256),0)</f>
        <v>63</v>
      </c>
    </row>
    <row r="5" spans="1:7" x14ac:dyDescent="0.35">
      <c r="A5" s="13">
        <v>6.4955699321208489E-3</v>
      </c>
      <c r="B5" s="2">
        <v>4</v>
      </c>
      <c r="C5" s="13">
        <f t="shared" ref="C5:C66" si="0">+SMALL($A$2:$A$1256,B5)</f>
        <v>-3.8361171155609691E-2</v>
      </c>
      <c r="F5" s="55" t="s">
        <v>70</v>
      </c>
      <c r="G5" s="13">
        <f>+VLOOKUP(G4,$B$2:$C$1256,2,FALSE)</f>
        <v>-1.6411044257916355E-2</v>
      </c>
    </row>
    <row r="6" spans="1:7" x14ac:dyDescent="0.35">
      <c r="A6" s="13">
        <v>1.6951594072005569E-2</v>
      </c>
      <c r="B6" s="2">
        <v>5</v>
      </c>
      <c r="C6" s="13">
        <f t="shared" si="0"/>
        <v>-3.5030149327129542E-2</v>
      </c>
      <c r="F6" s="55" t="s">
        <v>71</v>
      </c>
      <c r="G6" s="13">
        <f>(1/G4)*(SUM(C2:C64))</f>
        <v>-2.4022601339143589E-2</v>
      </c>
    </row>
    <row r="7" spans="1:7" x14ac:dyDescent="0.35">
      <c r="A7" s="13">
        <v>2.0186397048711398E-2</v>
      </c>
      <c r="B7" s="2">
        <v>6</v>
      </c>
      <c r="C7" s="13">
        <f t="shared" si="0"/>
        <v>-3.4993689996833097E-2</v>
      </c>
    </row>
    <row r="8" spans="1:7" x14ac:dyDescent="0.35">
      <c r="A8" s="13">
        <v>-1.2428267775673301E-2</v>
      </c>
      <c r="B8" s="2">
        <v>7</v>
      </c>
      <c r="C8" s="13">
        <f t="shared" si="0"/>
        <v>-3.4214468533532036E-2</v>
      </c>
    </row>
    <row r="9" spans="1:7" x14ac:dyDescent="0.35">
      <c r="A9" s="13">
        <v>2.5864804589718675E-2</v>
      </c>
      <c r="B9" s="2">
        <v>8</v>
      </c>
      <c r="C9" s="13">
        <f t="shared" si="0"/>
        <v>-3.154922638661186E-2</v>
      </c>
    </row>
    <row r="10" spans="1:7" x14ac:dyDescent="0.35">
      <c r="A10" s="13">
        <v>-2.5224721644510149E-3</v>
      </c>
      <c r="B10" s="2">
        <v>9</v>
      </c>
      <c r="C10" s="13">
        <f t="shared" si="0"/>
        <v>-3.1514551908096447E-2</v>
      </c>
    </row>
    <row r="11" spans="1:7" x14ac:dyDescent="0.35">
      <c r="A11" s="13">
        <v>4.8097222450822895E-2</v>
      </c>
      <c r="B11" s="2">
        <v>10</v>
      </c>
      <c r="C11" s="13">
        <f t="shared" si="0"/>
        <v>-2.9883666821486621E-2</v>
      </c>
    </row>
    <row r="12" spans="1:7" x14ac:dyDescent="0.35">
      <c r="A12" s="13">
        <v>3.2321971973667241E-3</v>
      </c>
      <c r="B12" s="2">
        <v>11</v>
      </c>
      <c r="C12" s="13">
        <f t="shared" si="0"/>
        <v>-2.9017093186370777E-2</v>
      </c>
    </row>
    <row r="13" spans="1:7" x14ac:dyDescent="0.35">
      <c r="A13" s="13">
        <v>-5.0757643443838868E-3</v>
      </c>
      <c r="B13" s="2">
        <v>12</v>
      </c>
      <c r="C13" s="13">
        <f t="shared" si="0"/>
        <v>-2.7988197944866053E-2</v>
      </c>
    </row>
    <row r="14" spans="1:7" x14ac:dyDescent="0.35">
      <c r="A14" s="13">
        <v>-7.0439752665593831E-3</v>
      </c>
      <c r="B14" s="2">
        <v>13</v>
      </c>
      <c r="C14" s="13">
        <f t="shared" si="0"/>
        <v>-2.7823813984246534E-2</v>
      </c>
    </row>
    <row r="15" spans="1:7" x14ac:dyDescent="0.35">
      <c r="A15" s="13">
        <v>1.9138809740165325E-2</v>
      </c>
      <c r="B15" s="2">
        <v>14</v>
      </c>
      <c r="C15" s="13">
        <f t="shared" si="0"/>
        <v>-2.7494410445424181E-2</v>
      </c>
    </row>
    <row r="16" spans="1:7" x14ac:dyDescent="0.35">
      <c r="A16" s="13">
        <v>1.4443090958549764E-2</v>
      </c>
      <c r="B16" s="2">
        <v>15</v>
      </c>
      <c r="C16" s="13">
        <f t="shared" si="0"/>
        <v>-2.7236566575532029E-2</v>
      </c>
    </row>
    <row r="17" spans="1:3" x14ac:dyDescent="0.35">
      <c r="A17" s="13">
        <v>-1.2604909777556581E-2</v>
      </c>
      <c r="B17" s="2">
        <v>16</v>
      </c>
      <c r="C17" s="13">
        <f t="shared" si="0"/>
        <v>-2.6762575647631241E-2</v>
      </c>
    </row>
    <row r="18" spans="1:3" x14ac:dyDescent="0.35">
      <c r="A18" s="13">
        <v>-7.6495404139678832E-3</v>
      </c>
      <c r="B18" s="2">
        <v>17</v>
      </c>
      <c r="C18" s="13">
        <f t="shared" si="0"/>
        <v>-2.6458319867948051E-2</v>
      </c>
    </row>
    <row r="19" spans="1:3" x14ac:dyDescent="0.35">
      <c r="A19" s="13">
        <v>6.4033782567236982E-3</v>
      </c>
      <c r="B19" s="2">
        <v>18</v>
      </c>
      <c r="C19" s="13">
        <f t="shared" si="0"/>
        <v>-2.6081301843857069E-2</v>
      </c>
    </row>
    <row r="20" spans="1:3" x14ac:dyDescent="0.35">
      <c r="A20" s="13">
        <v>-7.962955116427535E-3</v>
      </c>
      <c r="B20" s="2">
        <v>19</v>
      </c>
      <c r="C20" s="13">
        <f t="shared" si="0"/>
        <v>-2.5798381117890016E-2</v>
      </c>
    </row>
    <row r="21" spans="1:3" x14ac:dyDescent="0.35">
      <c r="A21" s="13">
        <v>1.6765216904292835E-2</v>
      </c>
      <c r="B21" s="2">
        <v>20</v>
      </c>
      <c r="C21" s="13">
        <f t="shared" si="0"/>
        <v>-2.5502951257690781E-2</v>
      </c>
    </row>
    <row r="22" spans="1:3" x14ac:dyDescent="0.35">
      <c r="A22" s="13">
        <v>2.2185198006725308E-2</v>
      </c>
      <c r="B22" s="2">
        <v>21</v>
      </c>
      <c r="C22" s="13">
        <f t="shared" si="0"/>
        <v>-2.4911173002319341E-2</v>
      </c>
    </row>
    <row r="23" spans="1:3" x14ac:dyDescent="0.35">
      <c r="A23" s="13">
        <v>-1.6484080690192813E-3</v>
      </c>
      <c r="B23" s="2">
        <v>22</v>
      </c>
      <c r="C23" s="13">
        <f t="shared" si="0"/>
        <v>-2.420884662210062E-2</v>
      </c>
    </row>
    <row r="24" spans="1:3" x14ac:dyDescent="0.35">
      <c r="A24" s="13">
        <v>1.3081825874543395E-3</v>
      </c>
      <c r="B24" s="2">
        <v>23</v>
      </c>
      <c r="C24" s="13">
        <f t="shared" si="0"/>
        <v>-2.3976323104165708E-2</v>
      </c>
    </row>
    <row r="25" spans="1:3" x14ac:dyDescent="0.35">
      <c r="A25" s="13">
        <v>-5.4453453644705318E-3</v>
      </c>
      <c r="B25" s="2">
        <v>24</v>
      </c>
      <c r="C25" s="13">
        <f t="shared" si="0"/>
        <v>-2.3650978891779355E-2</v>
      </c>
    </row>
    <row r="26" spans="1:3" x14ac:dyDescent="0.35">
      <c r="A26" s="13">
        <v>2.2299900940811394E-3</v>
      </c>
      <c r="B26" s="2">
        <v>25</v>
      </c>
      <c r="C26" s="13">
        <f t="shared" si="0"/>
        <v>-2.3614550313196186E-2</v>
      </c>
    </row>
    <row r="27" spans="1:3" x14ac:dyDescent="0.35">
      <c r="A27" s="13">
        <v>4.0346677056850473E-3</v>
      </c>
      <c r="B27" s="2">
        <v>26</v>
      </c>
      <c r="C27" s="13">
        <f t="shared" si="0"/>
        <v>-2.3247358396660416E-2</v>
      </c>
    </row>
    <row r="28" spans="1:3" x14ac:dyDescent="0.35">
      <c r="A28" s="13">
        <v>-2.7407022391987418E-3</v>
      </c>
      <c r="B28" s="2">
        <v>27</v>
      </c>
      <c r="C28" s="13">
        <f t="shared" si="0"/>
        <v>-2.3072454900006457E-2</v>
      </c>
    </row>
    <row r="29" spans="1:3" x14ac:dyDescent="0.35">
      <c r="A29" s="13">
        <v>1.7858715782905842E-2</v>
      </c>
      <c r="B29" s="2">
        <v>28</v>
      </c>
      <c r="C29" s="13">
        <f t="shared" si="0"/>
        <v>-2.2755924835421708E-2</v>
      </c>
    </row>
    <row r="30" spans="1:3" x14ac:dyDescent="0.35">
      <c r="A30" s="13">
        <v>-1.1626377477921352E-2</v>
      </c>
      <c r="B30" s="2">
        <v>29</v>
      </c>
      <c r="C30" s="13">
        <f t="shared" si="0"/>
        <v>-2.2742916643337475E-2</v>
      </c>
    </row>
    <row r="31" spans="1:3" x14ac:dyDescent="0.35">
      <c r="A31" s="13">
        <v>4.8393449686777099E-3</v>
      </c>
      <c r="B31" s="2">
        <v>30</v>
      </c>
      <c r="C31" s="13">
        <f t="shared" si="0"/>
        <v>-2.2615024564020682E-2</v>
      </c>
    </row>
    <row r="32" spans="1:3" x14ac:dyDescent="0.35">
      <c r="A32" s="13">
        <v>-3.8082479183445019E-3</v>
      </c>
      <c r="B32" s="2">
        <v>31</v>
      </c>
      <c r="C32" s="13">
        <f t="shared" si="0"/>
        <v>-2.2371984155236731E-2</v>
      </c>
    </row>
    <row r="33" spans="1:3" x14ac:dyDescent="0.35">
      <c r="A33" s="13">
        <v>-7.5795166965117854E-3</v>
      </c>
      <c r="B33" s="2">
        <v>32</v>
      </c>
      <c r="C33" s="13">
        <f t="shared" si="0"/>
        <v>-2.1786292451658328E-2</v>
      </c>
    </row>
    <row r="34" spans="1:3" x14ac:dyDescent="0.35">
      <c r="A34" s="13">
        <v>-1.8817690184514985E-3</v>
      </c>
      <c r="B34" s="2">
        <v>33</v>
      </c>
      <c r="C34" s="13">
        <f t="shared" si="0"/>
        <v>-2.145700766476262E-2</v>
      </c>
    </row>
    <row r="35" spans="1:3" x14ac:dyDescent="0.35">
      <c r="A35" s="13">
        <v>-8.8583365006970182E-3</v>
      </c>
      <c r="B35" s="2">
        <v>34</v>
      </c>
      <c r="C35" s="13">
        <f t="shared" si="0"/>
        <v>-2.141956492757998E-2</v>
      </c>
    </row>
    <row r="36" spans="1:3" x14ac:dyDescent="0.35">
      <c r="A36" s="13">
        <v>1.1573037215582303E-2</v>
      </c>
      <c r="B36" s="2">
        <v>35</v>
      </c>
      <c r="C36" s="13">
        <f t="shared" si="0"/>
        <v>-2.1160226077562481E-2</v>
      </c>
    </row>
    <row r="37" spans="1:3" x14ac:dyDescent="0.35">
      <c r="A37" s="13">
        <v>3.0152688598051279E-5</v>
      </c>
      <c r="B37" s="2">
        <v>36</v>
      </c>
      <c r="C37" s="13">
        <f t="shared" si="0"/>
        <v>-2.1134219412677558E-2</v>
      </c>
    </row>
    <row r="38" spans="1:3" x14ac:dyDescent="0.35">
      <c r="A38" s="13">
        <v>7.5902124295486209E-4</v>
      </c>
      <c r="B38" s="2">
        <v>37</v>
      </c>
      <c r="C38" s="13">
        <f t="shared" si="0"/>
        <v>-2.1097065144294193E-2</v>
      </c>
    </row>
    <row r="39" spans="1:3" x14ac:dyDescent="0.35">
      <c r="A39" s="13">
        <v>-7.7037496868699942E-4</v>
      </c>
      <c r="B39" s="2">
        <v>38</v>
      </c>
      <c r="C39" s="13">
        <f t="shared" si="0"/>
        <v>-2.0924639736644265E-2</v>
      </c>
    </row>
    <row r="40" spans="1:3" x14ac:dyDescent="0.35">
      <c r="A40" s="13">
        <v>-5.3348667862670555E-3</v>
      </c>
      <c r="B40" s="2">
        <v>39</v>
      </c>
      <c r="C40" s="13">
        <f t="shared" si="0"/>
        <v>-2.0742042567651151E-2</v>
      </c>
    </row>
    <row r="41" spans="1:3" x14ac:dyDescent="0.35">
      <c r="A41" s="13">
        <v>-7.8387235551748129E-3</v>
      </c>
      <c r="B41" s="2">
        <v>40</v>
      </c>
      <c r="C41" s="13">
        <f t="shared" si="0"/>
        <v>-2.0435089405039297E-2</v>
      </c>
    </row>
    <row r="42" spans="1:3" x14ac:dyDescent="0.35">
      <c r="A42" s="13">
        <v>3.0873756900579468E-3</v>
      </c>
      <c r="B42" s="2">
        <v>41</v>
      </c>
      <c r="C42" s="13">
        <f t="shared" si="0"/>
        <v>-2.0030958549509644E-2</v>
      </c>
    </row>
    <row r="43" spans="1:3" x14ac:dyDescent="0.35">
      <c r="A43" s="13">
        <v>5.0185504682117776E-3</v>
      </c>
      <c r="B43" s="2">
        <v>42</v>
      </c>
      <c r="C43" s="13">
        <f t="shared" si="0"/>
        <v>-1.9732115740287267E-2</v>
      </c>
    </row>
    <row r="44" spans="1:3" x14ac:dyDescent="0.35">
      <c r="A44" s="13">
        <v>4.8982455807254563E-3</v>
      </c>
      <c r="B44" s="2">
        <v>43</v>
      </c>
      <c r="C44" s="13">
        <f t="shared" si="0"/>
        <v>-1.9525238160125264E-2</v>
      </c>
    </row>
    <row r="45" spans="1:3" x14ac:dyDescent="0.35">
      <c r="A45" s="13">
        <v>-6.1660130032426212E-3</v>
      </c>
      <c r="B45" s="2">
        <v>44</v>
      </c>
      <c r="C45" s="13">
        <f t="shared" si="0"/>
        <v>-1.9338485859612644E-2</v>
      </c>
    </row>
    <row r="46" spans="1:3" x14ac:dyDescent="0.35">
      <c r="A46" s="13">
        <v>4.8581350149979746E-3</v>
      </c>
      <c r="B46" s="2">
        <v>45</v>
      </c>
      <c r="C46" s="13">
        <f t="shared" si="0"/>
        <v>-1.9281087861128081E-2</v>
      </c>
    </row>
    <row r="47" spans="1:3" x14ac:dyDescent="0.35">
      <c r="A47" s="13">
        <v>8.0732690273696769E-3</v>
      </c>
      <c r="B47" s="2">
        <v>46</v>
      </c>
      <c r="C47" s="13">
        <f t="shared" si="0"/>
        <v>-1.9263818255328545E-2</v>
      </c>
    </row>
    <row r="48" spans="1:3" x14ac:dyDescent="0.35">
      <c r="A48" s="13">
        <v>-7.9723403063311112E-3</v>
      </c>
      <c r="B48" s="2">
        <v>47</v>
      </c>
      <c r="C48" s="13">
        <f t="shared" si="0"/>
        <v>-1.9054141358504757E-2</v>
      </c>
    </row>
    <row r="49" spans="1:3" x14ac:dyDescent="0.35">
      <c r="A49" s="13">
        <v>6.2336980934130544E-3</v>
      </c>
      <c r="B49" s="2">
        <v>48</v>
      </c>
      <c r="C49" s="13">
        <f t="shared" si="0"/>
        <v>-1.8597134545095227E-2</v>
      </c>
    </row>
    <row r="50" spans="1:3" x14ac:dyDescent="0.35">
      <c r="A50" s="13">
        <v>2.1278054925057539E-2</v>
      </c>
      <c r="B50" s="2">
        <v>49</v>
      </c>
      <c r="C50" s="13">
        <f t="shared" si="0"/>
        <v>-1.7857324784018854E-2</v>
      </c>
    </row>
    <row r="51" spans="1:3" x14ac:dyDescent="0.35">
      <c r="A51" s="13">
        <v>1.4191494976082619E-3</v>
      </c>
      <c r="B51" s="2">
        <v>50</v>
      </c>
      <c r="C51" s="13">
        <f t="shared" si="0"/>
        <v>-1.7819289831276692E-2</v>
      </c>
    </row>
    <row r="52" spans="1:3" x14ac:dyDescent="0.35">
      <c r="A52" s="13">
        <v>8.1960595818652941E-5</v>
      </c>
      <c r="B52" s="2">
        <v>51</v>
      </c>
      <c r="C52" s="13">
        <f t="shared" si="0"/>
        <v>-1.7491906398359524E-2</v>
      </c>
    </row>
    <row r="53" spans="1:3" x14ac:dyDescent="0.35">
      <c r="A53" s="13">
        <v>-1.7394889500989903E-3</v>
      </c>
      <c r="B53" s="2">
        <v>52</v>
      </c>
      <c r="C53" s="13">
        <f t="shared" si="0"/>
        <v>-1.7357492119978196E-2</v>
      </c>
    </row>
    <row r="54" spans="1:3" x14ac:dyDescent="0.35">
      <c r="A54" s="13">
        <v>6.4013170952729424E-3</v>
      </c>
      <c r="B54" s="2">
        <v>53</v>
      </c>
      <c r="C54" s="13">
        <f t="shared" si="0"/>
        <v>-1.7324524784649759E-2</v>
      </c>
    </row>
    <row r="55" spans="1:3" x14ac:dyDescent="0.35">
      <c r="A55" s="13">
        <v>-6.4457714415197412E-3</v>
      </c>
      <c r="B55" s="2">
        <v>54</v>
      </c>
      <c r="C55" s="13">
        <f t="shared" si="0"/>
        <v>-1.7268282050986222E-2</v>
      </c>
    </row>
    <row r="56" spans="1:3" x14ac:dyDescent="0.35">
      <c r="A56" s="13">
        <v>5.061818513474519E-3</v>
      </c>
      <c r="B56" s="2">
        <v>55</v>
      </c>
      <c r="C56" s="13">
        <f t="shared" si="0"/>
        <v>-1.7214316273584655E-2</v>
      </c>
    </row>
    <row r="57" spans="1:3" x14ac:dyDescent="0.35">
      <c r="A57" s="13">
        <v>-9.9841171723738294E-3</v>
      </c>
      <c r="B57" s="2">
        <v>56</v>
      </c>
      <c r="C57" s="13">
        <f t="shared" si="0"/>
        <v>-1.7139793098945946E-2</v>
      </c>
    </row>
    <row r="58" spans="1:3" x14ac:dyDescent="0.35">
      <c r="A58" s="13">
        <v>8.7006070753117958E-3</v>
      </c>
      <c r="B58" s="2">
        <v>57</v>
      </c>
      <c r="C58" s="13">
        <f t="shared" si="0"/>
        <v>-1.7127814287331487E-2</v>
      </c>
    </row>
    <row r="59" spans="1:3" x14ac:dyDescent="0.35">
      <c r="A59" s="13">
        <v>1.2417284878074942E-2</v>
      </c>
      <c r="B59" s="2">
        <v>58</v>
      </c>
      <c r="C59" s="13">
        <f t="shared" si="0"/>
        <v>-1.7032555510207437E-2</v>
      </c>
    </row>
    <row r="60" spans="1:3" x14ac:dyDescent="0.35">
      <c r="A60" s="13">
        <v>3.027527821049124E-4</v>
      </c>
      <c r="B60" s="2">
        <v>59</v>
      </c>
      <c r="C60" s="13">
        <f t="shared" si="0"/>
        <v>-1.6986606163622381E-2</v>
      </c>
    </row>
    <row r="61" spans="1:3" x14ac:dyDescent="0.35">
      <c r="A61" s="13">
        <v>-2.6458319867948051E-2</v>
      </c>
      <c r="B61" s="2">
        <v>60</v>
      </c>
      <c r="C61" s="13">
        <f t="shared" si="0"/>
        <v>-1.689654200140131E-2</v>
      </c>
    </row>
    <row r="62" spans="1:3" x14ac:dyDescent="0.35">
      <c r="A62" s="13">
        <v>-9.795490832663678E-3</v>
      </c>
      <c r="B62" s="2">
        <v>61</v>
      </c>
      <c r="C62" s="13">
        <f t="shared" si="0"/>
        <v>-1.6874884292899794E-2</v>
      </c>
    </row>
    <row r="63" spans="1:3" x14ac:dyDescent="0.35">
      <c r="A63" s="13">
        <v>4.7186185424262575E-3</v>
      </c>
      <c r="B63" s="2">
        <v>62</v>
      </c>
      <c r="C63" s="13">
        <f t="shared" si="0"/>
        <v>-1.6436336432628658E-2</v>
      </c>
    </row>
    <row r="64" spans="1:3" x14ac:dyDescent="0.35">
      <c r="A64" s="13">
        <v>-1.4653214364494942E-2</v>
      </c>
      <c r="B64" s="2">
        <v>63</v>
      </c>
      <c r="C64" s="13">
        <f t="shared" si="0"/>
        <v>-1.6411044257916355E-2</v>
      </c>
    </row>
    <row r="65" spans="1:3" x14ac:dyDescent="0.35">
      <c r="A65" s="13">
        <v>9.8349683628304492E-3</v>
      </c>
      <c r="B65" s="2">
        <v>64</v>
      </c>
      <c r="C65" s="13">
        <f t="shared" si="0"/>
        <v>-1.6399934402192479E-2</v>
      </c>
    </row>
    <row r="66" spans="1:3" x14ac:dyDescent="0.35">
      <c r="A66" s="13">
        <v>-1.7139793098945946E-2</v>
      </c>
      <c r="B66" s="2">
        <v>65</v>
      </c>
      <c r="C66" s="13">
        <f t="shared" si="0"/>
        <v>-1.6399463260457568E-2</v>
      </c>
    </row>
    <row r="67" spans="1:3" x14ac:dyDescent="0.35">
      <c r="A67" s="13">
        <v>8.9780894418701428E-3</v>
      </c>
      <c r="B67" s="2">
        <v>66</v>
      </c>
      <c r="C67" s="13">
        <f t="shared" ref="C67:C130" si="1">+SMALL($A$2:$A$1256,B67)</f>
        <v>-1.6084401820505977E-2</v>
      </c>
    </row>
    <row r="68" spans="1:3" x14ac:dyDescent="0.35">
      <c r="A68" s="13">
        <v>1.3005004996499914E-2</v>
      </c>
      <c r="B68" s="2">
        <v>67</v>
      </c>
      <c r="C68" s="13">
        <f t="shared" si="1"/>
        <v>-1.5734800900821487E-2</v>
      </c>
    </row>
    <row r="69" spans="1:3" x14ac:dyDescent="0.35">
      <c r="A69" s="13">
        <v>6.7478069265567374E-4</v>
      </c>
      <c r="B69" s="2">
        <v>68</v>
      </c>
      <c r="C69" s="13">
        <f t="shared" si="1"/>
        <v>-1.5663653741581532E-2</v>
      </c>
    </row>
    <row r="70" spans="1:3" x14ac:dyDescent="0.35">
      <c r="A70" s="13">
        <v>1.3202363621518724E-2</v>
      </c>
      <c r="B70" s="2">
        <v>69</v>
      </c>
      <c r="C70" s="13">
        <f t="shared" si="1"/>
        <v>-1.5266244873480002E-2</v>
      </c>
    </row>
    <row r="71" spans="1:3" x14ac:dyDescent="0.35">
      <c r="A71" s="13">
        <v>8.0661541796881731E-3</v>
      </c>
      <c r="B71" s="2">
        <v>70</v>
      </c>
      <c r="C71" s="13">
        <f t="shared" si="1"/>
        <v>-1.5156297639948087E-2</v>
      </c>
    </row>
    <row r="72" spans="1:3" x14ac:dyDescent="0.35">
      <c r="A72" s="13">
        <v>1.1815695216435686E-2</v>
      </c>
      <c r="B72" s="2">
        <v>71</v>
      </c>
      <c r="C72" s="13">
        <f t="shared" si="1"/>
        <v>-1.5091913875254227E-2</v>
      </c>
    </row>
    <row r="73" spans="1:3" x14ac:dyDescent="0.35">
      <c r="A73" s="13">
        <v>-3.471800831364948E-3</v>
      </c>
      <c r="B73" s="2">
        <v>72</v>
      </c>
      <c r="C73" s="13">
        <f t="shared" si="1"/>
        <v>-1.4988404117332665E-2</v>
      </c>
    </row>
    <row r="74" spans="1:3" x14ac:dyDescent="0.35">
      <c r="A74" s="13">
        <v>-1.2385354535977887E-4</v>
      </c>
      <c r="B74" s="2">
        <v>73</v>
      </c>
      <c r="C74" s="13">
        <f t="shared" si="1"/>
        <v>-1.4875672248165613E-2</v>
      </c>
    </row>
    <row r="75" spans="1:3" x14ac:dyDescent="0.35">
      <c r="A75" s="13">
        <v>-1.5090353554625393E-3</v>
      </c>
      <c r="B75" s="2">
        <v>74</v>
      </c>
      <c r="C75" s="13">
        <f t="shared" si="1"/>
        <v>-1.4816884021815989E-2</v>
      </c>
    </row>
    <row r="76" spans="1:3" x14ac:dyDescent="0.35">
      <c r="A76" s="13">
        <v>2.3787703504959314E-3</v>
      </c>
      <c r="B76" s="2">
        <v>75</v>
      </c>
      <c r="C76" s="13">
        <f t="shared" si="1"/>
        <v>-1.4787984828908647E-2</v>
      </c>
    </row>
    <row r="77" spans="1:3" x14ac:dyDescent="0.35">
      <c r="A77" s="13">
        <v>4.7853522138592286E-3</v>
      </c>
      <c r="B77" s="2">
        <v>76</v>
      </c>
      <c r="C77" s="13">
        <f t="shared" si="1"/>
        <v>-1.473153241590245E-2</v>
      </c>
    </row>
    <row r="78" spans="1:3" x14ac:dyDescent="0.35">
      <c r="A78" s="13">
        <v>-7.4862486857069153E-4</v>
      </c>
      <c r="B78" s="2">
        <v>77</v>
      </c>
      <c r="C78" s="13">
        <f t="shared" si="1"/>
        <v>-1.4701509745978697E-2</v>
      </c>
    </row>
    <row r="79" spans="1:3" x14ac:dyDescent="0.35">
      <c r="A79" s="13">
        <v>-1.5091913875254227E-2</v>
      </c>
      <c r="B79" s="2">
        <v>78</v>
      </c>
      <c r="C79" s="13">
        <f t="shared" si="1"/>
        <v>-1.4653214364494942E-2</v>
      </c>
    </row>
    <row r="80" spans="1:3" x14ac:dyDescent="0.35">
      <c r="A80" s="13">
        <v>8.8160083720415991E-3</v>
      </c>
      <c r="B80" s="2">
        <v>79</v>
      </c>
      <c r="C80" s="13">
        <f t="shared" si="1"/>
        <v>-1.4608896307536826E-2</v>
      </c>
    </row>
    <row r="81" spans="1:3" x14ac:dyDescent="0.35">
      <c r="A81" s="13">
        <v>1.2386004745636699E-2</v>
      </c>
      <c r="B81" s="2">
        <v>80</v>
      </c>
      <c r="C81" s="13">
        <f t="shared" si="1"/>
        <v>-1.4444558188474795E-2</v>
      </c>
    </row>
    <row r="82" spans="1:3" x14ac:dyDescent="0.35">
      <c r="A82" s="13">
        <v>-1.6190469433442327E-3</v>
      </c>
      <c r="B82" s="2">
        <v>81</v>
      </c>
      <c r="C82" s="13">
        <f t="shared" si="1"/>
        <v>-1.4396174733340695E-2</v>
      </c>
    </row>
    <row r="83" spans="1:3" x14ac:dyDescent="0.35">
      <c r="A83" s="13">
        <v>8.6062882211798628E-3</v>
      </c>
      <c r="B83" s="2">
        <v>82</v>
      </c>
      <c r="C83" s="13">
        <f t="shared" si="1"/>
        <v>-1.4211473768100023E-2</v>
      </c>
    </row>
    <row r="84" spans="1:3" x14ac:dyDescent="0.35">
      <c r="A84" s="13">
        <v>-1.1431586047175488E-2</v>
      </c>
      <c r="B84" s="2">
        <v>83</v>
      </c>
      <c r="C84" s="13">
        <f t="shared" si="1"/>
        <v>-1.4177373415536208E-2</v>
      </c>
    </row>
    <row r="85" spans="1:3" x14ac:dyDescent="0.35">
      <c r="A85" s="13">
        <v>-1.6399463260457568E-2</v>
      </c>
      <c r="B85" s="2">
        <v>84</v>
      </c>
      <c r="C85" s="13">
        <f t="shared" si="1"/>
        <v>-1.4096180663601576E-2</v>
      </c>
    </row>
    <row r="86" spans="1:3" x14ac:dyDescent="0.35">
      <c r="A86" s="13">
        <v>1.7357386865045715E-2</v>
      </c>
      <c r="B86" s="2">
        <v>85</v>
      </c>
      <c r="C86" s="13">
        <f t="shared" si="1"/>
        <v>-1.3947892896714699E-2</v>
      </c>
    </row>
    <row r="87" spans="1:3" x14ac:dyDescent="0.35">
      <c r="A87" s="13">
        <v>-7.1994611354706667E-3</v>
      </c>
      <c r="B87" s="2">
        <v>86</v>
      </c>
      <c r="C87" s="13">
        <f t="shared" si="1"/>
        <v>-1.390161122746764E-2</v>
      </c>
    </row>
    <row r="88" spans="1:3" x14ac:dyDescent="0.35">
      <c r="A88" s="13">
        <v>4.5411112221727394E-4</v>
      </c>
      <c r="B88" s="2">
        <v>87</v>
      </c>
      <c r="C88" s="13">
        <f t="shared" si="1"/>
        <v>-1.3886851787280087E-2</v>
      </c>
    </row>
    <row r="89" spans="1:3" x14ac:dyDescent="0.35">
      <c r="A89" s="13">
        <v>-7.236537042007652E-3</v>
      </c>
      <c r="B89" s="2">
        <v>88</v>
      </c>
      <c r="C89" s="13">
        <f t="shared" si="1"/>
        <v>-1.3862673753642762E-2</v>
      </c>
    </row>
    <row r="90" spans="1:3" x14ac:dyDescent="0.35">
      <c r="A90" s="13">
        <v>2.4182305760881158E-2</v>
      </c>
      <c r="B90" s="2">
        <v>89</v>
      </c>
      <c r="C90" s="13">
        <f t="shared" si="1"/>
        <v>-1.3804596767208143E-2</v>
      </c>
    </row>
    <row r="91" spans="1:3" x14ac:dyDescent="0.35">
      <c r="A91" s="13">
        <v>4.7066780945576097E-3</v>
      </c>
      <c r="B91" s="2">
        <v>90</v>
      </c>
      <c r="C91" s="13">
        <f t="shared" si="1"/>
        <v>-1.377488188385197E-2</v>
      </c>
    </row>
    <row r="92" spans="1:3" x14ac:dyDescent="0.35">
      <c r="A92" s="13">
        <v>-6.0407817657380314E-3</v>
      </c>
      <c r="B92" s="2">
        <v>91</v>
      </c>
      <c r="C92" s="13">
        <f t="shared" si="1"/>
        <v>-1.3752245029708187E-2</v>
      </c>
    </row>
    <row r="93" spans="1:3" x14ac:dyDescent="0.35">
      <c r="A93" s="13">
        <v>1.8627150589793955E-2</v>
      </c>
      <c r="B93" s="2">
        <v>92</v>
      </c>
      <c r="C93" s="13">
        <f t="shared" si="1"/>
        <v>-1.3692598731479579E-2</v>
      </c>
    </row>
    <row r="94" spans="1:3" x14ac:dyDescent="0.35">
      <c r="A94" s="13">
        <v>1.4514717179679084E-3</v>
      </c>
      <c r="B94" s="2">
        <v>93</v>
      </c>
      <c r="C94" s="13">
        <f t="shared" si="1"/>
        <v>-1.3541457810126894E-2</v>
      </c>
    </row>
    <row r="95" spans="1:3" x14ac:dyDescent="0.35">
      <c r="A95" s="13">
        <v>1.1796514005833241E-2</v>
      </c>
      <c r="B95" s="2">
        <v>94</v>
      </c>
      <c r="C95" s="13">
        <f t="shared" si="1"/>
        <v>-1.353510422685544E-2</v>
      </c>
    </row>
    <row r="96" spans="1:3" x14ac:dyDescent="0.35">
      <c r="A96" s="13">
        <v>-3.4884280958194427E-4</v>
      </c>
      <c r="B96" s="2">
        <v>95</v>
      </c>
      <c r="C96" s="13">
        <f t="shared" si="1"/>
        <v>-1.3534670925932156E-2</v>
      </c>
    </row>
    <row r="97" spans="1:3" x14ac:dyDescent="0.35">
      <c r="A97" s="13">
        <v>-7.0899572748348008E-3</v>
      </c>
      <c r="B97" s="2">
        <v>96</v>
      </c>
      <c r="C97" s="13">
        <f t="shared" si="1"/>
        <v>-1.3457876648170148E-2</v>
      </c>
    </row>
    <row r="98" spans="1:3" x14ac:dyDescent="0.35">
      <c r="A98" s="13">
        <v>6.6686290631503683E-3</v>
      </c>
      <c r="B98" s="2">
        <v>97</v>
      </c>
      <c r="C98" s="13">
        <f t="shared" si="1"/>
        <v>-1.3454173688513621E-2</v>
      </c>
    </row>
    <row r="99" spans="1:3" x14ac:dyDescent="0.35">
      <c r="A99" s="13">
        <v>-1.0247666137556396E-2</v>
      </c>
      <c r="B99" s="2">
        <v>98</v>
      </c>
      <c r="C99" s="13">
        <f t="shared" si="1"/>
        <v>-1.3374420215245111E-2</v>
      </c>
    </row>
    <row r="100" spans="1:3" x14ac:dyDescent="0.35">
      <c r="A100" s="13">
        <v>-6.2342001491181558E-3</v>
      </c>
      <c r="B100" s="2">
        <v>99</v>
      </c>
      <c r="C100" s="13">
        <f t="shared" si="1"/>
        <v>-1.3313349117141075E-2</v>
      </c>
    </row>
    <row r="101" spans="1:3" x14ac:dyDescent="0.35">
      <c r="A101" s="13">
        <v>7.5071568677210088E-3</v>
      </c>
      <c r="B101" s="2">
        <v>100</v>
      </c>
      <c r="C101" s="13">
        <f t="shared" si="1"/>
        <v>-1.3298347742665079E-2</v>
      </c>
    </row>
    <row r="102" spans="1:3" x14ac:dyDescent="0.35">
      <c r="A102" s="13">
        <v>-7.747444108341774E-3</v>
      </c>
      <c r="B102" s="2">
        <v>101</v>
      </c>
      <c r="C102" s="13">
        <f t="shared" si="1"/>
        <v>-1.3284276008712754E-2</v>
      </c>
    </row>
    <row r="103" spans="1:3" x14ac:dyDescent="0.35">
      <c r="A103" s="13">
        <v>3.3217053937092495E-3</v>
      </c>
      <c r="B103" s="2">
        <v>102</v>
      </c>
      <c r="C103" s="13">
        <f t="shared" si="1"/>
        <v>-1.3281797659459874E-2</v>
      </c>
    </row>
    <row r="104" spans="1:3" x14ac:dyDescent="0.35">
      <c r="A104" s="13">
        <v>1.251482392232285E-2</v>
      </c>
      <c r="B104" s="2">
        <v>103</v>
      </c>
      <c r="C104" s="13">
        <f t="shared" si="1"/>
        <v>-1.3193035444712479E-2</v>
      </c>
    </row>
    <row r="105" spans="1:3" x14ac:dyDescent="0.35">
      <c r="A105" s="13">
        <v>1.7123592379503949E-2</v>
      </c>
      <c r="B105" s="2">
        <v>104</v>
      </c>
      <c r="C105" s="13">
        <f t="shared" si="1"/>
        <v>-1.3166031259245273E-2</v>
      </c>
    </row>
    <row r="106" spans="1:3" x14ac:dyDescent="0.35">
      <c r="A106" s="13">
        <v>-4.8715452627272739E-4</v>
      </c>
      <c r="B106" s="2">
        <v>105</v>
      </c>
      <c r="C106" s="13">
        <f t="shared" si="1"/>
        <v>-1.3163316617615349E-2</v>
      </c>
    </row>
    <row r="107" spans="1:3" x14ac:dyDescent="0.35">
      <c r="A107" s="13">
        <v>-2.2029194522204419E-3</v>
      </c>
      <c r="B107" s="2">
        <v>106</v>
      </c>
      <c r="C107" s="13">
        <f t="shared" si="1"/>
        <v>-1.3087116608528401E-2</v>
      </c>
    </row>
    <row r="108" spans="1:3" x14ac:dyDescent="0.35">
      <c r="A108" s="13">
        <v>-4.103288834224195E-3</v>
      </c>
      <c r="B108" s="2">
        <v>107</v>
      </c>
      <c r="C108" s="13">
        <f t="shared" si="1"/>
        <v>-1.283029974505679E-2</v>
      </c>
    </row>
    <row r="109" spans="1:3" x14ac:dyDescent="0.35">
      <c r="A109" s="13">
        <v>8.3659664991112773E-3</v>
      </c>
      <c r="B109" s="2">
        <v>108</v>
      </c>
      <c r="C109" s="13">
        <f t="shared" si="1"/>
        <v>-1.2760590042366654E-2</v>
      </c>
    </row>
    <row r="110" spans="1:3" x14ac:dyDescent="0.35">
      <c r="A110" s="13">
        <v>1.8399221756192689E-2</v>
      </c>
      <c r="B110" s="2">
        <v>109</v>
      </c>
      <c r="C110" s="13">
        <f t="shared" si="1"/>
        <v>-1.2704215523166347E-2</v>
      </c>
    </row>
    <row r="111" spans="1:3" x14ac:dyDescent="0.35">
      <c r="A111" s="13">
        <v>-5.2006471376417522E-3</v>
      </c>
      <c r="B111" s="2">
        <v>110</v>
      </c>
      <c r="C111" s="13">
        <f t="shared" si="1"/>
        <v>-1.2611473613420545E-2</v>
      </c>
    </row>
    <row r="112" spans="1:3" x14ac:dyDescent="0.35">
      <c r="A112" s="13">
        <v>3.2423392681913098E-3</v>
      </c>
      <c r="B112" s="2">
        <v>111</v>
      </c>
      <c r="C112" s="13">
        <f t="shared" si="1"/>
        <v>-1.2604909777556581E-2</v>
      </c>
    </row>
    <row r="113" spans="1:3" x14ac:dyDescent="0.35">
      <c r="A113" s="13">
        <v>2.0357387304332617E-3</v>
      </c>
      <c r="B113" s="2">
        <v>112</v>
      </c>
      <c r="C113" s="13">
        <f t="shared" si="1"/>
        <v>-1.2525421882073121E-2</v>
      </c>
    </row>
    <row r="114" spans="1:3" x14ac:dyDescent="0.35">
      <c r="A114" s="13">
        <v>3.9248648340254252E-3</v>
      </c>
      <c r="B114" s="2">
        <v>113</v>
      </c>
      <c r="C114" s="13">
        <f t="shared" si="1"/>
        <v>-1.2451922519261107E-2</v>
      </c>
    </row>
    <row r="115" spans="1:3" x14ac:dyDescent="0.35">
      <c r="A115" s="13">
        <v>-2.3480487240731631E-3</v>
      </c>
      <c r="B115" s="2">
        <v>114</v>
      </c>
      <c r="C115" s="13">
        <f t="shared" si="1"/>
        <v>-1.2428267775673301E-2</v>
      </c>
    </row>
    <row r="116" spans="1:3" x14ac:dyDescent="0.35">
      <c r="A116" s="13">
        <v>-9.4609647803206298E-3</v>
      </c>
      <c r="B116" s="2">
        <v>115</v>
      </c>
      <c r="C116" s="13">
        <f t="shared" si="1"/>
        <v>-1.2405645636860606E-2</v>
      </c>
    </row>
    <row r="117" spans="1:3" x14ac:dyDescent="0.35">
      <c r="A117" s="13">
        <v>5.6516935230957526E-3</v>
      </c>
      <c r="B117" s="2">
        <v>116</v>
      </c>
      <c r="C117" s="13">
        <f t="shared" si="1"/>
        <v>-1.2366442044955255E-2</v>
      </c>
    </row>
    <row r="118" spans="1:3" x14ac:dyDescent="0.35">
      <c r="A118" s="13">
        <v>4.7936722350488533E-3</v>
      </c>
      <c r="B118" s="2">
        <v>117</v>
      </c>
      <c r="C118" s="13">
        <f t="shared" si="1"/>
        <v>-1.2309495032822108E-2</v>
      </c>
    </row>
    <row r="119" spans="1:3" x14ac:dyDescent="0.35">
      <c r="A119" s="13">
        <v>5.9713620804951895E-3</v>
      </c>
      <c r="B119" s="2">
        <v>118</v>
      </c>
      <c r="C119" s="13">
        <f t="shared" si="1"/>
        <v>-1.2294127077765451E-2</v>
      </c>
    </row>
    <row r="120" spans="1:3" x14ac:dyDescent="0.35">
      <c r="A120" s="13">
        <v>-6.035035809256001E-3</v>
      </c>
      <c r="B120" s="2">
        <v>119</v>
      </c>
      <c r="C120" s="13">
        <f t="shared" si="1"/>
        <v>-1.2108411106218447E-2</v>
      </c>
    </row>
    <row r="121" spans="1:3" x14ac:dyDescent="0.35">
      <c r="A121" s="13">
        <v>3.9381440833256643E-3</v>
      </c>
      <c r="B121" s="2">
        <v>120</v>
      </c>
      <c r="C121" s="13">
        <f t="shared" si="1"/>
        <v>-1.19808758158524E-2</v>
      </c>
    </row>
    <row r="122" spans="1:3" x14ac:dyDescent="0.35">
      <c r="A122" s="13">
        <v>1.898158995871408E-2</v>
      </c>
      <c r="B122" s="2">
        <v>121</v>
      </c>
      <c r="C122" s="13">
        <f t="shared" si="1"/>
        <v>-1.1955232178094599E-2</v>
      </c>
    </row>
    <row r="123" spans="1:3" x14ac:dyDescent="0.35">
      <c r="A123" s="13">
        <v>-1.1207828641329725E-2</v>
      </c>
      <c r="B123" s="2">
        <v>122</v>
      </c>
      <c r="C123" s="13">
        <f t="shared" si="1"/>
        <v>-1.1923437912225367E-2</v>
      </c>
    </row>
    <row r="124" spans="1:3" x14ac:dyDescent="0.35">
      <c r="A124" s="13">
        <v>1.9085081348729827E-3</v>
      </c>
      <c r="B124" s="2">
        <v>123</v>
      </c>
      <c r="C124" s="13">
        <f t="shared" si="1"/>
        <v>-1.1898907398825842E-2</v>
      </c>
    </row>
    <row r="125" spans="1:3" x14ac:dyDescent="0.35">
      <c r="A125" s="13">
        <v>3.7408592635441679E-3</v>
      </c>
      <c r="B125" s="2">
        <v>124</v>
      </c>
      <c r="C125" s="13">
        <f t="shared" si="1"/>
        <v>-1.1871233115167048E-2</v>
      </c>
    </row>
    <row r="126" spans="1:3" x14ac:dyDescent="0.35">
      <c r="A126" s="13">
        <v>1.7181774022820456E-3</v>
      </c>
      <c r="B126" s="2">
        <v>125</v>
      </c>
      <c r="C126" s="13">
        <f t="shared" si="1"/>
        <v>-1.1748270815666196E-2</v>
      </c>
    </row>
    <row r="127" spans="1:3" x14ac:dyDescent="0.35">
      <c r="A127" s="13">
        <v>1.4084983040992143E-3</v>
      </c>
      <c r="B127" s="2">
        <v>126</v>
      </c>
      <c r="C127" s="13">
        <f t="shared" si="1"/>
        <v>-1.1728939449266999E-2</v>
      </c>
    </row>
    <row r="128" spans="1:3" x14ac:dyDescent="0.35">
      <c r="A128" s="13">
        <v>3.1782579452778259E-3</v>
      </c>
      <c r="B128" s="2">
        <v>127</v>
      </c>
      <c r="C128" s="13">
        <f t="shared" si="1"/>
        <v>-1.1728642247585793E-2</v>
      </c>
    </row>
    <row r="129" spans="1:3" x14ac:dyDescent="0.35">
      <c r="A129" s="13">
        <v>-5.3008496954625719E-3</v>
      </c>
      <c r="B129" s="2">
        <v>128</v>
      </c>
      <c r="C129" s="13">
        <f t="shared" si="1"/>
        <v>-1.1726309734468516E-2</v>
      </c>
    </row>
    <row r="130" spans="1:3" x14ac:dyDescent="0.35">
      <c r="A130" s="13">
        <v>1.0743853193964814E-2</v>
      </c>
      <c r="B130" s="2">
        <v>129</v>
      </c>
      <c r="C130" s="13">
        <f t="shared" si="1"/>
        <v>-1.1709799873746114E-2</v>
      </c>
    </row>
    <row r="131" spans="1:3" x14ac:dyDescent="0.35">
      <c r="A131" s="13">
        <v>1.0601452605823918E-3</v>
      </c>
      <c r="B131" s="2">
        <v>130</v>
      </c>
      <c r="C131" s="13">
        <f t="shared" ref="C131:C194" si="2">+SMALL($A$2:$A$1256,B131)</f>
        <v>-1.1627298272588555E-2</v>
      </c>
    </row>
    <row r="132" spans="1:3" x14ac:dyDescent="0.35">
      <c r="A132" s="13">
        <v>3.6390051463966152E-3</v>
      </c>
      <c r="B132" s="2">
        <v>131</v>
      </c>
      <c r="C132" s="13">
        <f t="shared" si="2"/>
        <v>-1.1626377477921352E-2</v>
      </c>
    </row>
    <row r="133" spans="1:3" x14ac:dyDescent="0.35">
      <c r="A133" s="13">
        <v>8.6357900757527712E-3</v>
      </c>
      <c r="B133" s="2">
        <v>132</v>
      </c>
      <c r="C133" s="13">
        <f t="shared" si="2"/>
        <v>-1.1529839157998548E-2</v>
      </c>
    </row>
    <row r="134" spans="1:3" x14ac:dyDescent="0.35">
      <c r="A134" s="13">
        <v>4.7435257773611669E-5</v>
      </c>
      <c r="B134" s="2">
        <v>133</v>
      </c>
      <c r="C134" s="13">
        <f t="shared" si="2"/>
        <v>-1.1516842614003429E-2</v>
      </c>
    </row>
    <row r="135" spans="1:3" x14ac:dyDescent="0.35">
      <c r="A135" s="13">
        <v>2.2446326158083994E-4</v>
      </c>
      <c r="B135" s="2">
        <v>134</v>
      </c>
      <c r="C135" s="13">
        <f t="shared" si="2"/>
        <v>-1.1509552743174119E-2</v>
      </c>
    </row>
    <row r="136" spans="1:3" x14ac:dyDescent="0.35">
      <c r="A136" s="13">
        <v>-1.3692598731479579E-2</v>
      </c>
      <c r="B136" s="2">
        <v>135</v>
      </c>
      <c r="C136" s="13">
        <f t="shared" si="2"/>
        <v>-1.1489897107870781E-2</v>
      </c>
    </row>
    <row r="137" spans="1:3" x14ac:dyDescent="0.35">
      <c r="A137" s="13">
        <v>-1.9525238160125264E-2</v>
      </c>
      <c r="B137" s="2">
        <v>136</v>
      </c>
      <c r="C137" s="13">
        <f t="shared" si="2"/>
        <v>-1.1431586047175488E-2</v>
      </c>
    </row>
    <row r="138" spans="1:3" x14ac:dyDescent="0.35">
      <c r="A138" s="13">
        <v>1.5962946709940494E-2</v>
      </c>
      <c r="B138" s="2">
        <v>137</v>
      </c>
      <c r="C138" s="13">
        <f t="shared" si="2"/>
        <v>-1.1274164611589225E-2</v>
      </c>
    </row>
    <row r="139" spans="1:3" x14ac:dyDescent="0.35">
      <c r="A139" s="13">
        <v>1.1339433237210355E-2</v>
      </c>
      <c r="B139" s="2">
        <v>138</v>
      </c>
      <c r="C139" s="13">
        <f t="shared" si="2"/>
        <v>-1.126675868936477E-2</v>
      </c>
    </row>
    <row r="140" spans="1:3" x14ac:dyDescent="0.35">
      <c r="A140" s="13">
        <v>-4.1559649413495177E-4</v>
      </c>
      <c r="B140" s="2">
        <v>139</v>
      </c>
      <c r="C140" s="13">
        <f t="shared" si="2"/>
        <v>-1.1207828641329725E-2</v>
      </c>
    </row>
    <row r="141" spans="1:3" x14ac:dyDescent="0.35">
      <c r="A141" s="13">
        <v>-4.6085872991487552E-3</v>
      </c>
      <c r="B141" s="2">
        <v>140</v>
      </c>
      <c r="C141" s="13">
        <f t="shared" si="2"/>
        <v>-1.1044176633060499E-2</v>
      </c>
    </row>
    <row r="142" spans="1:3" x14ac:dyDescent="0.35">
      <c r="A142" s="13">
        <v>-3.4785290657615847E-3</v>
      </c>
      <c r="B142" s="2">
        <v>141</v>
      </c>
      <c r="C142" s="13">
        <f t="shared" si="2"/>
        <v>-1.0998309245835787E-2</v>
      </c>
    </row>
    <row r="143" spans="1:3" x14ac:dyDescent="0.35">
      <c r="A143" s="13">
        <v>3.6471772279967562E-3</v>
      </c>
      <c r="B143" s="2">
        <v>142</v>
      </c>
      <c r="C143" s="13">
        <f t="shared" si="2"/>
        <v>-1.0964510548314607E-2</v>
      </c>
    </row>
    <row r="144" spans="1:3" x14ac:dyDescent="0.35">
      <c r="A144" s="13">
        <v>3.151081379500196E-3</v>
      </c>
      <c r="B144" s="2">
        <v>143</v>
      </c>
      <c r="C144" s="13">
        <f t="shared" si="2"/>
        <v>-1.0898670441375134E-2</v>
      </c>
    </row>
    <row r="145" spans="1:3" x14ac:dyDescent="0.35">
      <c r="A145" s="13">
        <v>6.6098078565618567E-3</v>
      </c>
      <c r="B145" s="2">
        <v>144</v>
      </c>
      <c r="C145" s="13">
        <f t="shared" si="2"/>
        <v>-1.0860987588651557E-2</v>
      </c>
    </row>
    <row r="146" spans="1:3" x14ac:dyDescent="0.35">
      <c r="A146" s="13">
        <v>-2.4028953393083826E-3</v>
      </c>
      <c r="B146" s="2">
        <v>145</v>
      </c>
      <c r="C146" s="13">
        <f t="shared" si="2"/>
        <v>-1.0739253666667581E-2</v>
      </c>
    </row>
    <row r="147" spans="1:3" x14ac:dyDescent="0.35">
      <c r="A147" s="13">
        <v>-1.0774151191868134E-4</v>
      </c>
      <c r="B147" s="2">
        <v>146</v>
      </c>
      <c r="C147" s="13">
        <f t="shared" si="2"/>
        <v>-1.0707485639820215E-2</v>
      </c>
    </row>
    <row r="148" spans="1:3" x14ac:dyDescent="0.35">
      <c r="A148" s="13">
        <v>2.8460688750411873E-3</v>
      </c>
      <c r="B148" s="2">
        <v>147</v>
      </c>
      <c r="C148" s="13">
        <f t="shared" si="2"/>
        <v>-1.0698783016261018E-2</v>
      </c>
    </row>
    <row r="149" spans="1:3" x14ac:dyDescent="0.35">
      <c r="A149" s="13">
        <v>9.1649192806509663E-4</v>
      </c>
      <c r="B149" s="2">
        <v>148</v>
      </c>
      <c r="C149" s="13">
        <f t="shared" si="2"/>
        <v>-1.0619715331082547E-2</v>
      </c>
    </row>
    <row r="150" spans="1:3" x14ac:dyDescent="0.35">
      <c r="A150" s="13">
        <v>4.5747352541303608E-3</v>
      </c>
      <c r="B150" s="2">
        <v>149</v>
      </c>
      <c r="C150" s="13">
        <f t="shared" si="2"/>
        <v>-1.0614876614779958E-2</v>
      </c>
    </row>
    <row r="151" spans="1:3" x14ac:dyDescent="0.35">
      <c r="A151" s="13">
        <v>3.2948782997911565E-3</v>
      </c>
      <c r="B151" s="2">
        <v>150</v>
      </c>
      <c r="C151" s="13">
        <f t="shared" si="2"/>
        <v>-1.0607068274581312E-2</v>
      </c>
    </row>
    <row r="152" spans="1:3" x14ac:dyDescent="0.35">
      <c r="A152" s="13">
        <v>-1.1385410145536417E-4</v>
      </c>
      <c r="B152" s="2">
        <v>151</v>
      </c>
      <c r="C152" s="13">
        <f t="shared" si="2"/>
        <v>-1.044390426981397E-2</v>
      </c>
    </row>
    <row r="153" spans="1:3" x14ac:dyDescent="0.35">
      <c r="A153" s="13">
        <v>7.4748171453035139E-3</v>
      </c>
      <c r="B153" s="2">
        <v>152</v>
      </c>
      <c r="C153" s="13">
        <f t="shared" si="2"/>
        <v>-1.0355760435066912E-2</v>
      </c>
    </row>
    <row r="154" spans="1:3" x14ac:dyDescent="0.35">
      <c r="A154" s="13">
        <v>-5.7917521807671892E-4</v>
      </c>
      <c r="B154" s="2">
        <v>153</v>
      </c>
      <c r="C154" s="13">
        <f t="shared" si="2"/>
        <v>-1.0334668849688484E-2</v>
      </c>
    </row>
    <row r="155" spans="1:3" x14ac:dyDescent="0.35">
      <c r="A155" s="13">
        <v>5.3652826313718574E-4</v>
      </c>
      <c r="B155" s="2">
        <v>154</v>
      </c>
      <c r="C155" s="13">
        <f t="shared" si="2"/>
        <v>-1.0281604489315466E-2</v>
      </c>
    </row>
    <row r="156" spans="1:3" x14ac:dyDescent="0.35">
      <c r="A156" s="13">
        <v>-4.4095868140944412E-3</v>
      </c>
      <c r="B156" s="2">
        <v>155</v>
      </c>
      <c r="C156" s="13">
        <f t="shared" si="2"/>
        <v>-1.0247666137556396E-2</v>
      </c>
    </row>
    <row r="157" spans="1:3" x14ac:dyDescent="0.35">
      <c r="A157" s="13">
        <v>-5.5762990514370185E-3</v>
      </c>
      <c r="B157" s="2">
        <v>156</v>
      </c>
      <c r="C157" s="13">
        <f t="shared" si="2"/>
        <v>-1.0177148573562875E-2</v>
      </c>
    </row>
    <row r="158" spans="1:3" x14ac:dyDescent="0.35">
      <c r="A158" s="13">
        <v>2.0136396464180738E-3</v>
      </c>
      <c r="B158" s="2">
        <v>157</v>
      </c>
      <c r="C158" s="13">
        <f t="shared" si="2"/>
        <v>-1.0170586353914587E-2</v>
      </c>
    </row>
    <row r="159" spans="1:3" x14ac:dyDescent="0.35">
      <c r="A159" s="13">
        <v>-3.6591065685811037E-3</v>
      </c>
      <c r="B159" s="2">
        <v>158</v>
      </c>
      <c r="C159" s="13">
        <f t="shared" si="2"/>
        <v>-1.0100529398809677E-2</v>
      </c>
    </row>
    <row r="160" spans="1:3" x14ac:dyDescent="0.35">
      <c r="A160" s="13">
        <v>3.3708431642505649E-4</v>
      </c>
      <c r="B160" s="2">
        <v>159</v>
      </c>
      <c r="C160" s="13">
        <f t="shared" si="2"/>
        <v>-1.0098318142314664E-2</v>
      </c>
    </row>
    <row r="161" spans="1:3" x14ac:dyDescent="0.35">
      <c r="A161" s="13">
        <v>-1.1516842614003429E-2</v>
      </c>
      <c r="B161" s="2">
        <v>160</v>
      </c>
      <c r="C161" s="13">
        <f t="shared" si="2"/>
        <v>-1.0038094881919955E-2</v>
      </c>
    </row>
    <row r="162" spans="1:3" x14ac:dyDescent="0.35">
      <c r="A162" s="13">
        <v>-1.0334668849688484E-2</v>
      </c>
      <c r="B162" s="2">
        <v>161</v>
      </c>
      <c r="C162" s="13">
        <f t="shared" si="2"/>
        <v>-9.9841171723738294E-3</v>
      </c>
    </row>
    <row r="163" spans="1:3" x14ac:dyDescent="0.35">
      <c r="A163" s="13">
        <v>-1.4787984828908647E-2</v>
      </c>
      <c r="B163" s="2">
        <v>162</v>
      </c>
      <c r="C163" s="13">
        <f t="shared" si="2"/>
        <v>-9.795490832663678E-3</v>
      </c>
    </row>
    <row r="164" spans="1:3" x14ac:dyDescent="0.35">
      <c r="A164" s="13">
        <v>2.2255999790554103E-2</v>
      </c>
      <c r="B164" s="2">
        <v>163</v>
      </c>
      <c r="C164" s="13">
        <f t="shared" si="2"/>
        <v>-9.682394475868536E-3</v>
      </c>
    </row>
    <row r="165" spans="1:3" x14ac:dyDescent="0.35">
      <c r="A165" s="13">
        <v>1.4966799208214745E-3</v>
      </c>
      <c r="B165" s="2">
        <v>164</v>
      </c>
      <c r="C165" s="13">
        <f t="shared" si="2"/>
        <v>-9.6429726534870558E-3</v>
      </c>
    </row>
    <row r="166" spans="1:3" x14ac:dyDescent="0.35">
      <c r="A166" s="13">
        <v>-2.8635224536393139E-3</v>
      </c>
      <c r="B166" s="2">
        <v>165</v>
      </c>
      <c r="C166" s="13">
        <f t="shared" si="2"/>
        <v>-9.5447647508383349E-3</v>
      </c>
    </row>
    <row r="167" spans="1:3" x14ac:dyDescent="0.35">
      <c r="A167" s="13">
        <v>1.0851008144998163E-2</v>
      </c>
      <c r="B167" s="2">
        <v>166</v>
      </c>
      <c r="C167" s="13">
        <f t="shared" si="2"/>
        <v>-9.4986019880226001E-3</v>
      </c>
    </row>
    <row r="168" spans="1:3" x14ac:dyDescent="0.35">
      <c r="A168" s="13">
        <v>3.4957050134725677E-3</v>
      </c>
      <c r="B168" s="2">
        <v>167</v>
      </c>
      <c r="C168" s="13">
        <f t="shared" si="2"/>
        <v>-9.4609647803206298E-3</v>
      </c>
    </row>
    <row r="169" spans="1:3" x14ac:dyDescent="0.35">
      <c r="A169" s="13">
        <v>-7.0230603600388523E-3</v>
      </c>
      <c r="B169" s="2">
        <v>168</v>
      </c>
      <c r="C169" s="13">
        <f t="shared" si="2"/>
        <v>-9.428366083056949E-3</v>
      </c>
    </row>
    <row r="170" spans="1:3" x14ac:dyDescent="0.35">
      <c r="A170" s="13">
        <v>-9.4327174117667144E-4</v>
      </c>
      <c r="B170" s="2">
        <v>169</v>
      </c>
      <c r="C170" s="13">
        <f t="shared" si="2"/>
        <v>-9.414166102628449E-3</v>
      </c>
    </row>
    <row r="171" spans="1:3" x14ac:dyDescent="0.35">
      <c r="A171" s="13">
        <v>1.0931854716639773E-2</v>
      </c>
      <c r="B171" s="2">
        <v>170</v>
      </c>
      <c r="C171" s="13">
        <f t="shared" si="2"/>
        <v>-9.4047797905793609E-3</v>
      </c>
    </row>
    <row r="172" spans="1:3" x14ac:dyDescent="0.35">
      <c r="A172" s="13">
        <v>-6.1006397867851799E-4</v>
      </c>
      <c r="B172" s="2">
        <v>171</v>
      </c>
      <c r="C172" s="13">
        <f t="shared" si="2"/>
        <v>-9.3435714035525128E-3</v>
      </c>
    </row>
    <row r="173" spans="1:3" x14ac:dyDescent="0.35">
      <c r="A173" s="13">
        <v>-5.7944235927946631E-3</v>
      </c>
      <c r="B173" s="2">
        <v>172</v>
      </c>
      <c r="C173" s="13">
        <f t="shared" si="2"/>
        <v>-9.258435924320187E-3</v>
      </c>
    </row>
    <row r="174" spans="1:3" x14ac:dyDescent="0.35">
      <c r="A174" s="13">
        <v>-4.7589612495613958E-3</v>
      </c>
      <c r="B174" s="2">
        <v>173</v>
      </c>
      <c r="C174" s="13">
        <f t="shared" si="2"/>
        <v>-9.2398303406231556E-3</v>
      </c>
    </row>
    <row r="175" spans="1:3" x14ac:dyDescent="0.35">
      <c r="A175" s="13">
        <v>5.3477580168628091E-3</v>
      </c>
      <c r="B175" s="2">
        <v>174</v>
      </c>
      <c r="C175" s="13">
        <f t="shared" si="2"/>
        <v>-9.1699895192944095E-3</v>
      </c>
    </row>
    <row r="176" spans="1:3" x14ac:dyDescent="0.35">
      <c r="A176" s="13">
        <v>-5.5919622112471992E-3</v>
      </c>
      <c r="B176" s="2">
        <v>175</v>
      </c>
      <c r="C176" s="13">
        <f t="shared" si="2"/>
        <v>-9.0817169165884875E-3</v>
      </c>
    </row>
    <row r="177" spans="1:3" x14ac:dyDescent="0.35">
      <c r="A177" s="13">
        <v>1.2289523400872403E-2</v>
      </c>
      <c r="B177" s="2">
        <v>176</v>
      </c>
      <c r="C177" s="13">
        <f t="shared" si="2"/>
        <v>-9.0203382057454668E-3</v>
      </c>
    </row>
    <row r="178" spans="1:3" x14ac:dyDescent="0.35">
      <c r="A178" s="13">
        <v>8.6816567805285112E-4</v>
      </c>
      <c r="B178" s="2">
        <v>177</v>
      </c>
      <c r="C178" s="13">
        <f t="shared" si="2"/>
        <v>-9.0156844393591284E-3</v>
      </c>
    </row>
    <row r="179" spans="1:3" x14ac:dyDescent="0.35">
      <c r="A179" s="13">
        <v>-2.2738053615849775E-3</v>
      </c>
      <c r="B179" s="2">
        <v>178</v>
      </c>
      <c r="C179" s="13">
        <f t="shared" si="2"/>
        <v>-8.9303178662345252E-3</v>
      </c>
    </row>
    <row r="180" spans="1:3" x14ac:dyDescent="0.35">
      <c r="A180" s="13">
        <v>-1.5354849654043994E-3</v>
      </c>
      <c r="B180" s="2">
        <v>179</v>
      </c>
      <c r="C180" s="13">
        <f t="shared" si="2"/>
        <v>-8.9113872796176448E-3</v>
      </c>
    </row>
    <row r="181" spans="1:3" x14ac:dyDescent="0.35">
      <c r="A181" s="13">
        <v>8.7910268330942086E-4</v>
      </c>
      <c r="B181" s="2">
        <v>180</v>
      </c>
      <c r="C181" s="13">
        <f t="shared" si="2"/>
        <v>-8.8583365006970182E-3</v>
      </c>
    </row>
    <row r="182" spans="1:3" x14ac:dyDescent="0.35">
      <c r="A182" s="13">
        <v>-9.258435924320187E-3</v>
      </c>
      <c r="B182" s="2">
        <v>181</v>
      </c>
      <c r="C182" s="13">
        <f t="shared" si="2"/>
        <v>-8.7462492276133216E-3</v>
      </c>
    </row>
    <row r="183" spans="1:3" x14ac:dyDescent="0.35">
      <c r="A183" s="13">
        <v>-1.6436336432628658E-2</v>
      </c>
      <c r="B183" s="2">
        <v>182</v>
      </c>
      <c r="C183" s="13">
        <f t="shared" si="2"/>
        <v>-8.7340320245152935E-3</v>
      </c>
    </row>
    <row r="184" spans="1:3" x14ac:dyDescent="0.35">
      <c r="A184" s="13">
        <v>1.7476788693058076E-2</v>
      </c>
      <c r="B184" s="2">
        <v>183</v>
      </c>
      <c r="C184" s="13">
        <f t="shared" si="2"/>
        <v>-8.6940042931257077E-3</v>
      </c>
    </row>
    <row r="185" spans="1:3" x14ac:dyDescent="0.35">
      <c r="A185" s="13">
        <v>8.9715364647387948E-3</v>
      </c>
      <c r="B185" s="2">
        <v>184</v>
      </c>
      <c r="C185" s="13">
        <f t="shared" si="2"/>
        <v>-8.679028580377798E-3</v>
      </c>
    </row>
    <row r="186" spans="1:3" x14ac:dyDescent="0.35">
      <c r="A186" s="13">
        <v>-1.7213064941382925E-3</v>
      </c>
      <c r="B186" s="2">
        <v>185</v>
      </c>
      <c r="C186" s="13">
        <f t="shared" si="2"/>
        <v>-8.6643290053858308E-3</v>
      </c>
    </row>
    <row r="187" spans="1:3" x14ac:dyDescent="0.35">
      <c r="A187" s="13">
        <v>7.662927289411545E-3</v>
      </c>
      <c r="B187" s="2">
        <v>186</v>
      </c>
      <c r="C187" s="13">
        <f t="shared" si="2"/>
        <v>-8.6564972354319265E-3</v>
      </c>
    </row>
    <row r="188" spans="1:3" x14ac:dyDescent="0.35">
      <c r="A188" s="13">
        <v>3.3564958174594766E-3</v>
      </c>
      <c r="B188" s="2">
        <v>187</v>
      </c>
      <c r="C188" s="13">
        <f t="shared" si="2"/>
        <v>-8.6550824628024853E-3</v>
      </c>
    </row>
    <row r="189" spans="1:3" x14ac:dyDescent="0.35">
      <c r="A189" s="13">
        <v>-1.7424885078892536E-3</v>
      </c>
      <c r="B189" s="2">
        <v>188</v>
      </c>
      <c r="C189" s="13">
        <f t="shared" si="2"/>
        <v>-8.6038975107362511E-3</v>
      </c>
    </row>
    <row r="190" spans="1:3" x14ac:dyDescent="0.35">
      <c r="A190" s="13">
        <v>-4.9924075147950355E-3</v>
      </c>
      <c r="B190" s="2">
        <v>189</v>
      </c>
      <c r="C190" s="13">
        <f t="shared" si="2"/>
        <v>-8.5836051528735482E-3</v>
      </c>
    </row>
    <row r="191" spans="1:3" x14ac:dyDescent="0.35">
      <c r="A191" s="13">
        <v>3.8309100087990139E-3</v>
      </c>
      <c r="B191" s="2">
        <v>190</v>
      </c>
      <c r="C191" s="13">
        <f t="shared" si="2"/>
        <v>-8.4698633485079302E-3</v>
      </c>
    </row>
    <row r="192" spans="1:3" x14ac:dyDescent="0.35">
      <c r="A192" s="13">
        <v>-8.3761753193545528E-3</v>
      </c>
      <c r="B192" s="2">
        <v>191</v>
      </c>
      <c r="C192" s="13">
        <f t="shared" si="2"/>
        <v>-8.4270917989562565E-3</v>
      </c>
    </row>
    <row r="193" spans="1:3" x14ac:dyDescent="0.35">
      <c r="A193" s="13">
        <v>-2.3955623305664362E-3</v>
      </c>
      <c r="B193" s="2">
        <v>192</v>
      </c>
      <c r="C193" s="13">
        <f t="shared" si="2"/>
        <v>-8.3761753193545528E-3</v>
      </c>
    </row>
    <row r="194" spans="1:3" x14ac:dyDescent="0.35">
      <c r="A194" s="13">
        <v>1.1275065445569233E-2</v>
      </c>
      <c r="B194" s="2">
        <v>193</v>
      </c>
      <c r="C194" s="13">
        <f t="shared" si="2"/>
        <v>-8.2881085247563518E-3</v>
      </c>
    </row>
    <row r="195" spans="1:3" x14ac:dyDescent="0.35">
      <c r="A195" s="13">
        <v>-8.6940042931257077E-3</v>
      </c>
      <c r="B195" s="2">
        <v>194</v>
      </c>
      <c r="C195" s="13">
        <f t="shared" ref="C195:C258" si="3">+SMALL($A$2:$A$1256,B195)</f>
        <v>-8.2793745111086458E-3</v>
      </c>
    </row>
    <row r="196" spans="1:3" x14ac:dyDescent="0.35">
      <c r="A196" s="13">
        <v>9.6826649979139361E-3</v>
      </c>
      <c r="B196" s="2">
        <v>195</v>
      </c>
      <c r="C196" s="13">
        <f t="shared" si="3"/>
        <v>-8.1638715111955959E-3</v>
      </c>
    </row>
    <row r="197" spans="1:3" x14ac:dyDescent="0.35">
      <c r="A197" s="13">
        <v>5.0095871644282447E-3</v>
      </c>
      <c r="B197" s="2">
        <v>196</v>
      </c>
      <c r="C197" s="13">
        <f t="shared" si="3"/>
        <v>-8.1567591776469592E-3</v>
      </c>
    </row>
    <row r="198" spans="1:3" x14ac:dyDescent="0.35">
      <c r="A198" s="13">
        <v>-5.6057219092926335E-3</v>
      </c>
      <c r="B198" s="2">
        <v>197</v>
      </c>
      <c r="C198" s="13">
        <f t="shared" si="3"/>
        <v>-7.9723403063311112E-3</v>
      </c>
    </row>
    <row r="199" spans="1:3" x14ac:dyDescent="0.35">
      <c r="A199" s="13">
        <v>6.847485757148105E-3</v>
      </c>
      <c r="B199" s="2">
        <v>198</v>
      </c>
      <c r="C199" s="13">
        <f t="shared" si="3"/>
        <v>-7.962955116427535E-3</v>
      </c>
    </row>
    <row r="200" spans="1:3" x14ac:dyDescent="0.35">
      <c r="A200" s="13">
        <v>1.1071054568528381E-2</v>
      </c>
      <c r="B200" s="2">
        <v>199</v>
      </c>
      <c r="C200" s="13">
        <f t="shared" si="3"/>
        <v>-7.8494617988556625E-3</v>
      </c>
    </row>
    <row r="201" spans="1:3" x14ac:dyDescent="0.35">
      <c r="A201" s="13">
        <v>-1.6977658758962305E-3</v>
      </c>
      <c r="B201" s="2">
        <v>200</v>
      </c>
      <c r="C201" s="13">
        <f t="shared" si="3"/>
        <v>-7.8387235551748129E-3</v>
      </c>
    </row>
    <row r="202" spans="1:3" x14ac:dyDescent="0.35">
      <c r="A202" s="13">
        <v>-1.7442727206844495E-3</v>
      </c>
      <c r="B202" s="2">
        <v>201</v>
      </c>
      <c r="C202" s="13">
        <f t="shared" si="3"/>
        <v>-7.8314899367894555E-3</v>
      </c>
    </row>
    <row r="203" spans="1:3" x14ac:dyDescent="0.35">
      <c r="A203" s="13">
        <v>2.4021135063445639E-3</v>
      </c>
      <c r="B203" s="2">
        <v>202</v>
      </c>
      <c r="C203" s="13">
        <f t="shared" si="3"/>
        <v>-7.8283438066470007E-3</v>
      </c>
    </row>
    <row r="204" spans="1:3" x14ac:dyDescent="0.35">
      <c r="A204" s="13">
        <v>-7.6632118157408356E-3</v>
      </c>
      <c r="B204" s="2">
        <v>203</v>
      </c>
      <c r="C204" s="13">
        <f t="shared" si="3"/>
        <v>-7.8280736985814753E-3</v>
      </c>
    </row>
    <row r="205" spans="1:3" x14ac:dyDescent="0.35">
      <c r="A205" s="13">
        <v>-1.4988404117332665E-2</v>
      </c>
      <c r="B205" s="2">
        <v>204</v>
      </c>
      <c r="C205" s="13">
        <f t="shared" si="3"/>
        <v>-7.8141134795704659E-3</v>
      </c>
    </row>
    <row r="206" spans="1:3" x14ac:dyDescent="0.35">
      <c r="A206" s="13">
        <v>-6.476331932264945E-3</v>
      </c>
      <c r="B206" s="2">
        <v>205</v>
      </c>
      <c r="C206" s="13">
        <f t="shared" si="3"/>
        <v>-7.8073486582081681E-3</v>
      </c>
    </row>
    <row r="207" spans="1:3" x14ac:dyDescent="0.35">
      <c r="A207" s="13">
        <v>8.9666532187371254E-3</v>
      </c>
      <c r="B207" s="2">
        <v>206</v>
      </c>
      <c r="C207" s="13">
        <f t="shared" si="3"/>
        <v>-7.7905512026567271E-3</v>
      </c>
    </row>
    <row r="208" spans="1:3" x14ac:dyDescent="0.35">
      <c r="A208" s="13">
        <v>4.01270547995204E-3</v>
      </c>
      <c r="B208" s="2">
        <v>207</v>
      </c>
      <c r="C208" s="13">
        <f t="shared" si="3"/>
        <v>-7.747444108341774E-3</v>
      </c>
    </row>
    <row r="209" spans="1:3" x14ac:dyDescent="0.35">
      <c r="A209" s="13">
        <v>8.9307385971981756E-4</v>
      </c>
      <c r="B209" s="2">
        <v>208</v>
      </c>
      <c r="C209" s="13">
        <f t="shared" si="3"/>
        <v>-7.7026382536875704E-3</v>
      </c>
    </row>
    <row r="210" spans="1:3" x14ac:dyDescent="0.35">
      <c r="A210" s="13">
        <v>7.5364135514348471E-3</v>
      </c>
      <c r="B210" s="2">
        <v>209</v>
      </c>
      <c r="C210" s="13">
        <f t="shared" si="3"/>
        <v>-7.684971409073941E-3</v>
      </c>
    </row>
    <row r="211" spans="1:3" x14ac:dyDescent="0.35">
      <c r="A211" s="13">
        <v>-9.414166102628449E-3</v>
      </c>
      <c r="B211" s="2">
        <v>210</v>
      </c>
      <c r="C211" s="13">
        <f t="shared" si="3"/>
        <v>-7.6632118157408356E-3</v>
      </c>
    </row>
    <row r="212" spans="1:3" x14ac:dyDescent="0.35">
      <c r="A212" s="13">
        <v>5.1936370067368932E-3</v>
      </c>
      <c r="B212" s="2">
        <v>211</v>
      </c>
      <c r="C212" s="13">
        <f t="shared" si="3"/>
        <v>-7.6495404139678832E-3</v>
      </c>
    </row>
    <row r="213" spans="1:3" x14ac:dyDescent="0.35">
      <c r="A213" s="13">
        <v>-3.4007540260234171E-3</v>
      </c>
      <c r="B213" s="2">
        <v>212</v>
      </c>
      <c r="C213" s="13">
        <f t="shared" si="3"/>
        <v>-7.6213179119137215E-3</v>
      </c>
    </row>
    <row r="214" spans="1:3" x14ac:dyDescent="0.35">
      <c r="A214" s="13">
        <v>4.0901145814208418E-3</v>
      </c>
      <c r="B214" s="2">
        <v>213</v>
      </c>
      <c r="C214" s="13">
        <f t="shared" si="3"/>
        <v>-7.6063885805894276E-3</v>
      </c>
    </row>
    <row r="215" spans="1:3" x14ac:dyDescent="0.35">
      <c r="A215" s="13">
        <v>-6.6816021261235179E-3</v>
      </c>
      <c r="B215" s="2">
        <v>214</v>
      </c>
      <c r="C215" s="13">
        <f t="shared" si="3"/>
        <v>-7.5795166965117854E-3</v>
      </c>
    </row>
    <row r="216" spans="1:3" x14ac:dyDescent="0.35">
      <c r="A216" s="13">
        <v>2.5982912737101817E-3</v>
      </c>
      <c r="B216" s="2">
        <v>215</v>
      </c>
      <c r="C216" s="13">
        <f t="shared" si="3"/>
        <v>-7.523247152651685E-3</v>
      </c>
    </row>
    <row r="217" spans="1:3" x14ac:dyDescent="0.35">
      <c r="A217" s="13">
        <v>-4.207545256785775E-3</v>
      </c>
      <c r="B217" s="2">
        <v>216</v>
      </c>
      <c r="C217" s="13">
        <f t="shared" si="3"/>
        <v>-7.5130545000161569E-3</v>
      </c>
    </row>
    <row r="218" spans="1:3" x14ac:dyDescent="0.35">
      <c r="A218" s="13">
        <v>-7.6213179119137215E-3</v>
      </c>
      <c r="B218" s="2">
        <v>217</v>
      </c>
      <c r="C218" s="13">
        <f t="shared" si="3"/>
        <v>-7.4563151170049351E-3</v>
      </c>
    </row>
    <row r="219" spans="1:3" x14ac:dyDescent="0.35">
      <c r="A219" s="13">
        <v>-6.5006415623134633E-4</v>
      </c>
      <c r="B219" s="2">
        <v>218</v>
      </c>
      <c r="C219" s="13">
        <f t="shared" si="3"/>
        <v>-7.4554858617065685E-3</v>
      </c>
    </row>
    <row r="220" spans="1:3" x14ac:dyDescent="0.35">
      <c r="A220" s="13">
        <v>-5.3165391391019317E-3</v>
      </c>
      <c r="B220" s="2">
        <v>219</v>
      </c>
      <c r="C220" s="13">
        <f t="shared" si="3"/>
        <v>-7.3843929298882359E-3</v>
      </c>
    </row>
    <row r="221" spans="1:3" x14ac:dyDescent="0.35">
      <c r="A221" s="13">
        <v>-4.1133546672766346E-3</v>
      </c>
      <c r="B221" s="2">
        <v>220</v>
      </c>
      <c r="C221" s="13">
        <f t="shared" si="3"/>
        <v>-7.3710272519863403E-3</v>
      </c>
    </row>
    <row r="222" spans="1:3" x14ac:dyDescent="0.35">
      <c r="A222" s="13">
        <v>5.8784499329157611E-3</v>
      </c>
      <c r="B222" s="2">
        <v>221</v>
      </c>
      <c r="C222" s="13">
        <f t="shared" si="3"/>
        <v>-7.3564103523120501E-3</v>
      </c>
    </row>
    <row r="223" spans="1:3" x14ac:dyDescent="0.35">
      <c r="A223" s="13">
        <v>-9.2398303406231556E-3</v>
      </c>
      <c r="B223" s="2">
        <v>222</v>
      </c>
      <c r="C223" s="13">
        <f t="shared" si="3"/>
        <v>-7.3421344001421245E-3</v>
      </c>
    </row>
    <row r="224" spans="1:3" x14ac:dyDescent="0.35">
      <c r="A224" s="13">
        <v>9.7918342284300658E-3</v>
      </c>
      <c r="B224" s="2">
        <v>223</v>
      </c>
      <c r="C224" s="13">
        <f t="shared" si="3"/>
        <v>-7.2597547483296398E-3</v>
      </c>
    </row>
    <row r="225" spans="1:3" x14ac:dyDescent="0.35">
      <c r="A225" s="13">
        <v>-8.4718663956261412E-4</v>
      </c>
      <c r="B225" s="2">
        <v>224</v>
      </c>
      <c r="C225" s="13">
        <f t="shared" si="3"/>
        <v>-7.236537042007652E-3</v>
      </c>
    </row>
    <row r="226" spans="1:3" x14ac:dyDescent="0.35">
      <c r="A226" s="13">
        <v>-6.9903741468121481E-3</v>
      </c>
      <c r="B226" s="2">
        <v>225</v>
      </c>
      <c r="C226" s="13">
        <f t="shared" si="3"/>
        <v>-7.2085333903373341E-3</v>
      </c>
    </row>
    <row r="227" spans="1:3" x14ac:dyDescent="0.35">
      <c r="A227" s="13">
        <v>-1.9054141358504757E-2</v>
      </c>
      <c r="B227" s="2">
        <v>226</v>
      </c>
      <c r="C227" s="13">
        <f t="shared" si="3"/>
        <v>-7.1994611354706667E-3</v>
      </c>
    </row>
    <row r="228" spans="1:3" x14ac:dyDescent="0.35">
      <c r="A228" s="13">
        <v>2.8332937529604296E-4</v>
      </c>
      <c r="B228" s="2">
        <v>227</v>
      </c>
      <c r="C228" s="13">
        <f t="shared" si="3"/>
        <v>-7.1820608264267071E-3</v>
      </c>
    </row>
    <row r="229" spans="1:3" x14ac:dyDescent="0.35">
      <c r="A229" s="13">
        <v>1.1011251754442668E-2</v>
      </c>
      <c r="B229" s="2">
        <v>228</v>
      </c>
      <c r="C229" s="13">
        <f t="shared" si="3"/>
        <v>-7.129680813644043E-3</v>
      </c>
    </row>
    <row r="230" spans="1:3" x14ac:dyDescent="0.35">
      <c r="A230" s="13">
        <v>1.6323684252019664E-2</v>
      </c>
      <c r="B230" s="2">
        <v>229</v>
      </c>
      <c r="C230" s="13">
        <f t="shared" si="3"/>
        <v>-7.0899572748348008E-3</v>
      </c>
    </row>
    <row r="231" spans="1:3" x14ac:dyDescent="0.35">
      <c r="A231" s="13">
        <v>4.8431664553145173E-3</v>
      </c>
      <c r="B231" s="2">
        <v>230</v>
      </c>
      <c r="C231" s="13">
        <f t="shared" si="3"/>
        <v>-7.0500423068166496E-3</v>
      </c>
    </row>
    <row r="232" spans="1:3" x14ac:dyDescent="0.35">
      <c r="A232" s="13">
        <v>2.2215093476719572E-3</v>
      </c>
      <c r="B232" s="2">
        <v>231</v>
      </c>
      <c r="C232" s="13">
        <f t="shared" si="3"/>
        <v>-7.0439752665593831E-3</v>
      </c>
    </row>
    <row r="233" spans="1:3" x14ac:dyDescent="0.35">
      <c r="A233" s="13">
        <v>-1.3457876648170148E-2</v>
      </c>
      <c r="B233" s="2">
        <v>232</v>
      </c>
      <c r="C233" s="13">
        <f t="shared" si="3"/>
        <v>-7.0230603600388523E-3</v>
      </c>
    </row>
    <row r="234" spans="1:3" x14ac:dyDescent="0.35">
      <c r="A234" s="13">
        <v>-5.0440029596464766E-4</v>
      </c>
      <c r="B234" s="2">
        <v>233</v>
      </c>
      <c r="C234" s="13">
        <f t="shared" si="3"/>
        <v>-6.9903741468121481E-3</v>
      </c>
    </row>
    <row r="235" spans="1:3" x14ac:dyDescent="0.35">
      <c r="A235" s="13">
        <v>-1.2760590042366654E-2</v>
      </c>
      <c r="B235" s="2">
        <v>234</v>
      </c>
      <c r="C235" s="13">
        <f t="shared" si="3"/>
        <v>-6.9782364633414837E-3</v>
      </c>
    </row>
    <row r="236" spans="1:3" x14ac:dyDescent="0.35">
      <c r="A236" s="13">
        <v>1.7911226367382377E-2</v>
      </c>
      <c r="B236" s="2">
        <v>235</v>
      </c>
      <c r="C236" s="13">
        <f t="shared" si="3"/>
        <v>-6.9711277282552397E-3</v>
      </c>
    </row>
    <row r="237" spans="1:3" x14ac:dyDescent="0.35">
      <c r="A237" s="13">
        <v>-5.9768096722509056E-3</v>
      </c>
      <c r="B237" s="2">
        <v>236</v>
      </c>
      <c r="C237" s="13">
        <f t="shared" si="3"/>
        <v>-6.9498790944892731E-3</v>
      </c>
    </row>
    <row r="238" spans="1:3" x14ac:dyDescent="0.35">
      <c r="A238" s="13">
        <v>4.207930455953599E-3</v>
      </c>
      <c r="B238" s="2">
        <v>237</v>
      </c>
      <c r="C238" s="13">
        <f t="shared" si="3"/>
        <v>-6.9271742376501881E-3</v>
      </c>
    </row>
    <row r="239" spans="1:3" x14ac:dyDescent="0.35">
      <c r="A239" s="13">
        <v>1.4395015754426626E-4</v>
      </c>
      <c r="B239" s="2">
        <v>238</v>
      </c>
      <c r="C239" s="13">
        <f t="shared" si="3"/>
        <v>-6.9246548555717139E-3</v>
      </c>
    </row>
    <row r="240" spans="1:3" x14ac:dyDescent="0.35">
      <c r="A240" s="13">
        <v>6.8265339894112605E-3</v>
      </c>
      <c r="B240" s="2">
        <v>239</v>
      </c>
      <c r="C240" s="13">
        <f t="shared" si="3"/>
        <v>-6.8896027499236448E-3</v>
      </c>
    </row>
    <row r="241" spans="1:3" x14ac:dyDescent="0.35">
      <c r="A241" s="13">
        <v>3.8493637342693512E-3</v>
      </c>
      <c r="B241" s="2">
        <v>240</v>
      </c>
      <c r="C241" s="13">
        <f t="shared" si="3"/>
        <v>-6.8599688308197395E-3</v>
      </c>
    </row>
    <row r="242" spans="1:3" x14ac:dyDescent="0.35">
      <c r="A242" s="13">
        <v>-5.8468796402798909E-3</v>
      </c>
      <c r="B242" s="2">
        <v>241</v>
      </c>
      <c r="C242" s="13">
        <f t="shared" si="3"/>
        <v>-6.8529215437166504E-3</v>
      </c>
    </row>
    <row r="243" spans="1:3" x14ac:dyDescent="0.35">
      <c r="A243" s="13">
        <v>-5.6629150329721312E-3</v>
      </c>
      <c r="B243" s="2">
        <v>242</v>
      </c>
      <c r="C243" s="13">
        <f t="shared" si="3"/>
        <v>-6.8084007096550934E-3</v>
      </c>
    </row>
    <row r="244" spans="1:3" x14ac:dyDescent="0.35">
      <c r="A244" s="13">
        <v>-7.129680813644043E-3</v>
      </c>
      <c r="B244" s="2">
        <v>243</v>
      </c>
      <c r="C244" s="13">
        <f t="shared" si="3"/>
        <v>-6.7968958690856913E-3</v>
      </c>
    </row>
    <row r="245" spans="1:3" x14ac:dyDescent="0.35">
      <c r="A245" s="13">
        <v>1.860972508264519E-2</v>
      </c>
      <c r="B245" s="2">
        <v>244</v>
      </c>
      <c r="C245" s="13">
        <f t="shared" si="3"/>
        <v>-6.781076401605619E-3</v>
      </c>
    </row>
    <row r="246" spans="1:3" x14ac:dyDescent="0.35">
      <c r="A246" s="13">
        <v>1.3053487714430115E-2</v>
      </c>
      <c r="B246" s="2">
        <v>245</v>
      </c>
      <c r="C246" s="13">
        <f t="shared" si="3"/>
        <v>-6.7170247869530221E-3</v>
      </c>
    </row>
    <row r="247" spans="1:3" x14ac:dyDescent="0.35">
      <c r="A247" s="13">
        <v>-7.442642112822647E-4</v>
      </c>
      <c r="B247" s="2">
        <v>246</v>
      </c>
      <c r="C247" s="13">
        <f t="shared" si="3"/>
        <v>-6.7150964761177531E-3</v>
      </c>
    </row>
    <row r="248" spans="1:3" x14ac:dyDescent="0.35">
      <c r="A248" s="13">
        <v>7.5709960922091223E-3</v>
      </c>
      <c r="B248" s="2">
        <v>247</v>
      </c>
      <c r="C248" s="13">
        <f t="shared" si="3"/>
        <v>-6.7022770700329304E-3</v>
      </c>
    </row>
    <row r="249" spans="1:3" x14ac:dyDescent="0.35">
      <c r="A249" s="13">
        <v>6.5968187243502837E-3</v>
      </c>
      <c r="B249" s="2">
        <v>248</v>
      </c>
      <c r="C249" s="13">
        <f t="shared" si="3"/>
        <v>-6.6816021261235179E-3</v>
      </c>
    </row>
    <row r="250" spans="1:3" x14ac:dyDescent="0.35">
      <c r="A250" s="13">
        <v>-2.7494410445424181E-2</v>
      </c>
      <c r="B250" s="2">
        <v>249</v>
      </c>
      <c r="C250" s="13">
        <f t="shared" si="3"/>
        <v>-6.6763400606494484E-3</v>
      </c>
    </row>
    <row r="251" spans="1:3" x14ac:dyDescent="0.35">
      <c r="A251" s="13">
        <v>9.8257868977455459E-3</v>
      </c>
      <c r="B251" s="2">
        <v>250</v>
      </c>
      <c r="C251" s="13">
        <f t="shared" si="3"/>
        <v>-6.6472728568100197E-3</v>
      </c>
    </row>
    <row r="252" spans="1:3" x14ac:dyDescent="0.35">
      <c r="A252" s="13">
        <v>-1.9872513544634618E-3</v>
      </c>
      <c r="B252" s="2">
        <v>251</v>
      </c>
      <c r="C252" s="13">
        <f t="shared" si="3"/>
        <v>-6.6241427875268549E-3</v>
      </c>
    </row>
    <row r="253" spans="1:3" x14ac:dyDescent="0.35">
      <c r="A253" s="13">
        <v>-5.7781229719860655E-3</v>
      </c>
      <c r="B253" s="2">
        <v>252</v>
      </c>
      <c r="C253" s="13">
        <f t="shared" si="3"/>
        <v>-6.5339935966538159E-3</v>
      </c>
    </row>
    <row r="254" spans="1:3" x14ac:dyDescent="0.35">
      <c r="A254" s="13">
        <v>-6.2820965649064541E-3</v>
      </c>
      <c r="B254" s="2">
        <v>253</v>
      </c>
      <c r="C254" s="13">
        <f t="shared" si="3"/>
        <v>-6.4863505376489671E-3</v>
      </c>
    </row>
    <row r="255" spans="1:3" x14ac:dyDescent="0.35">
      <c r="A255" s="13">
        <v>6.5483894819114699E-3</v>
      </c>
      <c r="B255" s="2">
        <v>254</v>
      </c>
      <c r="C255" s="13">
        <f t="shared" si="3"/>
        <v>-6.476331932264945E-3</v>
      </c>
    </row>
    <row r="256" spans="1:3" x14ac:dyDescent="0.35">
      <c r="A256" s="13">
        <v>2.0022423414228813E-3</v>
      </c>
      <c r="B256" s="2">
        <v>255</v>
      </c>
      <c r="C256" s="13">
        <f t="shared" si="3"/>
        <v>-6.4483417082737181E-3</v>
      </c>
    </row>
    <row r="257" spans="1:3" x14ac:dyDescent="0.35">
      <c r="A257" s="13">
        <v>3.8124764653966487E-3</v>
      </c>
      <c r="B257" s="2">
        <v>256</v>
      </c>
      <c r="C257" s="13">
        <f t="shared" si="3"/>
        <v>-6.4457714415197412E-3</v>
      </c>
    </row>
    <row r="258" spans="1:3" x14ac:dyDescent="0.35">
      <c r="A258" s="13">
        <v>1.5605609704235166E-3</v>
      </c>
      <c r="B258" s="2">
        <v>257</v>
      </c>
      <c r="C258" s="13">
        <f t="shared" si="3"/>
        <v>-6.432764264756018E-3</v>
      </c>
    </row>
    <row r="259" spans="1:3" x14ac:dyDescent="0.35">
      <c r="A259" s="13">
        <v>-4.4633931088500006E-4</v>
      </c>
      <c r="B259" s="2">
        <v>258</v>
      </c>
      <c r="C259" s="13">
        <f t="shared" ref="C259:C322" si="4">+SMALL($A$2:$A$1256,B259)</f>
        <v>-6.3861227658814435E-3</v>
      </c>
    </row>
    <row r="260" spans="1:3" x14ac:dyDescent="0.35">
      <c r="A260" s="13">
        <v>1.3013552748537597E-3</v>
      </c>
      <c r="B260" s="2">
        <v>259</v>
      </c>
      <c r="C260" s="13">
        <f t="shared" si="4"/>
        <v>-6.3805024097355976E-3</v>
      </c>
    </row>
    <row r="261" spans="1:3" x14ac:dyDescent="0.35">
      <c r="A261" s="13">
        <v>1.1118187871568441E-2</v>
      </c>
      <c r="B261" s="2">
        <v>260</v>
      </c>
      <c r="C261" s="13">
        <f t="shared" si="4"/>
        <v>-6.3423289556494653E-3</v>
      </c>
    </row>
    <row r="262" spans="1:3" x14ac:dyDescent="0.35">
      <c r="A262" s="13">
        <v>1.1599151979512985E-2</v>
      </c>
      <c r="B262" s="2">
        <v>261</v>
      </c>
      <c r="C262" s="13">
        <f t="shared" si="4"/>
        <v>-6.332427456781824E-3</v>
      </c>
    </row>
    <row r="263" spans="1:3" x14ac:dyDescent="0.35">
      <c r="A263" s="13">
        <v>-1.1529839157998548E-2</v>
      </c>
      <c r="B263" s="2">
        <v>262</v>
      </c>
      <c r="C263" s="13">
        <f t="shared" si="4"/>
        <v>-6.3095754554110548E-3</v>
      </c>
    </row>
    <row r="264" spans="1:3" x14ac:dyDescent="0.35">
      <c r="A264" s="13">
        <v>-6.4863505376489671E-3</v>
      </c>
      <c r="B264" s="2">
        <v>263</v>
      </c>
      <c r="C264" s="13">
        <f t="shared" si="4"/>
        <v>-6.2820965649064541E-3</v>
      </c>
    </row>
    <row r="265" spans="1:3" x14ac:dyDescent="0.35">
      <c r="A265" s="13">
        <v>2.3248764293934037E-3</v>
      </c>
      <c r="B265" s="2">
        <v>264</v>
      </c>
      <c r="C265" s="13">
        <f t="shared" si="4"/>
        <v>-6.2342001491181558E-3</v>
      </c>
    </row>
    <row r="266" spans="1:3" x14ac:dyDescent="0.35">
      <c r="A266" s="13">
        <v>-1.0981220806817161E-3</v>
      </c>
      <c r="B266" s="2">
        <v>265</v>
      </c>
      <c r="C266" s="13">
        <f t="shared" si="4"/>
        <v>-6.2180591585298071E-3</v>
      </c>
    </row>
    <row r="267" spans="1:3" x14ac:dyDescent="0.35">
      <c r="A267" s="13">
        <v>-1.7037579068565202E-3</v>
      </c>
      <c r="B267" s="2">
        <v>266</v>
      </c>
      <c r="C267" s="13">
        <f t="shared" si="4"/>
        <v>-6.1660130032426212E-3</v>
      </c>
    </row>
    <row r="268" spans="1:3" x14ac:dyDescent="0.35">
      <c r="A268" s="13">
        <v>-9.428366083056949E-3</v>
      </c>
      <c r="B268" s="2">
        <v>267</v>
      </c>
      <c r="C268" s="13">
        <f t="shared" si="4"/>
        <v>-6.1431155548950147E-3</v>
      </c>
    </row>
    <row r="269" spans="1:3" x14ac:dyDescent="0.35">
      <c r="A269" s="13">
        <v>-6.432764264756018E-3</v>
      </c>
      <c r="B269" s="2">
        <v>268</v>
      </c>
      <c r="C269" s="13">
        <f t="shared" si="4"/>
        <v>-6.0628607098740343E-3</v>
      </c>
    </row>
    <row r="270" spans="1:3" x14ac:dyDescent="0.35">
      <c r="A270" s="13">
        <v>-5.3889732986451711E-3</v>
      </c>
      <c r="B270" s="2">
        <v>269</v>
      </c>
      <c r="C270" s="13">
        <f t="shared" si="4"/>
        <v>-6.0407817657380314E-3</v>
      </c>
    </row>
    <row r="271" spans="1:3" x14ac:dyDescent="0.35">
      <c r="A271" s="13">
        <v>-5.6514834509395441E-3</v>
      </c>
      <c r="B271" s="2">
        <v>270</v>
      </c>
      <c r="C271" s="13">
        <f t="shared" si="4"/>
        <v>-6.035035809256001E-3</v>
      </c>
    </row>
    <row r="272" spans="1:3" x14ac:dyDescent="0.35">
      <c r="A272" s="13">
        <v>2.1552760105874947E-3</v>
      </c>
      <c r="B272" s="2">
        <v>271</v>
      </c>
      <c r="C272" s="13">
        <f t="shared" si="4"/>
        <v>-6.027949189812698E-3</v>
      </c>
    </row>
    <row r="273" spans="1:3" x14ac:dyDescent="0.35">
      <c r="A273" s="13">
        <v>3.875738857914676E-3</v>
      </c>
      <c r="B273" s="2">
        <v>272</v>
      </c>
      <c r="C273" s="13">
        <f t="shared" si="4"/>
        <v>-6.0064799213243288E-3</v>
      </c>
    </row>
    <row r="274" spans="1:3" x14ac:dyDescent="0.35">
      <c r="A274" s="13">
        <v>3.4029263525576833E-3</v>
      </c>
      <c r="B274" s="2">
        <v>273</v>
      </c>
      <c r="C274" s="13">
        <f t="shared" si="4"/>
        <v>-5.9768096722509056E-3</v>
      </c>
    </row>
    <row r="275" spans="1:3" x14ac:dyDescent="0.35">
      <c r="A275" s="13">
        <v>-3.1514551908096447E-2</v>
      </c>
      <c r="B275" s="2">
        <v>274</v>
      </c>
      <c r="C275" s="13">
        <f t="shared" si="4"/>
        <v>-5.9703339758760158E-3</v>
      </c>
    </row>
    <row r="276" spans="1:3" x14ac:dyDescent="0.35">
      <c r="A276" s="13">
        <v>4.6575970010672135E-3</v>
      </c>
      <c r="B276" s="2">
        <v>275</v>
      </c>
      <c r="C276" s="13">
        <f t="shared" si="4"/>
        <v>-5.9556638290757247E-3</v>
      </c>
    </row>
    <row r="277" spans="1:3" x14ac:dyDescent="0.35">
      <c r="A277" s="13">
        <v>-1.7857324784018854E-2</v>
      </c>
      <c r="B277" s="2">
        <v>276</v>
      </c>
      <c r="C277" s="13">
        <f t="shared" si="4"/>
        <v>-5.9401349357934589E-3</v>
      </c>
    </row>
    <row r="278" spans="1:3" x14ac:dyDescent="0.35">
      <c r="A278" s="13">
        <v>-1.0707485639820215E-2</v>
      </c>
      <c r="B278" s="2">
        <v>277</v>
      </c>
      <c r="C278" s="13">
        <f t="shared" si="4"/>
        <v>-5.9353958795300924E-3</v>
      </c>
    </row>
    <row r="279" spans="1:3" x14ac:dyDescent="0.35">
      <c r="A279" s="13">
        <v>1.0349375130999851E-2</v>
      </c>
      <c r="B279" s="2">
        <v>278</v>
      </c>
      <c r="C279" s="13">
        <f t="shared" si="4"/>
        <v>-5.9299355202524001E-3</v>
      </c>
    </row>
    <row r="280" spans="1:3" x14ac:dyDescent="0.35">
      <c r="A280" s="13">
        <v>5.0483690517118453E-3</v>
      </c>
      <c r="B280" s="2">
        <v>279</v>
      </c>
      <c r="C280" s="13">
        <f t="shared" si="4"/>
        <v>-5.8468796402798909E-3</v>
      </c>
    </row>
    <row r="281" spans="1:3" x14ac:dyDescent="0.35">
      <c r="A281" s="13">
        <v>1.5078351094912462E-2</v>
      </c>
      <c r="B281" s="2">
        <v>280</v>
      </c>
      <c r="C281" s="13">
        <f t="shared" si="4"/>
        <v>-5.8434239189136877E-3</v>
      </c>
    </row>
    <row r="282" spans="1:3" x14ac:dyDescent="0.35">
      <c r="A282" s="13">
        <v>1.7045188727631864E-2</v>
      </c>
      <c r="B282" s="2">
        <v>281</v>
      </c>
      <c r="C282" s="13">
        <f t="shared" si="4"/>
        <v>-5.8156994470291452E-3</v>
      </c>
    </row>
    <row r="283" spans="1:3" x14ac:dyDescent="0.35">
      <c r="A283" s="13">
        <v>3.078306744663294E-3</v>
      </c>
      <c r="B283" s="2">
        <v>282</v>
      </c>
      <c r="C283" s="13">
        <f t="shared" si="4"/>
        <v>-5.7944235927946631E-3</v>
      </c>
    </row>
    <row r="284" spans="1:3" x14ac:dyDescent="0.35">
      <c r="A284" s="13">
        <v>1.5674459370049036E-3</v>
      </c>
      <c r="B284" s="2">
        <v>283</v>
      </c>
      <c r="C284" s="13">
        <f t="shared" si="4"/>
        <v>-5.7842596419957941E-3</v>
      </c>
    </row>
    <row r="285" spans="1:3" x14ac:dyDescent="0.35">
      <c r="A285" s="13">
        <v>7.4710375451613169E-3</v>
      </c>
      <c r="B285" s="2">
        <v>284</v>
      </c>
      <c r="C285" s="13">
        <f t="shared" si="4"/>
        <v>-5.7781229719860655E-3</v>
      </c>
    </row>
    <row r="286" spans="1:3" x14ac:dyDescent="0.35">
      <c r="A286" s="13">
        <v>-6.7170247869530221E-3</v>
      </c>
      <c r="B286" s="2">
        <v>285</v>
      </c>
      <c r="C286" s="13">
        <f t="shared" si="4"/>
        <v>-5.7454151453756562E-3</v>
      </c>
    </row>
    <row r="287" spans="1:3" x14ac:dyDescent="0.35">
      <c r="A287" s="13">
        <v>1.948894281164859E-5</v>
      </c>
      <c r="B287" s="2">
        <v>286</v>
      </c>
      <c r="C287" s="13">
        <f t="shared" si="4"/>
        <v>-5.7014019284016611E-3</v>
      </c>
    </row>
    <row r="288" spans="1:3" x14ac:dyDescent="0.35">
      <c r="A288" s="13">
        <v>2.5710916336703533E-3</v>
      </c>
      <c r="B288" s="2">
        <v>287</v>
      </c>
      <c r="C288" s="13">
        <f t="shared" si="4"/>
        <v>-5.6806487831605919E-3</v>
      </c>
    </row>
    <row r="289" spans="1:3" x14ac:dyDescent="0.35">
      <c r="A289" s="13">
        <v>2.4552089931019383E-3</v>
      </c>
      <c r="B289" s="2">
        <v>288</v>
      </c>
      <c r="C289" s="13">
        <f t="shared" si="4"/>
        <v>-5.6629150329721312E-3</v>
      </c>
    </row>
    <row r="290" spans="1:3" x14ac:dyDescent="0.35">
      <c r="A290" s="13">
        <v>-1.1923437912225367E-2</v>
      </c>
      <c r="B290" s="2">
        <v>289</v>
      </c>
      <c r="C290" s="13">
        <f t="shared" si="4"/>
        <v>-5.6619267916963026E-3</v>
      </c>
    </row>
    <row r="291" spans="1:3" x14ac:dyDescent="0.35">
      <c r="A291" s="13">
        <v>-1.1627298272588555E-2</v>
      </c>
      <c r="B291" s="2">
        <v>290</v>
      </c>
      <c r="C291" s="13">
        <f t="shared" si="4"/>
        <v>-5.6514834509395441E-3</v>
      </c>
    </row>
    <row r="292" spans="1:3" x14ac:dyDescent="0.35">
      <c r="A292" s="13">
        <v>1.66894307384183E-2</v>
      </c>
      <c r="B292" s="2">
        <v>291</v>
      </c>
      <c r="C292" s="13">
        <f t="shared" si="4"/>
        <v>-5.6428495671620562E-3</v>
      </c>
    </row>
    <row r="293" spans="1:3" x14ac:dyDescent="0.35">
      <c r="A293" s="13">
        <v>9.619175573702482E-3</v>
      </c>
      <c r="B293" s="2">
        <v>292</v>
      </c>
      <c r="C293" s="13">
        <f t="shared" si="4"/>
        <v>-5.6239972472186747E-3</v>
      </c>
    </row>
    <row r="294" spans="1:3" x14ac:dyDescent="0.35">
      <c r="A294" s="13">
        <v>7.4506214127899517E-3</v>
      </c>
      <c r="B294" s="2">
        <v>293</v>
      </c>
      <c r="C294" s="13">
        <f t="shared" si="4"/>
        <v>-5.6182011964715037E-3</v>
      </c>
    </row>
    <row r="295" spans="1:3" x14ac:dyDescent="0.35">
      <c r="A295" s="13">
        <v>7.7065381257479361E-3</v>
      </c>
      <c r="B295" s="2">
        <v>294</v>
      </c>
      <c r="C295" s="13">
        <f t="shared" si="4"/>
        <v>-5.6057219092926335E-3</v>
      </c>
    </row>
    <row r="296" spans="1:3" x14ac:dyDescent="0.35">
      <c r="A296" s="13">
        <v>5.0371393518073579E-3</v>
      </c>
      <c r="B296" s="2">
        <v>295</v>
      </c>
      <c r="C296" s="13">
        <f t="shared" si="4"/>
        <v>-5.5919622112471992E-3</v>
      </c>
    </row>
    <row r="297" spans="1:3" x14ac:dyDescent="0.35">
      <c r="A297" s="13">
        <v>1.5870828852318523E-3</v>
      </c>
      <c r="B297" s="2">
        <v>296</v>
      </c>
      <c r="C297" s="13">
        <f t="shared" si="4"/>
        <v>-5.5762990514370185E-3</v>
      </c>
    </row>
    <row r="298" spans="1:3" x14ac:dyDescent="0.35">
      <c r="A298" s="13">
        <v>1.5244048705992884E-4</v>
      </c>
      <c r="B298" s="2">
        <v>297</v>
      </c>
      <c r="C298" s="13">
        <f t="shared" si="4"/>
        <v>-5.5132845651390174E-3</v>
      </c>
    </row>
    <row r="299" spans="1:3" x14ac:dyDescent="0.35">
      <c r="A299" s="13">
        <v>5.3861250723157223E-4</v>
      </c>
      <c r="B299" s="2">
        <v>298</v>
      </c>
      <c r="C299" s="13">
        <f t="shared" si="4"/>
        <v>-5.4983224634459248E-3</v>
      </c>
    </row>
    <row r="300" spans="1:3" x14ac:dyDescent="0.35">
      <c r="A300" s="13">
        <v>9.8347092580694066E-3</v>
      </c>
      <c r="B300" s="2">
        <v>299</v>
      </c>
      <c r="C300" s="13">
        <f t="shared" si="4"/>
        <v>-5.4953143041183436E-3</v>
      </c>
    </row>
    <row r="301" spans="1:3" x14ac:dyDescent="0.35">
      <c r="A301" s="13">
        <v>1.2772711773777871E-2</v>
      </c>
      <c r="B301" s="2">
        <v>300</v>
      </c>
      <c r="C301" s="13">
        <f t="shared" si="4"/>
        <v>-5.4888147653622925E-3</v>
      </c>
    </row>
    <row r="302" spans="1:3" x14ac:dyDescent="0.35">
      <c r="A302" s="13">
        <v>-2.6582329104723442E-3</v>
      </c>
      <c r="B302" s="2">
        <v>301</v>
      </c>
      <c r="C302" s="13">
        <f t="shared" si="4"/>
        <v>-5.4683286733011646E-3</v>
      </c>
    </row>
    <row r="303" spans="1:3" x14ac:dyDescent="0.35">
      <c r="A303" s="13">
        <v>-4.4139406490112379E-3</v>
      </c>
      <c r="B303" s="2">
        <v>302</v>
      </c>
      <c r="C303" s="13">
        <f t="shared" si="4"/>
        <v>-5.4647519141478697E-3</v>
      </c>
    </row>
    <row r="304" spans="1:3" x14ac:dyDescent="0.35">
      <c r="A304" s="13">
        <v>4.5219561630224225E-3</v>
      </c>
      <c r="B304" s="2">
        <v>303</v>
      </c>
      <c r="C304" s="13">
        <f t="shared" si="4"/>
        <v>-5.4453453644705318E-3</v>
      </c>
    </row>
    <row r="305" spans="1:3" x14ac:dyDescent="0.35">
      <c r="A305" s="13">
        <v>-2.5960598888924739E-3</v>
      </c>
      <c r="B305" s="2">
        <v>304</v>
      </c>
      <c r="C305" s="13">
        <f t="shared" si="4"/>
        <v>-5.4373226609021087E-3</v>
      </c>
    </row>
    <row r="306" spans="1:3" x14ac:dyDescent="0.35">
      <c r="A306" s="13">
        <v>-4.1622760750232406E-3</v>
      </c>
      <c r="B306" s="2">
        <v>305</v>
      </c>
      <c r="C306" s="13">
        <f t="shared" si="4"/>
        <v>-5.4184466075087303E-3</v>
      </c>
    </row>
    <row r="307" spans="1:3" x14ac:dyDescent="0.35">
      <c r="A307" s="13">
        <v>2.624892276423907E-3</v>
      </c>
      <c r="B307" s="2">
        <v>306</v>
      </c>
      <c r="C307" s="13">
        <f t="shared" si="4"/>
        <v>-5.415163939115405E-3</v>
      </c>
    </row>
    <row r="308" spans="1:3" x14ac:dyDescent="0.35">
      <c r="A308" s="13">
        <v>1.9248525508990936E-3</v>
      </c>
      <c r="B308" s="2">
        <v>307</v>
      </c>
      <c r="C308" s="13">
        <f t="shared" si="4"/>
        <v>-5.3977910648469385E-3</v>
      </c>
    </row>
    <row r="309" spans="1:3" x14ac:dyDescent="0.35">
      <c r="A309" s="13">
        <v>-3.2850456505217978E-3</v>
      </c>
      <c r="B309" s="2">
        <v>308</v>
      </c>
      <c r="C309" s="13">
        <f t="shared" si="4"/>
        <v>-5.3889732986451711E-3</v>
      </c>
    </row>
    <row r="310" spans="1:3" x14ac:dyDescent="0.35">
      <c r="A310" s="13">
        <v>-1.1726309734468516E-2</v>
      </c>
      <c r="B310" s="2">
        <v>309</v>
      </c>
      <c r="C310" s="13">
        <f t="shared" si="4"/>
        <v>-5.343746161262263E-3</v>
      </c>
    </row>
    <row r="311" spans="1:3" x14ac:dyDescent="0.35">
      <c r="A311" s="13">
        <v>-1.1898907398825842E-2</v>
      </c>
      <c r="B311" s="2">
        <v>310</v>
      </c>
      <c r="C311" s="13">
        <f t="shared" si="4"/>
        <v>-5.337257094903668E-3</v>
      </c>
    </row>
    <row r="312" spans="1:3" x14ac:dyDescent="0.35">
      <c r="A312" s="13">
        <v>-1.1044176633060499E-2</v>
      </c>
      <c r="B312" s="2">
        <v>311</v>
      </c>
      <c r="C312" s="13">
        <f t="shared" si="4"/>
        <v>-5.3348667862670555E-3</v>
      </c>
    </row>
    <row r="313" spans="1:3" x14ac:dyDescent="0.35">
      <c r="A313" s="13">
        <v>-1.1871233115167048E-2</v>
      </c>
      <c r="B313" s="2">
        <v>312</v>
      </c>
      <c r="C313" s="13">
        <f t="shared" si="4"/>
        <v>-5.3165391391019317E-3</v>
      </c>
    </row>
    <row r="314" spans="1:3" x14ac:dyDescent="0.35">
      <c r="A314" s="13">
        <v>-5.4445701891899705E-4</v>
      </c>
      <c r="B314" s="2">
        <v>313</v>
      </c>
      <c r="C314" s="13">
        <f t="shared" si="4"/>
        <v>-5.3008496954625719E-3</v>
      </c>
    </row>
    <row r="315" spans="1:3" x14ac:dyDescent="0.35">
      <c r="A315" s="13">
        <v>2.4152750913281638E-2</v>
      </c>
      <c r="B315" s="2">
        <v>314</v>
      </c>
      <c r="C315" s="13">
        <f t="shared" si="4"/>
        <v>-5.2086918726393519E-3</v>
      </c>
    </row>
    <row r="316" spans="1:3" x14ac:dyDescent="0.35">
      <c r="A316" s="13">
        <v>3.8771171506737402E-4</v>
      </c>
      <c r="B316" s="2">
        <v>315</v>
      </c>
      <c r="C316" s="13">
        <f t="shared" si="4"/>
        <v>-5.2006471376417522E-3</v>
      </c>
    </row>
    <row r="317" spans="1:3" x14ac:dyDescent="0.35">
      <c r="A317" s="13">
        <v>-7.3843929298882359E-3</v>
      </c>
      <c r="B317" s="2">
        <v>316</v>
      </c>
      <c r="C317" s="13">
        <f t="shared" si="4"/>
        <v>-5.1527764274787828E-3</v>
      </c>
    </row>
    <row r="318" spans="1:3" x14ac:dyDescent="0.35">
      <c r="A318" s="13">
        <v>7.7229399376737753E-3</v>
      </c>
      <c r="B318" s="2">
        <v>317</v>
      </c>
      <c r="C318" s="13">
        <f t="shared" si="4"/>
        <v>-5.130687929783855E-3</v>
      </c>
    </row>
    <row r="319" spans="1:3" x14ac:dyDescent="0.35">
      <c r="A319" s="13">
        <v>6.3767973577653937E-3</v>
      </c>
      <c r="B319" s="2">
        <v>318</v>
      </c>
      <c r="C319" s="13">
        <f t="shared" si="4"/>
        <v>-5.1252819665049765E-3</v>
      </c>
    </row>
    <row r="320" spans="1:3" x14ac:dyDescent="0.35">
      <c r="A320" s="13">
        <v>1.1997149718472704E-2</v>
      </c>
      <c r="B320" s="2">
        <v>319</v>
      </c>
      <c r="C320" s="13">
        <f t="shared" si="4"/>
        <v>-5.1041161361421433E-3</v>
      </c>
    </row>
    <row r="321" spans="1:3" x14ac:dyDescent="0.35">
      <c r="A321" s="13">
        <v>5.8153380725790476E-3</v>
      </c>
      <c r="B321" s="2">
        <v>320</v>
      </c>
      <c r="C321" s="13">
        <f t="shared" si="4"/>
        <v>-5.0757643443838868E-3</v>
      </c>
    </row>
    <row r="322" spans="1:3" x14ac:dyDescent="0.35">
      <c r="A322" s="13">
        <v>-7.8494617988556625E-3</v>
      </c>
      <c r="B322" s="2">
        <v>321</v>
      </c>
      <c r="C322" s="13">
        <f t="shared" si="4"/>
        <v>-5.0729777138189859E-3</v>
      </c>
    </row>
    <row r="323" spans="1:3" x14ac:dyDescent="0.35">
      <c r="A323" s="13">
        <v>-1.7143804320042971E-3</v>
      </c>
      <c r="B323" s="2">
        <v>322</v>
      </c>
      <c r="C323" s="13">
        <f t="shared" ref="C323:C386" si="5">+SMALL($A$2:$A$1256,B323)</f>
        <v>-5.0655140780326707E-3</v>
      </c>
    </row>
    <row r="324" spans="1:3" x14ac:dyDescent="0.35">
      <c r="A324" s="13">
        <v>-9.5217581865095777E-4</v>
      </c>
      <c r="B324" s="2">
        <v>323</v>
      </c>
      <c r="C324" s="13">
        <f t="shared" si="5"/>
        <v>-5.0253883729667534E-3</v>
      </c>
    </row>
    <row r="325" spans="1:3" x14ac:dyDescent="0.35">
      <c r="A325" s="13">
        <v>8.988033899191207E-3</v>
      </c>
      <c r="B325" s="2">
        <v>324</v>
      </c>
      <c r="C325" s="13">
        <f t="shared" si="5"/>
        <v>-5.0161922337927101E-3</v>
      </c>
    </row>
    <row r="326" spans="1:3" x14ac:dyDescent="0.35">
      <c r="A326" s="13">
        <v>8.2453789678675234E-3</v>
      </c>
      <c r="B326" s="2">
        <v>325</v>
      </c>
      <c r="C326" s="13">
        <f t="shared" si="5"/>
        <v>-4.9924075147950355E-3</v>
      </c>
    </row>
    <row r="327" spans="1:3" x14ac:dyDescent="0.35">
      <c r="A327" s="13">
        <v>-1.6399934402192479E-2</v>
      </c>
      <c r="B327" s="2">
        <v>326</v>
      </c>
      <c r="C327" s="13">
        <f t="shared" si="5"/>
        <v>-4.963978859656647E-3</v>
      </c>
    </row>
    <row r="328" spans="1:3" x14ac:dyDescent="0.35">
      <c r="A328" s="13">
        <v>-1.1489897107870781E-2</v>
      </c>
      <c r="B328" s="2">
        <v>327</v>
      </c>
      <c r="C328" s="13">
        <f t="shared" si="5"/>
        <v>-4.84845685859581E-3</v>
      </c>
    </row>
    <row r="329" spans="1:3" x14ac:dyDescent="0.35">
      <c r="A329" s="13">
        <v>-8.1567591776469592E-3</v>
      </c>
      <c r="B329" s="2">
        <v>328</v>
      </c>
      <c r="C329" s="13">
        <f t="shared" si="5"/>
        <v>-4.8181937089284855E-3</v>
      </c>
    </row>
    <row r="330" spans="1:3" x14ac:dyDescent="0.35">
      <c r="A330" s="13">
        <v>1.146644908025626E-2</v>
      </c>
      <c r="B330" s="2">
        <v>329</v>
      </c>
      <c r="C330" s="13">
        <f t="shared" si="5"/>
        <v>-4.7589612495613958E-3</v>
      </c>
    </row>
    <row r="331" spans="1:3" x14ac:dyDescent="0.35">
      <c r="A331" s="13">
        <v>-2.8721628229775903E-3</v>
      </c>
      <c r="B331" s="2">
        <v>330</v>
      </c>
      <c r="C331" s="13">
        <f t="shared" si="5"/>
        <v>-4.7188274466528389E-3</v>
      </c>
    </row>
    <row r="332" spans="1:3" x14ac:dyDescent="0.35">
      <c r="A332" s="13">
        <v>-1.4096180663601576E-2</v>
      </c>
      <c r="B332" s="2">
        <v>331</v>
      </c>
      <c r="C332" s="13">
        <f t="shared" si="5"/>
        <v>-4.6085872991487552E-3</v>
      </c>
    </row>
    <row r="333" spans="1:3" x14ac:dyDescent="0.35">
      <c r="A333" s="13">
        <v>-7.3564103523120501E-3</v>
      </c>
      <c r="B333" s="2">
        <v>332</v>
      </c>
      <c r="C333" s="13">
        <f t="shared" si="5"/>
        <v>-4.6048292226404932E-3</v>
      </c>
    </row>
    <row r="334" spans="1:3" x14ac:dyDescent="0.35">
      <c r="A334" s="13">
        <v>-6.6472728568100197E-3</v>
      </c>
      <c r="B334" s="2">
        <v>333</v>
      </c>
      <c r="C334" s="13">
        <f t="shared" si="5"/>
        <v>-4.5824645492602307E-3</v>
      </c>
    </row>
    <row r="335" spans="1:3" x14ac:dyDescent="0.35">
      <c r="A335" s="13">
        <v>-1.7491906398359524E-2</v>
      </c>
      <c r="B335" s="2">
        <v>334</v>
      </c>
      <c r="C335" s="13">
        <f t="shared" si="5"/>
        <v>-4.5647122653734596E-3</v>
      </c>
    </row>
    <row r="336" spans="1:3" x14ac:dyDescent="0.35">
      <c r="A336" s="13">
        <v>3.5625087982687305E-3</v>
      </c>
      <c r="B336" s="2">
        <v>335</v>
      </c>
      <c r="C336" s="13">
        <f t="shared" si="5"/>
        <v>-4.5561594639403919E-3</v>
      </c>
    </row>
    <row r="337" spans="1:3" x14ac:dyDescent="0.35">
      <c r="A337" s="13">
        <v>1.7015391480831314E-2</v>
      </c>
      <c r="B337" s="2">
        <v>336</v>
      </c>
      <c r="C337" s="13">
        <f t="shared" si="5"/>
        <v>-4.5508508469438358E-3</v>
      </c>
    </row>
    <row r="338" spans="1:3" x14ac:dyDescent="0.35">
      <c r="A338" s="13">
        <v>-3.7217249501284278E-3</v>
      </c>
      <c r="B338" s="2">
        <v>337</v>
      </c>
      <c r="C338" s="13">
        <f t="shared" si="5"/>
        <v>-4.5313253175556546E-3</v>
      </c>
    </row>
    <row r="339" spans="1:3" x14ac:dyDescent="0.35">
      <c r="A339" s="13">
        <v>-2.3614550313196186E-2</v>
      </c>
      <c r="B339" s="2">
        <v>338</v>
      </c>
      <c r="C339" s="13">
        <f t="shared" si="5"/>
        <v>-4.523163466795023E-3</v>
      </c>
    </row>
    <row r="340" spans="1:3" x14ac:dyDescent="0.35">
      <c r="A340" s="13">
        <v>1.997851888142535E-2</v>
      </c>
      <c r="B340" s="2">
        <v>339</v>
      </c>
      <c r="C340" s="13">
        <f t="shared" si="5"/>
        <v>-4.5195823721501677E-3</v>
      </c>
    </row>
    <row r="341" spans="1:3" x14ac:dyDescent="0.35">
      <c r="A341" s="13">
        <v>9.270683810136307E-3</v>
      </c>
      <c r="B341" s="2">
        <v>340</v>
      </c>
      <c r="C341" s="13">
        <f t="shared" si="5"/>
        <v>-4.5004806685258201E-3</v>
      </c>
    </row>
    <row r="342" spans="1:3" x14ac:dyDescent="0.35">
      <c r="A342" s="13">
        <v>-2.3743641981634231E-3</v>
      </c>
      <c r="B342" s="2">
        <v>341</v>
      </c>
      <c r="C342" s="13">
        <f t="shared" si="5"/>
        <v>-4.4617075214795857E-3</v>
      </c>
    </row>
    <row r="343" spans="1:3" x14ac:dyDescent="0.35">
      <c r="A343" s="13">
        <v>-2.2755924835421708E-2</v>
      </c>
      <c r="B343" s="2">
        <v>342</v>
      </c>
      <c r="C343" s="13">
        <f t="shared" si="5"/>
        <v>-4.4139406490112379E-3</v>
      </c>
    </row>
    <row r="344" spans="1:3" x14ac:dyDescent="0.35">
      <c r="A344" s="13">
        <v>5.6465833264303204E-3</v>
      </c>
      <c r="B344" s="2">
        <v>343</v>
      </c>
      <c r="C344" s="13">
        <f t="shared" si="5"/>
        <v>-4.4095868140944412E-3</v>
      </c>
    </row>
    <row r="345" spans="1:3" x14ac:dyDescent="0.35">
      <c r="A345" s="13">
        <v>1.8880103819244539E-2</v>
      </c>
      <c r="B345" s="2">
        <v>344</v>
      </c>
      <c r="C345" s="13">
        <f t="shared" si="5"/>
        <v>-4.4003548600204147E-3</v>
      </c>
    </row>
    <row r="346" spans="1:3" x14ac:dyDescent="0.35">
      <c r="A346" s="13">
        <v>2.2989601903624221E-3</v>
      </c>
      <c r="B346" s="2">
        <v>345</v>
      </c>
      <c r="C346" s="13">
        <f t="shared" si="5"/>
        <v>-4.3286967117611812E-3</v>
      </c>
    </row>
    <row r="347" spans="1:3" x14ac:dyDescent="0.35">
      <c r="A347" s="13">
        <v>-3.8816969508330499E-3</v>
      </c>
      <c r="B347" s="2">
        <v>346</v>
      </c>
      <c r="C347" s="13">
        <f t="shared" si="5"/>
        <v>-4.3221932250439047E-3</v>
      </c>
    </row>
    <row r="348" spans="1:3" x14ac:dyDescent="0.35">
      <c r="A348" s="13">
        <v>7.3645289916265556E-3</v>
      </c>
      <c r="B348" s="2">
        <v>347</v>
      </c>
      <c r="C348" s="13">
        <f t="shared" si="5"/>
        <v>-4.3202148343052136E-3</v>
      </c>
    </row>
    <row r="349" spans="1:3" x14ac:dyDescent="0.35">
      <c r="A349" s="13">
        <v>1.6232426317392173E-2</v>
      </c>
      <c r="B349" s="2">
        <v>348</v>
      </c>
      <c r="C349" s="13">
        <f t="shared" si="5"/>
        <v>-4.2842515878103787E-3</v>
      </c>
    </row>
    <row r="350" spans="1:3" x14ac:dyDescent="0.35">
      <c r="A350" s="13">
        <v>1.0617981702171401E-2</v>
      </c>
      <c r="B350" s="2">
        <v>349</v>
      </c>
      <c r="C350" s="13">
        <f t="shared" si="5"/>
        <v>-4.2627080347654774E-3</v>
      </c>
    </row>
    <row r="351" spans="1:3" x14ac:dyDescent="0.35">
      <c r="A351" s="13">
        <v>1.3077851228272201E-2</v>
      </c>
      <c r="B351" s="2">
        <v>350</v>
      </c>
      <c r="C351" s="13">
        <f t="shared" si="5"/>
        <v>-4.2298877528942347E-3</v>
      </c>
    </row>
    <row r="352" spans="1:3" x14ac:dyDescent="0.35">
      <c r="A352" s="13">
        <v>8.0723631059730731E-3</v>
      </c>
      <c r="B352" s="2">
        <v>351</v>
      </c>
      <c r="C352" s="13">
        <f t="shared" si="5"/>
        <v>-4.207545256785775E-3</v>
      </c>
    </row>
    <row r="353" spans="1:3" x14ac:dyDescent="0.35">
      <c r="A353" s="13">
        <v>-3.3304061920800283E-3</v>
      </c>
      <c r="B353" s="2">
        <v>352</v>
      </c>
      <c r="C353" s="13">
        <f t="shared" si="5"/>
        <v>-4.1893177235697264E-3</v>
      </c>
    </row>
    <row r="354" spans="1:3" x14ac:dyDescent="0.35">
      <c r="A354" s="13">
        <v>5.1558431965953808E-3</v>
      </c>
      <c r="B354" s="2">
        <v>353</v>
      </c>
      <c r="C354" s="13">
        <f t="shared" si="5"/>
        <v>-4.1622760750232406E-3</v>
      </c>
    </row>
    <row r="355" spans="1:3" x14ac:dyDescent="0.35">
      <c r="A355" s="13">
        <v>-1.2309495032822108E-2</v>
      </c>
      <c r="B355" s="2">
        <v>354</v>
      </c>
      <c r="C355" s="13">
        <f t="shared" si="5"/>
        <v>-4.1586881311090201E-3</v>
      </c>
    </row>
    <row r="356" spans="1:3" x14ac:dyDescent="0.35">
      <c r="A356" s="13">
        <v>8.5446250458444742E-3</v>
      </c>
      <c r="B356" s="2">
        <v>355</v>
      </c>
      <c r="C356" s="13">
        <f t="shared" si="5"/>
        <v>-4.1549330261019413E-3</v>
      </c>
    </row>
    <row r="357" spans="1:3" x14ac:dyDescent="0.35">
      <c r="A357" s="13">
        <v>7.5544237325095662E-3</v>
      </c>
      <c r="B357" s="2">
        <v>356</v>
      </c>
      <c r="C357" s="13">
        <f t="shared" si="5"/>
        <v>-4.1530249095576193E-3</v>
      </c>
    </row>
    <row r="358" spans="1:3" x14ac:dyDescent="0.35">
      <c r="A358" s="13">
        <v>5.7028099441530635E-3</v>
      </c>
      <c r="B358" s="2">
        <v>357</v>
      </c>
      <c r="C358" s="13">
        <f t="shared" si="5"/>
        <v>-4.13041190063525E-3</v>
      </c>
    </row>
    <row r="359" spans="1:3" x14ac:dyDescent="0.35">
      <c r="A359" s="13">
        <v>5.6102824281874311E-3</v>
      </c>
      <c r="B359" s="2">
        <v>358</v>
      </c>
      <c r="C359" s="13">
        <f t="shared" si="5"/>
        <v>-4.1232364278106937E-3</v>
      </c>
    </row>
    <row r="360" spans="1:3" x14ac:dyDescent="0.35">
      <c r="A360" s="13">
        <v>4.1052211933465671E-3</v>
      </c>
      <c r="B360" s="2">
        <v>359</v>
      </c>
      <c r="C360" s="13">
        <f t="shared" si="5"/>
        <v>-4.1195156387270485E-3</v>
      </c>
    </row>
    <row r="361" spans="1:3" x14ac:dyDescent="0.35">
      <c r="A361" s="13">
        <v>-1.1274164611589225E-2</v>
      </c>
      <c r="B361" s="2">
        <v>360</v>
      </c>
      <c r="C361" s="13">
        <f t="shared" si="5"/>
        <v>-4.1133546672766346E-3</v>
      </c>
    </row>
    <row r="362" spans="1:3" x14ac:dyDescent="0.35">
      <c r="A362" s="13">
        <v>1.7764736159180134E-3</v>
      </c>
      <c r="B362" s="2">
        <v>361</v>
      </c>
      <c r="C362" s="13">
        <f t="shared" si="5"/>
        <v>-4.103288834224195E-3</v>
      </c>
    </row>
    <row r="363" spans="1:3" x14ac:dyDescent="0.35">
      <c r="A363" s="13">
        <v>4.0987411191708524E-3</v>
      </c>
      <c r="B363" s="2">
        <v>362</v>
      </c>
      <c r="C363" s="13">
        <f t="shared" si="5"/>
        <v>-4.0871226927426691E-3</v>
      </c>
    </row>
    <row r="364" spans="1:3" x14ac:dyDescent="0.35">
      <c r="A364" s="13">
        <v>-1.0100529398809677E-2</v>
      </c>
      <c r="B364" s="2">
        <v>363</v>
      </c>
      <c r="C364" s="13">
        <f t="shared" si="5"/>
        <v>-4.0804950570107312E-3</v>
      </c>
    </row>
    <row r="365" spans="1:3" x14ac:dyDescent="0.35">
      <c r="A365" s="13">
        <v>-4.4024917992394806E-4</v>
      </c>
      <c r="B365" s="2">
        <v>364</v>
      </c>
      <c r="C365" s="13">
        <f t="shared" si="5"/>
        <v>-3.9619321218777046E-3</v>
      </c>
    </row>
    <row r="366" spans="1:3" x14ac:dyDescent="0.35">
      <c r="A366" s="13">
        <v>-2.9038928878626405E-4</v>
      </c>
      <c r="B366" s="2">
        <v>365</v>
      </c>
      <c r="C366" s="13">
        <f t="shared" si="5"/>
        <v>-3.9513010333789168E-3</v>
      </c>
    </row>
    <row r="367" spans="1:3" x14ac:dyDescent="0.35">
      <c r="A367" s="13">
        <v>-2.6294017247178135E-4</v>
      </c>
      <c r="B367" s="2">
        <v>366</v>
      </c>
      <c r="C367" s="13">
        <f t="shared" si="5"/>
        <v>-3.9506824734095126E-3</v>
      </c>
    </row>
    <row r="368" spans="1:3" x14ac:dyDescent="0.35">
      <c r="A368" s="13">
        <v>-2.0030958549509644E-2</v>
      </c>
      <c r="B368" s="2">
        <v>367</v>
      </c>
      <c r="C368" s="13">
        <f t="shared" si="5"/>
        <v>-3.9486281749098679E-3</v>
      </c>
    </row>
    <row r="369" spans="1:3" x14ac:dyDescent="0.35">
      <c r="A369" s="13">
        <v>-5.6182011964715037E-3</v>
      </c>
      <c r="B369" s="2">
        <v>368</v>
      </c>
      <c r="C369" s="13">
        <f t="shared" si="5"/>
        <v>-3.9284743800785905E-3</v>
      </c>
    </row>
    <row r="370" spans="1:3" x14ac:dyDescent="0.35">
      <c r="A370" s="13">
        <v>1.4588885498902799E-2</v>
      </c>
      <c r="B370" s="2">
        <v>369</v>
      </c>
      <c r="C370" s="13">
        <f t="shared" si="5"/>
        <v>-3.9141149460923041E-3</v>
      </c>
    </row>
    <row r="371" spans="1:3" x14ac:dyDescent="0.35">
      <c r="A371" s="13">
        <v>6.0576590790423924E-3</v>
      </c>
      <c r="B371" s="2">
        <v>370</v>
      </c>
      <c r="C371" s="13">
        <f t="shared" si="5"/>
        <v>-3.8819294086698351E-3</v>
      </c>
    </row>
    <row r="372" spans="1:3" x14ac:dyDescent="0.35">
      <c r="A372" s="13">
        <v>2.8913814804519583E-3</v>
      </c>
      <c r="B372" s="2">
        <v>371</v>
      </c>
      <c r="C372" s="13">
        <f t="shared" si="5"/>
        <v>-3.8816969508330499E-3</v>
      </c>
    </row>
    <row r="373" spans="1:3" x14ac:dyDescent="0.35">
      <c r="A373" s="13">
        <v>1.5859529409624436E-2</v>
      </c>
      <c r="B373" s="2">
        <v>372</v>
      </c>
      <c r="C373" s="13">
        <f t="shared" si="5"/>
        <v>-3.8082479183445019E-3</v>
      </c>
    </row>
    <row r="374" spans="1:3" x14ac:dyDescent="0.35">
      <c r="A374" s="13">
        <v>2.629204514845853E-2</v>
      </c>
      <c r="B374" s="2">
        <v>373</v>
      </c>
      <c r="C374" s="13">
        <f t="shared" si="5"/>
        <v>-3.7540337901421856E-3</v>
      </c>
    </row>
    <row r="375" spans="1:3" x14ac:dyDescent="0.35">
      <c r="A375" s="13">
        <v>-3.9141149460923041E-3</v>
      </c>
      <c r="B375" s="2">
        <v>374</v>
      </c>
      <c r="C375" s="13">
        <f t="shared" si="5"/>
        <v>-3.7520556764186084E-3</v>
      </c>
    </row>
    <row r="376" spans="1:3" x14ac:dyDescent="0.35">
      <c r="A376" s="13">
        <v>-2.7988197944866053E-2</v>
      </c>
      <c r="B376" s="2">
        <v>375</v>
      </c>
      <c r="C376" s="13">
        <f t="shared" si="5"/>
        <v>-3.7252364595453404E-3</v>
      </c>
    </row>
    <row r="377" spans="1:3" x14ac:dyDescent="0.35">
      <c r="A377" s="13">
        <v>9.2771026701593366E-3</v>
      </c>
      <c r="B377" s="2">
        <v>376</v>
      </c>
      <c r="C377" s="13">
        <f t="shared" si="5"/>
        <v>-3.7217249501284278E-3</v>
      </c>
    </row>
    <row r="378" spans="1:3" x14ac:dyDescent="0.35">
      <c r="A378" s="13">
        <v>-2.3976323104165708E-2</v>
      </c>
      <c r="B378" s="2">
        <v>377</v>
      </c>
      <c r="C378" s="13">
        <f t="shared" si="5"/>
        <v>-3.7163969883178749E-3</v>
      </c>
    </row>
    <row r="379" spans="1:3" x14ac:dyDescent="0.35">
      <c r="A379" s="13">
        <v>4.710590735564341E-3</v>
      </c>
      <c r="B379" s="2">
        <v>378</v>
      </c>
      <c r="C379" s="13">
        <f t="shared" si="5"/>
        <v>-3.7128355026201832E-3</v>
      </c>
    </row>
    <row r="380" spans="1:3" x14ac:dyDescent="0.35">
      <c r="A380" s="13">
        <v>1.0906377839585587E-2</v>
      </c>
      <c r="B380" s="2">
        <v>379</v>
      </c>
      <c r="C380" s="13">
        <f t="shared" si="5"/>
        <v>-3.6591065685811037E-3</v>
      </c>
    </row>
    <row r="381" spans="1:3" x14ac:dyDescent="0.35">
      <c r="A381" s="13">
        <v>-2.6762575647631241E-2</v>
      </c>
      <c r="B381" s="2">
        <v>380</v>
      </c>
      <c r="C381" s="13">
        <f t="shared" si="5"/>
        <v>-3.6038925311011188E-3</v>
      </c>
    </row>
    <row r="382" spans="1:3" x14ac:dyDescent="0.35">
      <c r="A382" s="13">
        <v>1.5422033664142308E-3</v>
      </c>
      <c r="B382" s="2">
        <v>381</v>
      </c>
      <c r="C382" s="13">
        <f t="shared" si="5"/>
        <v>-3.496785259515283E-3</v>
      </c>
    </row>
    <row r="383" spans="1:3" x14ac:dyDescent="0.35">
      <c r="A383" s="13">
        <v>2.0128218268121879E-4</v>
      </c>
      <c r="B383" s="2">
        <v>382</v>
      </c>
      <c r="C383" s="13">
        <f t="shared" si="5"/>
        <v>-3.4785290657615847E-3</v>
      </c>
    </row>
    <row r="384" spans="1:3" x14ac:dyDescent="0.35">
      <c r="A384" s="13">
        <v>3.0768725975549312E-2</v>
      </c>
      <c r="B384" s="2">
        <v>383</v>
      </c>
      <c r="C384" s="13">
        <f t="shared" si="5"/>
        <v>-3.4735608319625354E-3</v>
      </c>
    </row>
    <row r="385" spans="1:3" x14ac:dyDescent="0.35">
      <c r="A385" s="13">
        <v>-2.420884662210062E-2</v>
      </c>
      <c r="B385" s="2">
        <v>384</v>
      </c>
      <c r="C385" s="13">
        <f t="shared" si="5"/>
        <v>-3.471800831364948E-3</v>
      </c>
    </row>
    <row r="386" spans="1:3" x14ac:dyDescent="0.35">
      <c r="A386" s="13">
        <v>-7.7905512026567271E-3</v>
      </c>
      <c r="B386" s="2">
        <v>385</v>
      </c>
      <c r="C386" s="13">
        <f t="shared" si="5"/>
        <v>-3.4268849507437292E-3</v>
      </c>
    </row>
    <row r="387" spans="1:3" x14ac:dyDescent="0.35">
      <c r="A387" s="13">
        <v>-2.2615024564020682E-2</v>
      </c>
      <c r="B387" s="2">
        <v>386</v>
      </c>
      <c r="C387" s="13">
        <f t="shared" ref="C387:C450" si="6">+SMALL($A$2:$A$1256,B387)</f>
        <v>-3.4007540260234171E-3</v>
      </c>
    </row>
    <row r="388" spans="1:3" x14ac:dyDescent="0.35">
      <c r="A388" s="13">
        <v>-1.3166031259245273E-2</v>
      </c>
      <c r="B388" s="2">
        <v>387</v>
      </c>
      <c r="C388" s="13">
        <f t="shared" si="6"/>
        <v>-3.3598027338017375E-3</v>
      </c>
    </row>
    <row r="389" spans="1:3" x14ac:dyDescent="0.35">
      <c r="A389" s="13">
        <v>-4.5508508469438358E-3</v>
      </c>
      <c r="B389" s="2">
        <v>388</v>
      </c>
      <c r="C389" s="13">
        <f t="shared" si="6"/>
        <v>-3.3304061920800283E-3</v>
      </c>
    </row>
    <row r="390" spans="1:3" x14ac:dyDescent="0.35">
      <c r="A390" s="13">
        <v>-7.684971409073941E-3</v>
      </c>
      <c r="B390" s="2">
        <v>389</v>
      </c>
      <c r="C390" s="13">
        <f t="shared" si="6"/>
        <v>-3.2850456505217978E-3</v>
      </c>
    </row>
    <row r="391" spans="1:3" x14ac:dyDescent="0.35">
      <c r="A391" s="13">
        <v>1.3424317607901026E-2</v>
      </c>
      <c r="B391" s="2">
        <v>390</v>
      </c>
      <c r="C391" s="13">
        <f t="shared" si="6"/>
        <v>-3.2731791489631918E-3</v>
      </c>
    </row>
    <row r="392" spans="1:3" x14ac:dyDescent="0.35">
      <c r="A392" s="13">
        <v>2.9356986883225513E-3</v>
      </c>
      <c r="B392" s="2">
        <v>391</v>
      </c>
      <c r="C392" s="13">
        <f t="shared" si="6"/>
        <v>-3.2638031946139118E-3</v>
      </c>
    </row>
    <row r="393" spans="1:3" x14ac:dyDescent="0.35">
      <c r="A393" s="13">
        <v>-4.3221932250439047E-3</v>
      </c>
      <c r="B393" s="2">
        <v>392</v>
      </c>
      <c r="C393" s="13">
        <f t="shared" si="6"/>
        <v>-3.1875842354705287E-3</v>
      </c>
    </row>
    <row r="394" spans="1:3" x14ac:dyDescent="0.35">
      <c r="A394" s="13">
        <v>-4.3543103027197161E-2</v>
      </c>
      <c r="B394" s="2">
        <v>393</v>
      </c>
      <c r="C394" s="13">
        <f t="shared" si="6"/>
        <v>-3.179514765523919E-3</v>
      </c>
    </row>
    <row r="395" spans="1:3" x14ac:dyDescent="0.35">
      <c r="A395" s="13">
        <v>-1.6986606163622381E-2</v>
      </c>
      <c r="B395" s="2">
        <v>394</v>
      </c>
      <c r="C395" s="13">
        <f t="shared" si="6"/>
        <v>-3.1643176299474833E-3</v>
      </c>
    </row>
    <row r="396" spans="1:3" x14ac:dyDescent="0.35">
      <c r="A396" s="13">
        <v>-1.0898670441375134E-2</v>
      </c>
      <c r="B396" s="2">
        <v>395</v>
      </c>
      <c r="C396" s="13">
        <f t="shared" si="6"/>
        <v>-3.0661452613477908E-3</v>
      </c>
    </row>
    <row r="397" spans="1:3" x14ac:dyDescent="0.35">
      <c r="A397" s="13">
        <v>2.9352581850380328E-2</v>
      </c>
      <c r="B397" s="2">
        <v>396</v>
      </c>
      <c r="C397" s="13">
        <f t="shared" si="6"/>
        <v>-3.0525271801100395E-3</v>
      </c>
    </row>
    <row r="398" spans="1:3" x14ac:dyDescent="0.35">
      <c r="A398" s="13">
        <v>4.8710982351410194E-3</v>
      </c>
      <c r="B398" s="2">
        <v>397</v>
      </c>
      <c r="C398" s="13">
        <f t="shared" si="6"/>
        <v>-3.0352812141741931E-3</v>
      </c>
    </row>
    <row r="399" spans="1:3" x14ac:dyDescent="0.35">
      <c r="A399" s="13">
        <v>1.0422372590907475E-2</v>
      </c>
      <c r="B399" s="2">
        <v>398</v>
      </c>
      <c r="C399" s="13">
        <f t="shared" si="6"/>
        <v>-3.0287797303473465E-3</v>
      </c>
    </row>
    <row r="400" spans="1:3" x14ac:dyDescent="0.35">
      <c r="A400" s="13">
        <v>2.0507543452657442E-2</v>
      </c>
      <c r="B400" s="2">
        <v>399</v>
      </c>
      <c r="C400" s="13">
        <f t="shared" si="6"/>
        <v>-3.0017998840097438E-3</v>
      </c>
    </row>
    <row r="401" spans="1:3" x14ac:dyDescent="0.35">
      <c r="A401" s="13">
        <v>2.1271908406433074E-2</v>
      </c>
      <c r="B401" s="2">
        <v>400</v>
      </c>
      <c r="C401" s="13">
        <f t="shared" si="6"/>
        <v>-2.9602414515366741E-3</v>
      </c>
    </row>
    <row r="402" spans="1:3" x14ac:dyDescent="0.35">
      <c r="A402" s="13">
        <v>-3.179514765523919E-3</v>
      </c>
      <c r="B402" s="2">
        <v>401</v>
      </c>
      <c r="C402" s="13">
        <f t="shared" si="6"/>
        <v>-2.8880841152825053E-3</v>
      </c>
    </row>
    <row r="403" spans="1:3" x14ac:dyDescent="0.35">
      <c r="A403" s="13">
        <v>-6.2180591585298071E-3</v>
      </c>
      <c r="B403" s="2">
        <v>402</v>
      </c>
      <c r="C403" s="13">
        <f t="shared" si="6"/>
        <v>-2.8743464112130496E-3</v>
      </c>
    </row>
    <row r="404" spans="1:3" x14ac:dyDescent="0.35">
      <c r="A404" s="13">
        <v>1.1984684799967667E-2</v>
      </c>
      <c r="B404" s="2">
        <v>403</v>
      </c>
      <c r="C404" s="13">
        <f t="shared" si="6"/>
        <v>-2.8721628229775903E-3</v>
      </c>
    </row>
    <row r="405" spans="1:3" x14ac:dyDescent="0.35">
      <c r="A405" s="13">
        <v>-4.5195823721501677E-3</v>
      </c>
      <c r="B405" s="2">
        <v>404</v>
      </c>
      <c r="C405" s="13">
        <f t="shared" si="6"/>
        <v>-2.8635224536393139E-3</v>
      </c>
    </row>
    <row r="406" spans="1:3" x14ac:dyDescent="0.35">
      <c r="A406" s="13">
        <v>2.6262288013031709E-3</v>
      </c>
      <c r="B406" s="2">
        <v>405</v>
      </c>
      <c r="C406" s="13">
        <f t="shared" si="6"/>
        <v>-2.8535266910113492E-3</v>
      </c>
    </row>
    <row r="407" spans="1:3" x14ac:dyDescent="0.35">
      <c r="A407" s="13">
        <v>3.6232373080565244E-3</v>
      </c>
      <c r="B407" s="2">
        <v>406</v>
      </c>
      <c r="C407" s="13">
        <f t="shared" si="6"/>
        <v>-2.7407022391987418E-3</v>
      </c>
    </row>
    <row r="408" spans="1:3" x14ac:dyDescent="0.35">
      <c r="A408" s="13">
        <v>-7.8141134795704659E-3</v>
      </c>
      <c r="B408" s="2">
        <v>407</v>
      </c>
      <c r="C408" s="13">
        <f t="shared" si="6"/>
        <v>-2.7339539734363371E-3</v>
      </c>
    </row>
    <row r="409" spans="1:3" x14ac:dyDescent="0.35">
      <c r="A409" s="13">
        <v>-2.1160226077562481E-2</v>
      </c>
      <c r="B409" s="2">
        <v>408</v>
      </c>
      <c r="C409" s="13">
        <f t="shared" si="6"/>
        <v>-2.7042772020888194E-3</v>
      </c>
    </row>
    <row r="410" spans="1:3" x14ac:dyDescent="0.35">
      <c r="A410" s="13">
        <v>-2.2742916643337475E-2</v>
      </c>
      <c r="B410" s="2">
        <v>409</v>
      </c>
      <c r="C410" s="13">
        <f t="shared" si="6"/>
        <v>-2.680542730439401E-3</v>
      </c>
    </row>
    <row r="411" spans="1:3" x14ac:dyDescent="0.35">
      <c r="A411" s="13">
        <v>-2.9017093186370777E-2</v>
      </c>
      <c r="B411" s="2">
        <v>410</v>
      </c>
      <c r="C411" s="13">
        <f t="shared" si="6"/>
        <v>-2.6582329104723442E-3</v>
      </c>
    </row>
    <row r="412" spans="1:3" x14ac:dyDescent="0.35">
      <c r="A412" s="13">
        <v>2.5043832109619495E-4</v>
      </c>
      <c r="B412" s="2">
        <v>411</v>
      </c>
      <c r="C412" s="13">
        <f t="shared" si="6"/>
        <v>-2.6465320044895264E-3</v>
      </c>
    </row>
    <row r="413" spans="1:3" x14ac:dyDescent="0.35">
      <c r="A413" s="13">
        <v>8.263004848217289E-3</v>
      </c>
      <c r="B413" s="2">
        <v>412</v>
      </c>
      <c r="C413" s="13">
        <f t="shared" si="6"/>
        <v>-2.642498857235491E-3</v>
      </c>
    </row>
    <row r="414" spans="1:3" x14ac:dyDescent="0.35">
      <c r="A414" s="13">
        <v>-2.4911173002319341E-2</v>
      </c>
      <c r="B414" s="2">
        <v>413</v>
      </c>
      <c r="C414" s="13">
        <f t="shared" si="6"/>
        <v>-2.6230616313853306E-3</v>
      </c>
    </row>
    <row r="415" spans="1:3" x14ac:dyDescent="0.35">
      <c r="A415" s="13">
        <v>3.339936817457396E-3</v>
      </c>
      <c r="B415" s="2">
        <v>414</v>
      </c>
      <c r="C415" s="13">
        <f t="shared" si="6"/>
        <v>-2.5960598888924739E-3</v>
      </c>
    </row>
    <row r="416" spans="1:3" x14ac:dyDescent="0.35">
      <c r="A416" s="13">
        <v>2.0562088880615892E-2</v>
      </c>
      <c r="B416" s="2">
        <v>415</v>
      </c>
      <c r="C416" s="13">
        <f t="shared" si="6"/>
        <v>-2.5224721644510149E-3</v>
      </c>
    </row>
    <row r="417" spans="1:3" x14ac:dyDescent="0.35">
      <c r="A417" s="13">
        <v>-1.2451922519261107E-2</v>
      </c>
      <c r="B417" s="2">
        <v>416</v>
      </c>
      <c r="C417" s="13">
        <f t="shared" si="6"/>
        <v>-2.5147502919487972E-3</v>
      </c>
    </row>
    <row r="418" spans="1:3" x14ac:dyDescent="0.35">
      <c r="A418" s="13">
        <v>-6.3059689841652063E-4</v>
      </c>
      <c r="B418" s="2">
        <v>417</v>
      </c>
      <c r="C418" s="13">
        <f t="shared" si="6"/>
        <v>-2.4932546374880717E-3</v>
      </c>
    </row>
    <row r="419" spans="1:3" x14ac:dyDescent="0.35">
      <c r="A419" s="13">
        <v>2.4699233142929572E-2</v>
      </c>
      <c r="B419" s="2">
        <v>418</v>
      </c>
      <c r="C419" s="13">
        <f t="shared" si="6"/>
        <v>-2.4659445237628272E-3</v>
      </c>
    </row>
    <row r="420" spans="1:3" x14ac:dyDescent="0.35">
      <c r="A420" s="13">
        <v>1.5326074172861397E-4</v>
      </c>
      <c r="B420" s="2">
        <v>419</v>
      </c>
      <c r="C420" s="13">
        <f t="shared" si="6"/>
        <v>-2.4403601723622281E-3</v>
      </c>
    </row>
    <row r="421" spans="1:3" x14ac:dyDescent="0.35">
      <c r="A421" s="13">
        <v>-1.2294127077765451E-2</v>
      </c>
      <c r="B421" s="2">
        <v>420</v>
      </c>
      <c r="C421" s="13">
        <f t="shared" si="6"/>
        <v>-2.4028953393083826E-3</v>
      </c>
    </row>
    <row r="422" spans="1:3" x14ac:dyDescent="0.35">
      <c r="A422" s="13">
        <v>-8.2793745111086458E-3</v>
      </c>
      <c r="B422" s="2">
        <v>421</v>
      </c>
      <c r="C422" s="13">
        <f t="shared" si="6"/>
        <v>-2.3979794865020801E-3</v>
      </c>
    </row>
    <row r="423" spans="1:3" x14ac:dyDescent="0.35">
      <c r="A423" s="13">
        <v>-7.0500423068166496E-3</v>
      </c>
      <c r="B423" s="2">
        <v>422</v>
      </c>
      <c r="C423" s="13">
        <f t="shared" si="6"/>
        <v>-2.3955623305664362E-3</v>
      </c>
    </row>
    <row r="424" spans="1:3" x14ac:dyDescent="0.35">
      <c r="A424" s="13">
        <v>5.3089811900975852E-3</v>
      </c>
      <c r="B424" s="2">
        <v>423</v>
      </c>
      <c r="C424" s="13">
        <f t="shared" si="6"/>
        <v>-2.394162095740001E-3</v>
      </c>
    </row>
    <row r="425" spans="1:3" x14ac:dyDescent="0.35">
      <c r="A425" s="13">
        <v>-7.4563151170049351E-3</v>
      </c>
      <c r="B425" s="2">
        <v>424</v>
      </c>
      <c r="C425" s="13">
        <f t="shared" si="6"/>
        <v>-2.3822985135740831E-3</v>
      </c>
    </row>
    <row r="426" spans="1:3" x14ac:dyDescent="0.35">
      <c r="A426" s="13">
        <v>7.7256545427766411E-4</v>
      </c>
      <c r="B426" s="2">
        <v>425</v>
      </c>
      <c r="C426" s="13">
        <f t="shared" si="6"/>
        <v>-2.3743641981634231E-3</v>
      </c>
    </row>
    <row r="427" spans="1:3" x14ac:dyDescent="0.35">
      <c r="A427" s="13">
        <v>1.8817540006217444E-2</v>
      </c>
      <c r="B427" s="2">
        <v>426</v>
      </c>
      <c r="C427" s="13">
        <f t="shared" si="6"/>
        <v>-2.3736400555625136E-3</v>
      </c>
    </row>
    <row r="428" spans="1:3" x14ac:dyDescent="0.35">
      <c r="A428" s="13">
        <v>-1.0412311430476021E-3</v>
      </c>
      <c r="B428" s="2">
        <v>427</v>
      </c>
      <c r="C428" s="13">
        <f t="shared" si="6"/>
        <v>-2.3480487240731631E-3</v>
      </c>
    </row>
    <row r="429" spans="1:3" x14ac:dyDescent="0.35">
      <c r="A429" s="13">
        <v>-5.9703339758760158E-3</v>
      </c>
      <c r="B429" s="2">
        <v>428</v>
      </c>
      <c r="C429" s="13">
        <f t="shared" si="6"/>
        <v>-2.305513182773201E-3</v>
      </c>
    </row>
    <row r="430" spans="1:3" x14ac:dyDescent="0.35">
      <c r="A430" s="13">
        <v>-1.2366442044955255E-2</v>
      </c>
      <c r="B430" s="2">
        <v>429</v>
      </c>
      <c r="C430" s="13">
        <f t="shared" si="6"/>
        <v>-2.3025913899226724E-3</v>
      </c>
    </row>
    <row r="431" spans="1:3" x14ac:dyDescent="0.35">
      <c r="A431" s="13">
        <v>-4.2298877528942347E-3</v>
      </c>
      <c r="B431" s="2">
        <v>430</v>
      </c>
      <c r="C431" s="13">
        <f t="shared" si="6"/>
        <v>-2.2905091963641394E-3</v>
      </c>
    </row>
    <row r="432" spans="1:3" x14ac:dyDescent="0.35">
      <c r="A432" s="13">
        <v>1.023045759143618E-3</v>
      </c>
      <c r="B432" s="2">
        <v>431</v>
      </c>
      <c r="C432" s="13">
        <f t="shared" si="6"/>
        <v>-2.2738053615849775E-3</v>
      </c>
    </row>
    <row r="433" spans="1:3" x14ac:dyDescent="0.35">
      <c r="A433" s="13">
        <v>1.7203941128333591E-2</v>
      </c>
      <c r="B433" s="2">
        <v>432</v>
      </c>
      <c r="C433" s="13">
        <f t="shared" si="6"/>
        <v>-2.229518350969073E-3</v>
      </c>
    </row>
    <row r="434" spans="1:3" x14ac:dyDescent="0.35">
      <c r="A434" s="13">
        <v>-5.4647519141478697E-3</v>
      </c>
      <c r="B434" s="2">
        <v>433</v>
      </c>
      <c r="C434" s="13">
        <f t="shared" si="6"/>
        <v>-2.2262600280755639E-3</v>
      </c>
    </row>
    <row r="435" spans="1:3" x14ac:dyDescent="0.35">
      <c r="A435" s="13">
        <v>3.1360764718636148E-3</v>
      </c>
      <c r="B435" s="2">
        <v>434</v>
      </c>
      <c r="C435" s="13">
        <f t="shared" si="6"/>
        <v>-2.2029194522204419E-3</v>
      </c>
    </row>
    <row r="436" spans="1:3" x14ac:dyDescent="0.35">
      <c r="A436" s="13">
        <v>1.7183173303204893E-3</v>
      </c>
      <c r="B436" s="2">
        <v>435</v>
      </c>
      <c r="C436" s="13">
        <f t="shared" si="6"/>
        <v>-2.1973404731006592E-3</v>
      </c>
    </row>
    <row r="437" spans="1:3" x14ac:dyDescent="0.35">
      <c r="A437" s="13">
        <v>2.8633958819341602E-3</v>
      </c>
      <c r="B437" s="2">
        <v>436</v>
      </c>
      <c r="C437" s="13">
        <f t="shared" si="6"/>
        <v>-2.1949962141049138E-3</v>
      </c>
    </row>
    <row r="438" spans="1:3" x14ac:dyDescent="0.35">
      <c r="A438" s="13">
        <v>8.6909671305849482E-4</v>
      </c>
      <c r="B438" s="2">
        <v>437</v>
      </c>
      <c r="C438" s="13">
        <f t="shared" si="6"/>
        <v>-2.1771748586194178E-3</v>
      </c>
    </row>
    <row r="439" spans="1:3" x14ac:dyDescent="0.35">
      <c r="A439" s="13">
        <v>3.5199546598606202E-3</v>
      </c>
      <c r="B439" s="2">
        <v>438</v>
      </c>
      <c r="C439" s="13">
        <f t="shared" si="6"/>
        <v>-2.1681728062741697E-3</v>
      </c>
    </row>
    <row r="440" spans="1:3" x14ac:dyDescent="0.35">
      <c r="A440" s="13">
        <v>-2.7236566575532029E-2</v>
      </c>
      <c r="B440" s="2">
        <v>439</v>
      </c>
      <c r="C440" s="13">
        <f t="shared" si="6"/>
        <v>-2.1382349943849395E-3</v>
      </c>
    </row>
    <row r="441" spans="1:3" x14ac:dyDescent="0.35">
      <c r="A441" s="13">
        <v>2.6079861446703829E-2</v>
      </c>
      <c r="B441" s="2">
        <v>440</v>
      </c>
      <c r="C441" s="13">
        <f t="shared" si="6"/>
        <v>-2.0686037146587059E-3</v>
      </c>
    </row>
    <row r="442" spans="1:3" x14ac:dyDescent="0.35">
      <c r="A442" s="13">
        <v>1.2771835627172694E-2</v>
      </c>
      <c r="B442" s="2">
        <v>441</v>
      </c>
      <c r="C442" s="13">
        <f t="shared" si="6"/>
        <v>-2.0302031431814627E-3</v>
      </c>
    </row>
    <row r="443" spans="1:3" x14ac:dyDescent="0.35">
      <c r="A443" s="13">
        <v>2.1304954379821342E-2</v>
      </c>
      <c r="B443" s="2">
        <v>442</v>
      </c>
      <c r="C443" s="13">
        <f t="shared" si="6"/>
        <v>-1.9872513544634618E-3</v>
      </c>
    </row>
    <row r="444" spans="1:3" x14ac:dyDescent="0.35">
      <c r="A444" s="13">
        <v>-1.6848975939712841E-3</v>
      </c>
      <c r="B444" s="2">
        <v>443</v>
      </c>
      <c r="C444" s="13">
        <f t="shared" si="6"/>
        <v>-1.9791882649377963E-3</v>
      </c>
    </row>
    <row r="445" spans="1:3" x14ac:dyDescent="0.35">
      <c r="A445" s="13">
        <v>-1.390161122746764E-2</v>
      </c>
      <c r="B445" s="2">
        <v>444</v>
      </c>
      <c r="C445" s="13">
        <f t="shared" si="6"/>
        <v>-1.9739780096191578E-3</v>
      </c>
    </row>
    <row r="446" spans="1:3" x14ac:dyDescent="0.35">
      <c r="A446" s="13">
        <v>5.549318385026032E-3</v>
      </c>
      <c r="B446" s="2">
        <v>445</v>
      </c>
      <c r="C446" s="13">
        <f t="shared" si="6"/>
        <v>-1.961963565768483E-3</v>
      </c>
    </row>
    <row r="447" spans="1:3" x14ac:dyDescent="0.35">
      <c r="A447" s="13">
        <v>-6.8084007096550934E-3</v>
      </c>
      <c r="B447" s="2">
        <v>446</v>
      </c>
      <c r="C447" s="13">
        <f t="shared" si="6"/>
        <v>-1.9395087705085432E-3</v>
      </c>
    </row>
    <row r="448" spans="1:3" x14ac:dyDescent="0.35">
      <c r="A448" s="13">
        <v>5.5608705744263024E-3</v>
      </c>
      <c r="B448" s="2">
        <v>447</v>
      </c>
      <c r="C448" s="13">
        <f t="shared" si="6"/>
        <v>-1.9213005403707342E-3</v>
      </c>
    </row>
    <row r="449" spans="1:3" x14ac:dyDescent="0.35">
      <c r="A449" s="13">
        <v>9.5827831989486701E-4</v>
      </c>
      <c r="B449" s="2">
        <v>448</v>
      </c>
      <c r="C449" s="13">
        <f t="shared" si="6"/>
        <v>-1.8872325066752287E-3</v>
      </c>
    </row>
    <row r="450" spans="1:3" x14ac:dyDescent="0.35">
      <c r="A450" s="13">
        <v>-1.2495670654842862E-3</v>
      </c>
      <c r="B450" s="2">
        <v>449</v>
      </c>
      <c r="C450" s="13">
        <f t="shared" si="6"/>
        <v>-1.8817690184514985E-3</v>
      </c>
    </row>
    <row r="451" spans="1:3" x14ac:dyDescent="0.35">
      <c r="A451" s="13">
        <v>1.6853442329420699E-2</v>
      </c>
      <c r="B451" s="2">
        <v>450</v>
      </c>
      <c r="C451" s="13">
        <f t="shared" ref="C451:C514" si="7">+SMALL($A$2:$A$1256,B451)</f>
        <v>-1.8777171566501678E-3</v>
      </c>
    </row>
    <row r="452" spans="1:3" x14ac:dyDescent="0.35">
      <c r="A452" s="13">
        <v>5.8652076869014445E-3</v>
      </c>
      <c r="B452" s="2">
        <v>451</v>
      </c>
      <c r="C452" s="13">
        <f t="shared" si="7"/>
        <v>-1.8548243713753935E-3</v>
      </c>
    </row>
    <row r="453" spans="1:3" x14ac:dyDescent="0.35">
      <c r="A453" s="13">
        <v>1.5407420026446152E-2</v>
      </c>
      <c r="B453" s="2">
        <v>452</v>
      </c>
      <c r="C453" s="13">
        <f t="shared" si="7"/>
        <v>-1.8261967915409627E-3</v>
      </c>
    </row>
    <row r="454" spans="1:3" x14ac:dyDescent="0.35">
      <c r="A454" s="13">
        <v>2.0076860012279108E-3</v>
      </c>
      <c r="B454" s="2">
        <v>453</v>
      </c>
      <c r="C454" s="13">
        <f t="shared" si="7"/>
        <v>-1.8076502254786003E-3</v>
      </c>
    </row>
    <row r="455" spans="1:3" x14ac:dyDescent="0.35">
      <c r="A455" s="13">
        <v>1.5704404098354583E-2</v>
      </c>
      <c r="B455" s="2">
        <v>454</v>
      </c>
      <c r="C455" s="13">
        <f t="shared" si="7"/>
        <v>-1.7880063611861884E-3</v>
      </c>
    </row>
    <row r="456" spans="1:3" x14ac:dyDescent="0.35">
      <c r="A456" s="13">
        <v>-1.0035157333920272E-3</v>
      </c>
      <c r="B456" s="2">
        <v>455</v>
      </c>
      <c r="C456" s="13">
        <f t="shared" si="7"/>
        <v>-1.7833133433666807E-3</v>
      </c>
    </row>
    <row r="457" spans="1:3" x14ac:dyDescent="0.35">
      <c r="A457" s="13">
        <v>3.3950910409532896E-3</v>
      </c>
      <c r="B457" s="2">
        <v>456</v>
      </c>
      <c r="C457" s="13">
        <f t="shared" si="7"/>
        <v>-1.7442727206844495E-3</v>
      </c>
    </row>
    <row r="458" spans="1:3" x14ac:dyDescent="0.35">
      <c r="A458" s="13">
        <v>-1.0964510548314607E-2</v>
      </c>
      <c r="B458" s="2">
        <v>457</v>
      </c>
      <c r="C458" s="13">
        <f t="shared" si="7"/>
        <v>-1.7424885078892536E-3</v>
      </c>
    </row>
    <row r="459" spans="1:3" x14ac:dyDescent="0.35">
      <c r="A459" s="13">
        <v>-2.2371984155236731E-2</v>
      </c>
      <c r="B459" s="2">
        <v>458</v>
      </c>
      <c r="C459" s="13">
        <f t="shared" si="7"/>
        <v>-1.7394889500989903E-3</v>
      </c>
    </row>
    <row r="460" spans="1:3" x14ac:dyDescent="0.35">
      <c r="A460" s="13">
        <v>1.1396473988888444E-3</v>
      </c>
      <c r="B460" s="2">
        <v>459</v>
      </c>
      <c r="C460" s="13">
        <f t="shared" si="7"/>
        <v>-1.7213064941382925E-3</v>
      </c>
    </row>
    <row r="461" spans="1:3" x14ac:dyDescent="0.35">
      <c r="A461" s="13">
        <v>-2.229518350969073E-3</v>
      </c>
      <c r="B461" s="2">
        <v>460</v>
      </c>
      <c r="C461" s="13">
        <f t="shared" si="7"/>
        <v>-1.7205513842076989E-3</v>
      </c>
    </row>
    <row r="462" spans="1:3" x14ac:dyDescent="0.35">
      <c r="A462" s="13">
        <v>1.2466529640429453E-2</v>
      </c>
      <c r="B462" s="2">
        <v>461</v>
      </c>
      <c r="C462" s="13">
        <f t="shared" si="7"/>
        <v>-1.716388324734466E-3</v>
      </c>
    </row>
    <row r="463" spans="1:3" x14ac:dyDescent="0.35">
      <c r="A463" s="13">
        <v>-3.154922638661186E-2</v>
      </c>
      <c r="B463" s="2">
        <v>462</v>
      </c>
      <c r="C463" s="13">
        <f t="shared" si="7"/>
        <v>-1.7143804320042971E-3</v>
      </c>
    </row>
    <row r="464" spans="1:3" x14ac:dyDescent="0.35">
      <c r="A464" s="13">
        <v>-3.0017998840097438E-3</v>
      </c>
      <c r="B464" s="2">
        <v>463</v>
      </c>
      <c r="C464" s="13">
        <f t="shared" si="7"/>
        <v>-1.7037579068565202E-3</v>
      </c>
    </row>
    <row r="465" spans="1:3" x14ac:dyDescent="0.35">
      <c r="A465" s="13">
        <v>-7.523247152651685E-3</v>
      </c>
      <c r="B465" s="2">
        <v>464</v>
      </c>
      <c r="C465" s="13">
        <f t="shared" si="7"/>
        <v>-1.6990908362000401E-3</v>
      </c>
    </row>
    <row r="466" spans="1:3" x14ac:dyDescent="0.35">
      <c r="A466" s="13">
        <v>-8.4270917989562565E-3</v>
      </c>
      <c r="B466" s="2">
        <v>465</v>
      </c>
      <c r="C466" s="13">
        <f t="shared" si="7"/>
        <v>-1.6977658758962305E-3</v>
      </c>
    </row>
    <row r="467" spans="1:3" x14ac:dyDescent="0.35">
      <c r="A467" s="13">
        <v>2.0923014619150812E-3</v>
      </c>
      <c r="B467" s="2">
        <v>466</v>
      </c>
      <c r="C467" s="13">
        <f t="shared" si="7"/>
        <v>-1.6959158691593707E-3</v>
      </c>
    </row>
    <row r="468" spans="1:3" x14ac:dyDescent="0.35">
      <c r="A468" s="13">
        <v>-1.1955232178094599E-2</v>
      </c>
      <c r="B468" s="2">
        <v>467</v>
      </c>
      <c r="C468" s="13">
        <f t="shared" si="7"/>
        <v>-1.6848975939712841E-3</v>
      </c>
    </row>
    <row r="469" spans="1:3" x14ac:dyDescent="0.35">
      <c r="A469" s="13">
        <v>-6.6241427875268549E-3</v>
      </c>
      <c r="B469" s="2">
        <v>468</v>
      </c>
      <c r="C469" s="13">
        <f t="shared" si="7"/>
        <v>-1.6770111697158654E-3</v>
      </c>
    </row>
    <row r="470" spans="1:3" x14ac:dyDescent="0.35">
      <c r="A470" s="13">
        <v>1.5501682316676363E-2</v>
      </c>
      <c r="B470" s="2">
        <v>469</v>
      </c>
      <c r="C470" s="13">
        <f t="shared" si="7"/>
        <v>-1.6640144365947806E-3</v>
      </c>
    </row>
    <row r="471" spans="1:3" x14ac:dyDescent="0.35">
      <c r="A471" s="13">
        <v>6.7634819688576573E-3</v>
      </c>
      <c r="B471" s="2">
        <v>470</v>
      </c>
      <c r="C471" s="13">
        <f t="shared" si="7"/>
        <v>-1.6484080690192813E-3</v>
      </c>
    </row>
    <row r="472" spans="1:3" x14ac:dyDescent="0.35">
      <c r="A472" s="13">
        <v>1.7431116632425785E-2</v>
      </c>
      <c r="B472" s="2">
        <v>471</v>
      </c>
      <c r="C472" s="13">
        <f t="shared" si="7"/>
        <v>-1.6190469433442327E-3</v>
      </c>
    </row>
    <row r="473" spans="1:3" x14ac:dyDescent="0.35">
      <c r="A473" s="13">
        <v>1.3772813060286694E-2</v>
      </c>
      <c r="B473" s="2">
        <v>472</v>
      </c>
      <c r="C473" s="13">
        <f t="shared" si="7"/>
        <v>-1.5535820677761254E-3</v>
      </c>
    </row>
    <row r="474" spans="1:3" x14ac:dyDescent="0.35">
      <c r="A474" s="13">
        <v>-3.4993689996833097E-2</v>
      </c>
      <c r="B474" s="2">
        <v>473</v>
      </c>
      <c r="C474" s="13">
        <f t="shared" si="7"/>
        <v>-1.5402780359733456E-3</v>
      </c>
    </row>
    <row r="475" spans="1:3" x14ac:dyDescent="0.35">
      <c r="A475" s="13">
        <v>2.0711955875391645E-3</v>
      </c>
      <c r="B475" s="2">
        <v>474</v>
      </c>
      <c r="C475" s="13">
        <f t="shared" si="7"/>
        <v>-1.5354849654043994E-3</v>
      </c>
    </row>
    <row r="476" spans="1:3" x14ac:dyDescent="0.35">
      <c r="A476" s="13">
        <v>-1.3087116608528401E-2</v>
      </c>
      <c r="B476" s="2">
        <v>475</v>
      </c>
      <c r="C476" s="13">
        <f t="shared" si="7"/>
        <v>-1.5090353554625393E-3</v>
      </c>
    </row>
    <row r="477" spans="1:3" x14ac:dyDescent="0.35">
      <c r="A477" s="13">
        <v>-3.496785259515283E-3</v>
      </c>
      <c r="B477" s="2">
        <v>476</v>
      </c>
      <c r="C477" s="13">
        <f t="shared" si="7"/>
        <v>-1.4749629907022911E-3</v>
      </c>
    </row>
    <row r="478" spans="1:3" x14ac:dyDescent="0.35">
      <c r="A478" s="13">
        <v>8.153417999240558E-3</v>
      </c>
      <c r="B478" s="2">
        <v>477</v>
      </c>
      <c r="C478" s="13">
        <f t="shared" si="7"/>
        <v>-1.4673094507522324E-3</v>
      </c>
    </row>
    <row r="479" spans="1:3" x14ac:dyDescent="0.35">
      <c r="A479" s="13">
        <v>-1.1728939449266999E-2</v>
      </c>
      <c r="B479" s="2">
        <v>478</v>
      </c>
      <c r="C479" s="13">
        <f t="shared" si="7"/>
        <v>-1.4631990974428514E-3</v>
      </c>
    </row>
    <row r="480" spans="1:3" x14ac:dyDescent="0.35">
      <c r="A480" s="13">
        <v>-1.473153241590245E-2</v>
      </c>
      <c r="B480" s="2">
        <v>479</v>
      </c>
      <c r="C480" s="13">
        <f t="shared" si="7"/>
        <v>-1.4272327590583568E-3</v>
      </c>
    </row>
    <row r="481" spans="1:3" x14ac:dyDescent="0.35">
      <c r="A481" s="13">
        <v>-9.0156844393591284E-3</v>
      </c>
      <c r="B481" s="2">
        <v>480</v>
      </c>
      <c r="C481" s="13">
        <f t="shared" si="7"/>
        <v>-1.4164805318268093E-3</v>
      </c>
    </row>
    <row r="482" spans="1:3" x14ac:dyDescent="0.35">
      <c r="A482" s="13">
        <v>-2.3072454900006457E-2</v>
      </c>
      <c r="B482" s="2">
        <v>481</v>
      </c>
      <c r="C482" s="13">
        <f t="shared" si="7"/>
        <v>-1.3998394254586802E-3</v>
      </c>
    </row>
    <row r="483" spans="1:3" x14ac:dyDescent="0.35">
      <c r="A483" s="13">
        <v>-5.2086918726393519E-3</v>
      </c>
      <c r="B483" s="2">
        <v>482</v>
      </c>
      <c r="C483" s="13">
        <f t="shared" si="7"/>
        <v>-1.3740678595158869E-3</v>
      </c>
    </row>
    <row r="484" spans="1:3" x14ac:dyDescent="0.35">
      <c r="A484" s="13">
        <v>-1.961963565768483E-3</v>
      </c>
      <c r="B484" s="2">
        <v>483</v>
      </c>
      <c r="C484" s="13">
        <f t="shared" si="7"/>
        <v>-1.3619411284411611E-3</v>
      </c>
    </row>
    <row r="485" spans="1:3" x14ac:dyDescent="0.35">
      <c r="A485" s="13">
        <v>1.8601881243354379E-2</v>
      </c>
      <c r="B485" s="2">
        <v>484</v>
      </c>
      <c r="C485" s="13">
        <f t="shared" si="7"/>
        <v>-1.3241611554321443E-3</v>
      </c>
    </row>
    <row r="486" spans="1:3" x14ac:dyDescent="0.35">
      <c r="A486" s="13">
        <v>-1.1728642247585793E-2</v>
      </c>
      <c r="B486" s="2">
        <v>485</v>
      </c>
      <c r="C486" s="13">
        <f t="shared" si="7"/>
        <v>-1.3090875123658967E-3</v>
      </c>
    </row>
    <row r="487" spans="1:3" x14ac:dyDescent="0.35">
      <c r="A487" s="13">
        <v>-1.9263818255328545E-2</v>
      </c>
      <c r="B487" s="2">
        <v>486</v>
      </c>
      <c r="C487" s="13">
        <f t="shared" si="7"/>
        <v>-1.2509201212511549E-3</v>
      </c>
    </row>
    <row r="488" spans="1:3" x14ac:dyDescent="0.35">
      <c r="A488" s="13">
        <v>3.054197527070273E-2</v>
      </c>
      <c r="B488" s="2">
        <v>487</v>
      </c>
      <c r="C488" s="13">
        <f t="shared" si="7"/>
        <v>-1.2495670654842862E-3</v>
      </c>
    </row>
    <row r="489" spans="1:3" x14ac:dyDescent="0.35">
      <c r="A489" s="13">
        <v>3.2429181967539689E-2</v>
      </c>
      <c r="B489" s="2">
        <v>488</v>
      </c>
      <c r="C489" s="13">
        <f t="shared" si="7"/>
        <v>-1.2081682859171304E-3</v>
      </c>
    </row>
    <row r="490" spans="1:3" x14ac:dyDescent="0.35">
      <c r="A490" s="13">
        <v>-4.1232364278106937E-3</v>
      </c>
      <c r="B490" s="2">
        <v>489</v>
      </c>
      <c r="C490" s="13">
        <f t="shared" si="7"/>
        <v>-1.1848869422001061E-3</v>
      </c>
    </row>
    <row r="491" spans="1:3" x14ac:dyDescent="0.35">
      <c r="A491" s="13">
        <v>-1.3374420215245111E-2</v>
      </c>
      <c r="B491" s="2">
        <v>490</v>
      </c>
      <c r="C491" s="13">
        <f t="shared" si="7"/>
        <v>-1.141683623323789E-3</v>
      </c>
    </row>
    <row r="492" spans="1:3" x14ac:dyDescent="0.35">
      <c r="A492" s="13">
        <v>-2.5798381117890016E-2</v>
      </c>
      <c r="B492" s="2">
        <v>491</v>
      </c>
      <c r="C492" s="13">
        <f t="shared" si="7"/>
        <v>-1.1166500360000548E-3</v>
      </c>
    </row>
    <row r="493" spans="1:3" x14ac:dyDescent="0.35">
      <c r="A493" s="13">
        <v>-5.0655140780326707E-3</v>
      </c>
      <c r="B493" s="2">
        <v>492</v>
      </c>
      <c r="C493" s="13">
        <f t="shared" si="7"/>
        <v>-1.1044672965870056E-3</v>
      </c>
    </row>
    <row r="494" spans="1:3" x14ac:dyDescent="0.35">
      <c r="A494" s="13">
        <v>4.3556528460945597E-3</v>
      </c>
      <c r="B494" s="2">
        <v>493</v>
      </c>
      <c r="C494" s="13">
        <f t="shared" si="7"/>
        <v>-1.0981220806817161E-3</v>
      </c>
    </row>
    <row r="495" spans="1:3" x14ac:dyDescent="0.35">
      <c r="A495" s="13">
        <v>-3.9486281749098679E-3</v>
      </c>
      <c r="B495" s="2">
        <v>494</v>
      </c>
      <c r="C495" s="13">
        <f t="shared" si="7"/>
        <v>-1.0913019106328391E-3</v>
      </c>
    </row>
    <row r="496" spans="1:3" x14ac:dyDescent="0.35">
      <c r="A496" s="13">
        <v>2.7198707486744366E-2</v>
      </c>
      <c r="B496" s="2">
        <v>495</v>
      </c>
      <c r="C496" s="13">
        <f t="shared" si="7"/>
        <v>-1.086712598342291E-3</v>
      </c>
    </row>
    <row r="497" spans="1:3" x14ac:dyDescent="0.35">
      <c r="A497" s="13">
        <v>-2.145700766476262E-2</v>
      </c>
      <c r="B497" s="2">
        <v>496</v>
      </c>
      <c r="C497" s="13">
        <f t="shared" si="7"/>
        <v>-1.0662122150472493E-3</v>
      </c>
    </row>
    <row r="498" spans="1:3" x14ac:dyDescent="0.35">
      <c r="A498" s="13">
        <v>1.9582631623724246E-2</v>
      </c>
      <c r="B498" s="2">
        <v>497</v>
      </c>
      <c r="C498" s="13">
        <f t="shared" si="7"/>
        <v>-1.0507990794071899E-3</v>
      </c>
    </row>
    <row r="499" spans="1:3" x14ac:dyDescent="0.35">
      <c r="A499" s="13">
        <v>1.7119164925118564E-2</v>
      </c>
      <c r="B499" s="2">
        <v>498</v>
      </c>
      <c r="C499" s="13">
        <f t="shared" si="7"/>
        <v>-1.0412311430476021E-3</v>
      </c>
    </row>
    <row r="500" spans="1:3" x14ac:dyDescent="0.35">
      <c r="A500" s="13">
        <v>-4.6048292226404932E-3</v>
      </c>
      <c r="B500" s="2">
        <v>499</v>
      </c>
      <c r="C500" s="13">
        <f t="shared" si="7"/>
        <v>-1.0185115232554682E-3</v>
      </c>
    </row>
    <row r="501" spans="1:3" x14ac:dyDescent="0.35">
      <c r="A501" s="13">
        <v>7.693423348754001E-3</v>
      </c>
      <c r="B501" s="2">
        <v>500</v>
      </c>
      <c r="C501" s="13">
        <f t="shared" si="7"/>
        <v>-1.0035157333920272E-3</v>
      </c>
    </row>
    <row r="502" spans="1:3" x14ac:dyDescent="0.35">
      <c r="A502" s="13">
        <v>1.7346724430404827E-2</v>
      </c>
      <c r="B502" s="2">
        <v>501</v>
      </c>
      <c r="C502" s="13">
        <f t="shared" si="7"/>
        <v>-9.7059304803738067E-4</v>
      </c>
    </row>
    <row r="503" spans="1:3" x14ac:dyDescent="0.35">
      <c r="A503" s="13">
        <v>1.6263257418607679E-2</v>
      </c>
      <c r="B503" s="2">
        <v>502</v>
      </c>
      <c r="C503" s="13">
        <f t="shared" si="7"/>
        <v>-9.6336784458877752E-4</v>
      </c>
    </row>
    <row r="504" spans="1:3" x14ac:dyDescent="0.35">
      <c r="A504" s="13">
        <v>1.3948337937644373E-2</v>
      </c>
      <c r="B504" s="2">
        <v>503</v>
      </c>
      <c r="C504" s="13">
        <f t="shared" si="7"/>
        <v>-9.5217581865095777E-4</v>
      </c>
    </row>
    <row r="505" spans="1:3" x14ac:dyDescent="0.35">
      <c r="A505" s="13">
        <v>-3.0287797303473465E-3</v>
      </c>
      <c r="B505" s="2">
        <v>504</v>
      </c>
      <c r="C505" s="13">
        <f t="shared" si="7"/>
        <v>-9.4327174117667144E-4</v>
      </c>
    </row>
    <row r="506" spans="1:3" x14ac:dyDescent="0.35">
      <c r="A506" s="13">
        <v>9.3319594839746476E-3</v>
      </c>
      <c r="B506" s="2">
        <v>505</v>
      </c>
      <c r="C506" s="13">
        <f t="shared" si="7"/>
        <v>-9.3714367074081151E-4</v>
      </c>
    </row>
    <row r="507" spans="1:3" x14ac:dyDescent="0.35">
      <c r="A507" s="13">
        <v>2.6343516612109173E-2</v>
      </c>
      <c r="B507" s="2">
        <v>506</v>
      </c>
      <c r="C507" s="13">
        <f t="shared" si="7"/>
        <v>-8.4718663956261412E-4</v>
      </c>
    </row>
    <row r="508" spans="1:3" x14ac:dyDescent="0.35">
      <c r="A508" s="13">
        <v>-7.7026382536875704E-3</v>
      </c>
      <c r="B508" s="2">
        <v>507</v>
      </c>
      <c r="C508" s="13">
        <f t="shared" si="7"/>
        <v>-8.0476547089842272E-4</v>
      </c>
    </row>
    <row r="509" spans="1:3" x14ac:dyDescent="0.35">
      <c r="A509" s="13">
        <v>-3.7128355026201832E-3</v>
      </c>
      <c r="B509" s="2">
        <v>508</v>
      </c>
      <c r="C509" s="13">
        <f t="shared" si="7"/>
        <v>-7.7084601200301994E-4</v>
      </c>
    </row>
    <row r="510" spans="1:3" x14ac:dyDescent="0.35">
      <c r="A510" s="13">
        <v>-1.6874884292899794E-2</v>
      </c>
      <c r="B510" s="2">
        <v>509</v>
      </c>
      <c r="C510" s="13">
        <f t="shared" si="7"/>
        <v>-7.7037496868699942E-4</v>
      </c>
    </row>
    <row r="511" spans="1:3" x14ac:dyDescent="0.35">
      <c r="A511" s="13">
        <v>-1.0355760435066912E-2</v>
      </c>
      <c r="B511" s="2">
        <v>510</v>
      </c>
      <c r="C511" s="13">
        <f t="shared" si="7"/>
        <v>-7.6495796244767465E-4</v>
      </c>
    </row>
    <row r="512" spans="1:3" x14ac:dyDescent="0.35">
      <c r="A512" s="13">
        <v>2.4239488588345591E-2</v>
      </c>
      <c r="B512" s="2">
        <v>511</v>
      </c>
      <c r="C512" s="13">
        <f t="shared" si="7"/>
        <v>-7.6450137059138018E-4</v>
      </c>
    </row>
    <row r="513" spans="1:3" x14ac:dyDescent="0.35">
      <c r="A513" s="13">
        <v>1.2741183407254752E-2</v>
      </c>
      <c r="B513" s="2">
        <v>512</v>
      </c>
      <c r="C513" s="13">
        <f t="shared" si="7"/>
        <v>-7.4862486857069153E-4</v>
      </c>
    </row>
    <row r="514" spans="1:3" x14ac:dyDescent="0.35">
      <c r="A514" s="13">
        <v>9.6612573942883133E-3</v>
      </c>
      <c r="B514" s="2">
        <v>513</v>
      </c>
      <c r="C514" s="13">
        <f t="shared" si="7"/>
        <v>-7.442642112822647E-4</v>
      </c>
    </row>
    <row r="515" spans="1:3" x14ac:dyDescent="0.35">
      <c r="A515" s="13">
        <v>-2.1786292451658328E-2</v>
      </c>
      <c r="B515" s="2">
        <v>514</v>
      </c>
      <c r="C515" s="13">
        <f t="shared" ref="C515:C578" si="8">+SMALL($A$2:$A$1256,B515)</f>
        <v>-7.3271784831599983E-4</v>
      </c>
    </row>
    <row r="516" spans="1:3" x14ac:dyDescent="0.35">
      <c r="A516" s="13">
        <v>4.0673634439650393E-2</v>
      </c>
      <c r="B516" s="2">
        <v>515</v>
      </c>
      <c r="C516" s="13">
        <f t="shared" si="8"/>
        <v>-6.5006415623134633E-4</v>
      </c>
    </row>
    <row r="517" spans="1:3" x14ac:dyDescent="0.35">
      <c r="A517" s="13">
        <v>9.6420607539524951E-3</v>
      </c>
      <c r="B517" s="2">
        <v>516</v>
      </c>
      <c r="C517" s="13">
        <f t="shared" si="8"/>
        <v>-6.3059689841652063E-4</v>
      </c>
    </row>
    <row r="518" spans="1:3" x14ac:dyDescent="0.35">
      <c r="A518" s="13">
        <v>-8.679028580377798E-3</v>
      </c>
      <c r="B518" s="2">
        <v>517</v>
      </c>
      <c r="C518" s="13">
        <f t="shared" si="8"/>
        <v>-6.2990074065911723E-4</v>
      </c>
    </row>
    <row r="519" spans="1:3" x14ac:dyDescent="0.35">
      <c r="A519" s="13">
        <v>1.3484072945532773E-2</v>
      </c>
      <c r="B519" s="2">
        <v>518</v>
      </c>
      <c r="C519" s="13">
        <f t="shared" si="8"/>
        <v>-6.1006397867851799E-4</v>
      </c>
    </row>
    <row r="520" spans="1:3" x14ac:dyDescent="0.35">
      <c r="A520" s="13">
        <v>-1.4272327590583568E-3</v>
      </c>
      <c r="B520" s="2">
        <v>519</v>
      </c>
      <c r="C520" s="13">
        <f t="shared" si="8"/>
        <v>-5.8417839967709305E-4</v>
      </c>
    </row>
    <row r="521" spans="1:3" x14ac:dyDescent="0.35">
      <c r="A521" s="13">
        <v>-1.6990908362000401E-3</v>
      </c>
      <c r="B521" s="2">
        <v>520</v>
      </c>
      <c r="C521" s="13">
        <f t="shared" si="8"/>
        <v>-5.7917521807671892E-4</v>
      </c>
    </row>
    <row r="522" spans="1:3" x14ac:dyDescent="0.35">
      <c r="A522" s="13">
        <v>9.159798498870355E-3</v>
      </c>
      <c r="B522" s="2">
        <v>521</v>
      </c>
      <c r="C522" s="13">
        <f t="shared" si="8"/>
        <v>-5.7753421173866522E-4</v>
      </c>
    </row>
    <row r="523" spans="1:3" x14ac:dyDescent="0.35">
      <c r="A523" s="13">
        <v>9.6830466266465678E-4</v>
      </c>
      <c r="B523" s="2">
        <v>522</v>
      </c>
      <c r="C523" s="13">
        <f t="shared" si="8"/>
        <v>-5.6460310221912986E-4</v>
      </c>
    </row>
    <row r="524" spans="1:3" x14ac:dyDescent="0.35">
      <c r="A524" s="13">
        <v>1.3000937283634634E-2</v>
      </c>
      <c r="B524" s="2">
        <v>523</v>
      </c>
      <c r="C524" s="13">
        <f t="shared" si="8"/>
        <v>-5.4445701891899705E-4</v>
      </c>
    </row>
    <row r="525" spans="1:3" x14ac:dyDescent="0.35">
      <c r="A525" s="13">
        <v>8.5414918890391271E-4</v>
      </c>
      <c r="B525" s="2">
        <v>524</v>
      </c>
      <c r="C525" s="13">
        <f t="shared" si="8"/>
        <v>-5.3355344589101419E-4</v>
      </c>
    </row>
    <row r="526" spans="1:3" x14ac:dyDescent="0.35">
      <c r="A526" s="13">
        <v>-4.2808399575377653E-4</v>
      </c>
      <c r="B526" s="2">
        <v>525</v>
      </c>
      <c r="C526" s="13">
        <f t="shared" si="8"/>
        <v>-5.0440029596464766E-4</v>
      </c>
    </row>
    <row r="527" spans="1:3" x14ac:dyDescent="0.35">
      <c r="A527" s="13">
        <v>-1.3163316617615349E-2</v>
      </c>
      <c r="B527" s="2">
        <v>526</v>
      </c>
      <c r="C527" s="13">
        <f t="shared" si="8"/>
        <v>-4.8715452627272739E-4</v>
      </c>
    </row>
    <row r="528" spans="1:3" x14ac:dyDescent="0.35">
      <c r="A528" s="13">
        <v>5.5695648370209429E-3</v>
      </c>
      <c r="B528" s="2">
        <v>527</v>
      </c>
      <c r="C528" s="13">
        <f t="shared" si="8"/>
        <v>-4.7198424298076913E-4</v>
      </c>
    </row>
    <row r="529" spans="1:3" x14ac:dyDescent="0.35">
      <c r="A529" s="13">
        <v>1.7175257069297456E-2</v>
      </c>
      <c r="B529" s="2">
        <v>528</v>
      </c>
      <c r="C529" s="13">
        <f t="shared" si="8"/>
        <v>-4.6757106502450982E-4</v>
      </c>
    </row>
    <row r="530" spans="1:3" x14ac:dyDescent="0.35">
      <c r="A530" s="13">
        <v>9.7163605349464665E-4</v>
      </c>
      <c r="B530" s="2">
        <v>529</v>
      </c>
      <c r="C530" s="13">
        <f t="shared" si="8"/>
        <v>-4.6295982593360101E-4</v>
      </c>
    </row>
    <row r="531" spans="1:3" x14ac:dyDescent="0.35">
      <c r="A531" s="13">
        <v>-1.5402780359733456E-3</v>
      </c>
      <c r="B531" s="2">
        <v>530</v>
      </c>
      <c r="C531" s="13">
        <f t="shared" si="8"/>
        <v>-4.5970496143677396E-4</v>
      </c>
    </row>
    <row r="532" spans="1:3" x14ac:dyDescent="0.35">
      <c r="A532" s="13">
        <v>-1.0619715331082547E-2</v>
      </c>
      <c r="B532" s="2">
        <v>531</v>
      </c>
      <c r="C532" s="13">
        <f t="shared" si="8"/>
        <v>-4.4881602081195404E-4</v>
      </c>
    </row>
    <row r="533" spans="1:3" x14ac:dyDescent="0.35">
      <c r="A533" s="13">
        <v>-1.0098318142314664E-2</v>
      </c>
      <c r="B533" s="2">
        <v>532</v>
      </c>
      <c r="C533" s="13">
        <f t="shared" si="8"/>
        <v>-4.4633931088500006E-4</v>
      </c>
    </row>
    <row r="534" spans="1:3" x14ac:dyDescent="0.35">
      <c r="A534" s="13">
        <v>-1.4164805318268093E-3</v>
      </c>
      <c r="B534" s="2">
        <v>533</v>
      </c>
      <c r="C534" s="13">
        <f t="shared" si="8"/>
        <v>-4.4024917992394806E-4</v>
      </c>
    </row>
    <row r="535" spans="1:3" x14ac:dyDescent="0.35">
      <c r="A535" s="13">
        <v>2.8110901052362954E-3</v>
      </c>
      <c r="B535" s="2">
        <v>534</v>
      </c>
      <c r="C535" s="13">
        <f t="shared" si="8"/>
        <v>-4.2808399575377653E-4</v>
      </c>
    </row>
    <row r="536" spans="1:3" x14ac:dyDescent="0.35">
      <c r="A536" s="13">
        <v>-1.0607068274581312E-2</v>
      </c>
      <c r="B536" s="2">
        <v>535</v>
      </c>
      <c r="C536" s="13">
        <f t="shared" si="8"/>
        <v>-4.1559649413495177E-4</v>
      </c>
    </row>
    <row r="537" spans="1:3" x14ac:dyDescent="0.35">
      <c r="A537" s="13">
        <v>2.0790346317941286E-2</v>
      </c>
      <c r="B537" s="2">
        <v>536</v>
      </c>
      <c r="C537" s="13">
        <f t="shared" si="8"/>
        <v>-3.788090718695874E-4</v>
      </c>
    </row>
    <row r="538" spans="1:3" x14ac:dyDescent="0.35">
      <c r="A538" s="13">
        <v>6.1439326223727154E-3</v>
      </c>
      <c r="B538" s="2">
        <v>537</v>
      </c>
      <c r="C538" s="13">
        <f t="shared" si="8"/>
        <v>-3.7291075642579999E-4</v>
      </c>
    </row>
    <row r="539" spans="1:3" x14ac:dyDescent="0.35">
      <c r="A539" s="13">
        <v>-7.2597547483296398E-3</v>
      </c>
      <c r="B539" s="2">
        <v>538</v>
      </c>
      <c r="C539" s="13">
        <f t="shared" si="8"/>
        <v>-3.4884280958194427E-4</v>
      </c>
    </row>
    <row r="540" spans="1:3" x14ac:dyDescent="0.35">
      <c r="A540" s="13">
        <v>-2.7823813984246534E-2</v>
      </c>
      <c r="B540" s="2">
        <v>539</v>
      </c>
      <c r="C540" s="13">
        <f t="shared" si="8"/>
        <v>-2.9038928878626405E-4</v>
      </c>
    </row>
    <row r="541" spans="1:3" x14ac:dyDescent="0.35">
      <c r="A541" s="13">
        <v>-1.4177373415536208E-2</v>
      </c>
      <c r="B541" s="2">
        <v>540</v>
      </c>
      <c r="C541" s="13">
        <f t="shared" si="8"/>
        <v>-2.7004211921890023E-4</v>
      </c>
    </row>
    <row r="542" spans="1:3" x14ac:dyDescent="0.35">
      <c r="A542" s="13">
        <v>-6.8529215437166504E-3</v>
      </c>
      <c r="B542" s="2">
        <v>541</v>
      </c>
      <c r="C542" s="13">
        <f t="shared" si="8"/>
        <v>-2.6294017247178135E-4</v>
      </c>
    </row>
    <row r="543" spans="1:3" x14ac:dyDescent="0.35">
      <c r="A543" s="13">
        <v>1.0523869552609436E-2</v>
      </c>
      <c r="B543" s="2">
        <v>542</v>
      </c>
      <c r="C543" s="13">
        <f t="shared" si="8"/>
        <v>-2.5592180144369601E-4</v>
      </c>
    </row>
    <row r="544" spans="1:3" x14ac:dyDescent="0.35">
      <c r="A544" s="13">
        <v>1.1525278598211536E-2</v>
      </c>
      <c r="B544" s="2">
        <v>543</v>
      </c>
      <c r="C544" s="13">
        <f t="shared" si="8"/>
        <v>-2.5590828097501453E-4</v>
      </c>
    </row>
    <row r="545" spans="1:3" x14ac:dyDescent="0.35">
      <c r="A545" s="13">
        <v>-1.3862673753642762E-2</v>
      </c>
      <c r="B545" s="2">
        <v>544</v>
      </c>
      <c r="C545" s="13">
        <f t="shared" si="8"/>
        <v>-2.4358970360062199E-4</v>
      </c>
    </row>
    <row r="546" spans="1:3" x14ac:dyDescent="0.35">
      <c r="A546" s="13">
        <v>6.1717337697130281E-3</v>
      </c>
      <c r="B546" s="2">
        <v>545</v>
      </c>
      <c r="C546" s="13">
        <f t="shared" si="8"/>
        <v>-2.1631162181509601E-4</v>
      </c>
    </row>
    <row r="547" spans="1:3" x14ac:dyDescent="0.35">
      <c r="A547" s="13">
        <v>2.0504153742028422E-3</v>
      </c>
      <c r="B547" s="2">
        <v>546</v>
      </c>
      <c r="C547" s="13">
        <f t="shared" si="8"/>
        <v>-1.8485282570574884E-4</v>
      </c>
    </row>
    <row r="548" spans="1:3" x14ac:dyDescent="0.35">
      <c r="A548" s="13">
        <v>-1.5734800900821487E-2</v>
      </c>
      <c r="B548" s="2">
        <v>547</v>
      </c>
      <c r="C548" s="13">
        <f t="shared" si="8"/>
        <v>-1.5493204025688158E-4</v>
      </c>
    </row>
    <row r="549" spans="1:3" x14ac:dyDescent="0.35">
      <c r="A549" s="13">
        <v>1.2216947213916023E-2</v>
      </c>
      <c r="B549" s="2">
        <v>548</v>
      </c>
      <c r="C549" s="13">
        <f t="shared" si="8"/>
        <v>-1.5083387123443807E-4</v>
      </c>
    </row>
    <row r="550" spans="1:3" x14ac:dyDescent="0.35">
      <c r="A550" s="13">
        <v>-1.4749629907022911E-3</v>
      </c>
      <c r="B550" s="2">
        <v>549</v>
      </c>
      <c r="C550" s="13">
        <f t="shared" si="8"/>
        <v>-1.2385354535977887E-4</v>
      </c>
    </row>
    <row r="551" spans="1:3" x14ac:dyDescent="0.35">
      <c r="A551" s="13">
        <v>2.7317505098346023E-3</v>
      </c>
      <c r="B551" s="2">
        <v>550</v>
      </c>
      <c r="C551" s="13">
        <f t="shared" si="8"/>
        <v>-1.1484683006462645E-4</v>
      </c>
    </row>
    <row r="552" spans="1:3" x14ac:dyDescent="0.35">
      <c r="A552" s="13">
        <v>2.4361192379138705E-3</v>
      </c>
      <c r="B552" s="2">
        <v>551</v>
      </c>
      <c r="C552" s="13">
        <f t="shared" si="8"/>
        <v>-1.1385410145536417E-4</v>
      </c>
    </row>
    <row r="553" spans="1:3" x14ac:dyDescent="0.35">
      <c r="A553" s="13">
        <v>-1.3752245029708187E-2</v>
      </c>
      <c r="B553" s="2">
        <v>552</v>
      </c>
      <c r="C553" s="13">
        <f t="shared" si="8"/>
        <v>-1.0774151191868134E-4</v>
      </c>
    </row>
    <row r="554" spans="1:3" x14ac:dyDescent="0.35">
      <c r="A554" s="13">
        <v>2.3152814408665408E-2</v>
      </c>
      <c r="B554" s="2">
        <v>553</v>
      </c>
      <c r="C554" s="13">
        <f t="shared" si="8"/>
        <v>-5.2515039021074506E-5</v>
      </c>
    </row>
    <row r="555" spans="1:3" x14ac:dyDescent="0.35">
      <c r="A555" s="13">
        <v>-2.9602414515366741E-3</v>
      </c>
      <c r="B555" s="2">
        <v>554</v>
      </c>
      <c r="C555" s="13">
        <f t="shared" si="8"/>
        <v>1.4128508718021129E-5</v>
      </c>
    </row>
    <row r="556" spans="1:3" x14ac:dyDescent="0.35">
      <c r="A556" s="13">
        <v>8.0425737835418017E-3</v>
      </c>
      <c r="B556" s="2">
        <v>555</v>
      </c>
      <c r="C556" s="13">
        <f t="shared" si="8"/>
        <v>1.948894281164859E-5</v>
      </c>
    </row>
    <row r="557" spans="1:3" x14ac:dyDescent="0.35">
      <c r="A557" s="13">
        <v>9.6011354564504246E-3</v>
      </c>
      <c r="B557" s="2">
        <v>556</v>
      </c>
      <c r="C557" s="13">
        <f t="shared" si="8"/>
        <v>3.0152688598051279E-5</v>
      </c>
    </row>
    <row r="558" spans="1:3" x14ac:dyDescent="0.35">
      <c r="A558" s="13">
        <v>4.3373613505751155E-3</v>
      </c>
      <c r="B558" s="2">
        <v>557</v>
      </c>
      <c r="C558" s="13">
        <f t="shared" si="8"/>
        <v>4.7435257773611669E-5</v>
      </c>
    </row>
    <row r="559" spans="1:3" x14ac:dyDescent="0.35">
      <c r="A559" s="13">
        <v>5.1078336712117945E-3</v>
      </c>
      <c r="B559" s="2">
        <v>558</v>
      </c>
      <c r="C559" s="13">
        <f t="shared" si="8"/>
        <v>5.3363225767321353E-5</v>
      </c>
    </row>
    <row r="560" spans="1:3" x14ac:dyDescent="0.35">
      <c r="A560" s="13">
        <v>-5.9401349357934589E-3</v>
      </c>
      <c r="B560" s="2">
        <v>559</v>
      </c>
      <c r="C560" s="13">
        <f t="shared" si="8"/>
        <v>8.1839748296537148E-5</v>
      </c>
    </row>
    <row r="561" spans="1:3" x14ac:dyDescent="0.35">
      <c r="A561" s="13">
        <v>-2.3650978891779355E-2</v>
      </c>
      <c r="B561" s="2">
        <v>560</v>
      </c>
      <c r="C561" s="13">
        <f t="shared" si="8"/>
        <v>8.1960595818652941E-5</v>
      </c>
    </row>
    <row r="562" spans="1:3" x14ac:dyDescent="0.35">
      <c r="A562" s="13">
        <v>-1.4396174733340695E-2</v>
      </c>
      <c r="B562" s="2">
        <v>561</v>
      </c>
      <c r="C562" s="13">
        <f t="shared" si="8"/>
        <v>9.5078616833263734E-5</v>
      </c>
    </row>
    <row r="563" spans="1:3" x14ac:dyDescent="0.35">
      <c r="A563" s="13">
        <v>1.7824206638494617E-2</v>
      </c>
      <c r="B563" s="2">
        <v>562</v>
      </c>
      <c r="C563" s="13">
        <f t="shared" si="8"/>
        <v>1.4395015754426626E-4</v>
      </c>
    </row>
    <row r="564" spans="1:3" x14ac:dyDescent="0.35">
      <c r="A564" s="13">
        <v>1.1077395065144444E-2</v>
      </c>
      <c r="B564" s="2">
        <v>563</v>
      </c>
      <c r="C564" s="13">
        <f t="shared" si="8"/>
        <v>1.5244048705992884E-4</v>
      </c>
    </row>
    <row r="565" spans="1:3" x14ac:dyDescent="0.35">
      <c r="A565" s="13">
        <v>4.5079140033878274E-3</v>
      </c>
      <c r="B565" s="2">
        <v>564</v>
      </c>
      <c r="C565" s="13">
        <f t="shared" si="8"/>
        <v>1.5326074172861397E-4</v>
      </c>
    </row>
    <row r="566" spans="1:3" x14ac:dyDescent="0.35">
      <c r="A566" s="13">
        <v>-9.3714367074081151E-4</v>
      </c>
      <c r="B566" s="2">
        <v>565</v>
      </c>
      <c r="C566" s="13">
        <f t="shared" si="8"/>
        <v>1.6149905501392859E-4</v>
      </c>
    </row>
    <row r="567" spans="1:3" x14ac:dyDescent="0.35">
      <c r="A567" s="13">
        <v>-6.9498790944892731E-3</v>
      </c>
      <c r="B567" s="2">
        <v>566</v>
      </c>
      <c r="C567" s="13">
        <f t="shared" si="8"/>
        <v>1.8982354123656901E-4</v>
      </c>
    </row>
    <row r="568" spans="1:3" x14ac:dyDescent="0.35">
      <c r="A568" s="13">
        <v>2.3579656589279806E-2</v>
      </c>
      <c r="B568" s="2">
        <v>567</v>
      </c>
      <c r="C568" s="13">
        <f t="shared" si="8"/>
        <v>2.0128218268121879E-4</v>
      </c>
    </row>
    <row r="569" spans="1:3" x14ac:dyDescent="0.35">
      <c r="A569" s="13">
        <v>-4.5824645492602307E-3</v>
      </c>
      <c r="B569" s="2">
        <v>568</v>
      </c>
      <c r="C569" s="13">
        <f t="shared" si="8"/>
        <v>2.2043316970422408E-4</v>
      </c>
    </row>
    <row r="570" spans="1:3" x14ac:dyDescent="0.35">
      <c r="A570" s="13">
        <v>1.0409222857940756E-3</v>
      </c>
      <c r="B570" s="2">
        <v>569</v>
      </c>
      <c r="C570" s="13">
        <f t="shared" si="8"/>
        <v>2.2446326158083994E-4</v>
      </c>
    </row>
    <row r="571" spans="1:3" x14ac:dyDescent="0.35">
      <c r="A571" s="13">
        <v>1.408857969301321E-3</v>
      </c>
      <c r="B571" s="2">
        <v>570</v>
      </c>
      <c r="C571" s="13">
        <f t="shared" si="8"/>
        <v>2.5043832109619495E-4</v>
      </c>
    </row>
    <row r="572" spans="1:3" x14ac:dyDescent="0.35">
      <c r="A572" s="13">
        <v>3.8359822025298479E-3</v>
      </c>
      <c r="B572" s="2">
        <v>571</v>
      </c>
      <c r="C572" s="13">
        <f t="shared" si="8"/>
        <v>2.6411626858985717E-4</v>
      </c>
    </row>
    <row r="573" spans="1:3" x14ac:dyDescent="0.35">
      <c r="A573" s="13">
        <v>3.2405213941508761E-3</v>
      </c>
      <c r="B573" s="2">
        <v>572</v>
      </c>
      <c r="C573" s="13">
        <f t="shared" si="8"/>
        <v>2.7774827694209293E-4</v>
      </c>
    </row>
    <row r="574" spans="1:3" x14ac:dyDescent="0.35">
      <c r="A574" s="13">
        <v>-4.0804950570107312E-3</v>
      </c>
      <c r="B574" s="2">
        <v>573</v>
      </c>
      <c r="C574" s="13">
        <f t="shared" si="8"/>
        <v>2.8332937529604296E-4</v>
      </c>
    </row>
    <row r="575" spans="1:3" x14ac:dyDescent="0.35">
      <c r="A575" s="13">
        <v>6.8607037010738007E-3</v>
      </c>
      <c r="B575" s="2">
        <v>574</v>
      </c>
      <c r="C575" s="13">
        <f t="shared" si="8"/>
        <v>3.027527821049124E-4</v>
      </c>
    </row>
    <row r="576" spans="1:3" x14ac:dyDescent="0.35">
      <c r="A576" s="13">
        <v>-1.5535820677761254E-3</v>
      </c>
      <c r="B576" s="2">
        <v>575</v>
      </c>
      <c r="C576" s="13">
        <f t="shared" si="8"/>
        <v>3.3708431642505649E-4</v>
      </c>
    </row>
    <row r="577" spans="1:3" x14ac:dyDescent="0.35">
      <c r="A577" s="13">
        <v>-5.4373226609021087E-3</v>
      </c>
      <c r="B577" s="2">
        <v>576</v>
      </c>
      <c r="C577" s="13">
        <f t="shared" si="8"/>
        <v>3.825216029995325E-4</v>
      </c>
    </row>
    <row r="578" spans="1:3" x14ac:dyDescent="0.35">
      <c r="A578" s="13">
        <v>7.866342215586573E-3</v>
      </c>
      <c r="B578" s="2">
        <v>577</v>
      </c>
      <c r="C578" s="13">
        <f t="shared" si="8"/>
        <v>3.8771171506737402E-4</v>
      </c>
    </row>
    <row r="579" spans="1:3" x14ac:dyDescent="0.35">
      <c r="A579" s="13">
        <v>1.3858190708123105E-2</v>
      </c>
      <c r="B579" s="2">
        <v>578</v>
      </c>
      <c r="C579" s="13">
        <f t="shared" ref="C579:C642" si="9">+SMALL($A$2:$A$1256,B579)</f>
        <v>4.0583651203115806E-4</v>
      </c>
    </row>
    <row r="580" spans="1:3" x14ac:dyDescent="0.35">
      <c r="A580" s="13">
        <v>-5.8156994470291452E-3</v>
      </c>
      <c r="B580" s="2">
        <v>579</v>
      </c>
      <c r="C580" s="13">
        <f t="shared" si="9"/>
        <v>4.3769818252219856E-4</v>
      </c>
    </row>
    <row r="581" spans="1:3" x14ac:dyDescent="0.35">
      <c r="A581" s="13">
        <v>3.6431261297781531E-3</v>
      </c>
      <c r="B581" s="2">
        <v>580</v>
      </c>
      <c r="C581" s="13">
        <f t="shared" si="9"/>
        <v>4.4860288566283364E-4</v>
      </c>
    </row>
    <row r="582" spans="1:3" x14ac:dyDescent="0.35">
      <c r="A582" s="13">
        <v>-1.4444558188474795E-2</v>
      </c>
      <c r="B582" s="2">
        <v>581</v>
      </c>
      <c r="C582" s="13">
        <f t="shared" si="9"/>
        <v>4.5411112221727394E-4</v>
      </c>
    </row>
    <row r="583" spans="1:3" x14ac:dyDescent="0.35">
      <c r="A583" s="13">
        <v>1.4074475605698863E-3</v>
      </c>
      <c r="B583" s="2">
        <v>582</v>
      </c>
      <c r="C583" s="13">
        <f t="shared" si="9"/>
        <v>4.9124115542984598E-4</v>
      </c>
    </row>
    <row r="584" spans="1:3" x14ac:dyDescent="0.35">
      <c r="A584" s="13">
        <v>-1.7268282050986222E-2</v>
      </c>
      <c r="B584" s="2">
        <v>583</v>
      </c>
      <c r="C584" s="13">
        <f t="shared" si="9"/>
        <v>5.1074109013718493E-4</v>
      </c>
    </row>
    <row r="585" spans="1:3" x14ac:dyDescent="0.35">
      <c r="A585" s="13">
        <v>-7.5130545000161569E-3</v>
      </c>
      <c r="B585" s="2">
        <v>584</v>
      </c>
      <c r="C585" s="13">
        <f t="shared" si="9"/>
        <v>5.2286260197983232E-4</v>
      </c>
    </row>
    <row r="586" spans="1:3" x14ac:dyDescent="0.35">
      <c r="A586" s="13">
        <v>-1.3998394254586802E-3</v>
      </c>
      <c r="B586" s="2">
        <v>585</v>
      </c>
      <c r="C586" s="13">
        <f t="shared" si="9"/>
        <v>5.2294204008633994E-4</v>
      </c>
    </row>
    <row r="587" spans="1:3" x14ac:dyDescent="0.35">
      <c r="A587" s="13">
        <v>-5.1252819665049765E-3</v>
      </c>
      <c r="B587" s="2">
        <v>586</v>
      </c>
      <c r="C587" s="13">
        <f t="shared" si="9"/>
        <v>5.3652826313718574E-4</v>
      </c>
    </row>
    <row r="588" spans="1:3" x14ac:dyDescent="0.35">
      <c r="A588" s="13">
        <v>4.4860288566283364E-4</v>
      </c>
      <c r="B588" s="2">
        <v>587</v>
      </c>
      <c r="C588" s="13">
        <f t="shared" si="9"/>
        <v>5.3861250723157223E-4</v>
      </c>
    </row>
    <row r="589" spans="1:3" x14ac:dyDescent="0.35">
      <c r="A589" s="13">
        <v>-1.3619411284411611E-3</v>
      </c>
      <c r="B589" s="2">
        <v>588</v>
      </c>
      <c r="C589" s="13">
        <f t="shared" si="9"/>
        <v>5.9518939303175155E-4</v>
      </c>
    </row>
    <row r="590" spans="1:3" x14ac:dyDescent="0.35">
      <c r="A590" s="13">
        <v>1.3729635848174077E-3</v>
      </c>
      <c r="B590" s="2">
        <v>589</v>
      </c>
      <c r="C590" s="13">
        <f t="shared" si="9"/>
        <v>6.0635131719812647E-4</v>
      </c>
    </row>
    <row r="591" spans="1:3" x14ac:dyDescent="0.35">
      <c r="A591" s="13">
        <v>6.6200403163475911E-3</v>
      </c>
      <c r="B591" s="2">
        <v>590</v>
      </c>
      <c r="C591" s="13">
        <f t="shared" si="9"/>
        <v>6.3052164741012029E-4</v>
      </c>
    </row>
    <row r="592" spans="1:3" x14ac:dyDescent="0.35">
      <c r="A592" s="13">
        <v>1.0341305482392397E-2</v>
      </c>
      <c r="B592" s="2">
        <v>591</v>
      </c>
      <c r="C592" s="13">
        <f t="shared" si="9"/>
        <v>6.6217591019158799E-4</v>
      </c>
    </row>
    <row r="593" spans="1:3" x14ac:dyDescent="0.35">
      <c r="A593" s="13">
        <v>1.0586028288303859E-3</v>
      </c>
      <c r="B593" s="2">
        <v>592</v>
      </c>
      <c r="C593" s="13">
        <f t="shared" si="9"/>
        <v>6.7478069265567374E-4</v>
      </c>
    </row>
    <row r="594" spans="1:3" x14ac:dyDescent="0.35">
      <c r="A594" s="13">
        <v>-1.7032555510207437E-2</v>
      </c>
      <c r="B594" s="2">
        <v>593</v>
      </c>
      <c r="C594" s="13">
        <f t="shared" si="9"/>
        <v>7.5902124295486209E-4</v>
      </c>
    </row>
    <row r="595" spans="1:3" x14ac:dyDescent="0.35">
      <c r="A595" s="13">
        <v>-1.3090875123658967E-3</v>
      </c>
      <c r="B595" s="2">
        <v>594</v>
      </c>
      <c r="C595" s="13">
        <f t="shared" si="9"/>
        <v>7.7256545427766411E-4</v>
      </c>
    </row>
    <row r="596" spans="1:3" x14ac:dyDescent="0.35">
      <c r="A596" s="13">
        <v>-1.4608896307536826E-2</v>
      </c>
      <c r="B596" s="2">
        <v>595</v>
      </c>
      <c r="C596" s="13">
        <f t="shared" si="9"/>
        <v>7.984097403200541E-4</v>
      </c>
    </row>
    <row r="597" spans="1:3" x14ac:dyDescent="0.35">
      <c r="A597" s="13">
        <v>-2.0924639736644265E-2</v>
      </c>
      <c r="B597" s="2">
        <v>596</v>
      </c>
      <c r="C597" s="13">
        <f t="shared" si="9"/>
        <v>8.0197494426768466E-4</v>
      </c>
    </row>
    <row r="598" spans="1:3" x14ac:dyDescent="0.35">
      <c r="A598" s="13">
        <v>-7.2085333903373341E-3</v>
      </c>
      <c r="B598" s="2">
        <v>597</v>
      </c>
      <c r="C598" s="13">
        <f t="shared" si="9"/>
        <v>8.0755749138871616E-4</v>
      </c>
    </row>
    <row r="599" spans="1:3" x14ac:dyDescent="0.35">
      <c r="A599" s="13">
        <v>1.1303574810236271E-2</v>
      </c>
      <c r="B599" s="2">
        <v>598</v>
      </c>
      <c r="C599" s="13">
        <f t="shared" si="9"/>
        <v>8.3491879162101443E-4</v>
      </c>
    </row>
    <row r="600" spans="1:3" x14ac:dyDescent="0.35">
      <c r="A600" s="13">
        <v>-9.1699895192944095E-3</v>
      </c>
      <c r="B600" s="2">
        <v>599</v>
      </c>
      <c r="C600" s="13">
        <f t="shared" si="9"/>
        <v>8.5414918890391271E-4</v>
      </c>
    </row>
    <row r="601" spans="1:3" x14ac:dyDescent="0.35">
      <c r="A601" s="13">
        <v>8.8274078291046172E-3</v>
      </c>
      <c r="B601" s="2">
        <v>600</v>
      </c>
      <c r="C601" s="13">
        <f t="shared" si="9"/>
        <v>8.6816567805285112E-4</v>
      </c>
    </row>
    <row r="602" spans="1:3" x14ac:dyDescent="0.35">
      <c r="A602" s="13">
        <v>-6.6763400606494484E-3</v>
      </c>
      <c r="B602" s="2">
        <v>601</v>
      </c>
      <c r="C602" s="13">
        <f t="shared" si="9"/>
        <v>8.6909671305849482E-4</v>
      </c>
    </row>
    <row r="603" spans="1:3" x14ac:dyDescent="0.35">
      <c r="A603" s="13">
        <v>1.0748360070166916E-2</v>
      </c>
      <c r="B603" s="2">
        <v>602</v>
      </c>
      <c r="C603" s="13">
        <f t="shared" si="9"/>
        <v>8.7910268330942086E-4</v>
      </c>
    </row>
    <row r="604" spans="1:3" x14ac:dyDescent="0.35">
      <c r="A604" s="13">
        <v>1.2022173792589413E-2</v>
      </c>
      <c r="B604" s="2">
        <v>603</v>
      </c>
      <c r="C604" s="13">
        <f t="shared" si="9"/>
        <v>8.8867967180682964E-4</v>
      </c>
    </row>
    <row r="605" spans="1:3" x14ac:dyDescent="0.35">
      <c r="A605" s="13">
        <v>-1.353510422685544E-2</v>
      </c>
      <c r="B605" s="2">
        <v>604</v>
      </c>
      <c r="C605" s="13">
        <f t="shared" si="9"/>
        <v>8.9307385971981756E-4</v>
      </c>
    </row>
    <row r="606" spans="1:3" x14ac:dyDescent="0.35">
      <c r="A606" s="13">
        <v>2.6320037330665944E-3</v>
      </c>
      <c r="B606" s="2">
        <v>605</v>
      </c>
      <c r="C606" s="13">
        <f t="shared" si="9"/>
        <v>9.1649192806509663E-4</v>
      </c>
    </row>
    <row r="607" spans="1:3" x14ac:dyDescent="0.35">
      <c r="A607" s="13">
        <v>2.1819664326653732E-3</v>
      </c>
      <c r="B607" s="2">
        <v>606</v>
      </c>
      <c r="C607" s="13">
        <f t="shared" si="9"/>
        <v>9.5827831989486701E-4</v>
      </c>
    </row>
    <row r="608" spans="1:3" x14ac:dyDescent="0.35">
      <c r="A608" s="13">
        <v>1.5277464028397813E-2</v>
      </c>
      <c r="B608" s="2">
        <v>607</v>
      </c>
      <c r="C608" s="13">
        <f t="shared" si="9"/>
        <v>9.5880229822222331E-4</v>
      </c>
    </row>
    <row r="609" spans="1:3" x14ac:dyDescent="0.35">
      <c r="A609" s="13">
        <v>-4.3286967117611812E-3</v>
      </c>
      <c r="B609" s="2">
        <v>608</v>
      </c>
      <c r="C609" s="13">
        <f t="shared" si="9"/>
        <v>9.5901206313980369E-4</v>
      </c>
    </row>
    <row r="610" spans="1:3" x14ac:dyDescent="0.35">
      <c r="A610" s="13">
        <v>1.1924312299399772E-2</v>
      </c>
      <c r="B610" s="2">
        <v>609</v>
      </c>
      <c r="C610" s="13">
        <f t="shared" si="9"/>
        <v>9.6830466266465678E-4</v>
      </c>
    </row>
    <row r="611" spans="1:3" x14ac:dyDescent="0.35">
      <c r="A611" s="13">
        <v>2.7358651711040629E-3</v>
      </c>
      <c r="B611" s="2">
        <v>610</v>
      </c>
      <c r="C611" s="13">
        <f t="shared" si="9"/>
        <v>9.7163605349464665E-4</v>
      </c>
    </row>
    <row r="612" spans="1:3" x14ac:dyDescent="0.35">
      <c r="A612" s="13">
        <v>1.5041053789928484E-2</v>
      </c>
      <c r="B612" s="2">
        <v>611</v>
      </c>
      <c r="C612" s="13">
        <f t="shared" si="9"/>
        <v>9.7717738982367407E-4</v>
      </c>
    </row>
    <row r="613" spans="1:3" x14ac:dyDescent="0.35">
      <c r="A613" s="13">
        <v>2.7830824889824757E-3</v>
      </c>
      <c r="B613" s="2">
        <v>612</v>
      </c>
      <c r="C613" s="13">
        <f t="shared" si="9"/>
        <v>9.790071374754497E-4</v>
      </c>
    </row>
    <row r="614" spans="1:3" x14ac:dyDescent="0.35">
      <c r="A614" s="13">
        <v>-1.377488188385197E-2</v>
      </c>
      <c r="B614" s="2">
        <v>613</v>
      </c>
      <c r="C614" s="13">
        <f t="shared" si="9"/>
        <v>9.8243170936986859E-4</v>
      </c>
    </row>
    <row r="615" spans="1:3" x14ac:dyDescent="0.35">
      <c r="A615" s="13">
        <v>-1.3740678595158869E-3</v>
      </c>
      <c r="B615" s="2">
        <v>614</v>
      </c>
      <c r="C615" s="13">
        <f t="shared" si="9"/>
        <v>1.023045759143618E-3</v>
      </c>
    </row>
    <row r="616" spans="1:3" x14ac:dyDescent="0.35">
      <c r="A616" s="13">
        <v>-4.3202148343052136E-3</v>
      </c>
      <c r="B616" s="2">
        <v>615</v>
      </c>
      <c r="C616" s="13">
        <f t="shared" si="9"/>
        <v>1.033188768284186E-3</v>
      </c>
    </row>
    <row r="617" spans="1:3" x14ac:dyDescent="0.35">
      <c r="A617" s="13">
        <v>7.590808121560268E-3</v>
      </c>
      <c r="B617" s="2">
        <v>616</v>
      </c>
      <c r="C617" s="13">
        <f t="shared" si="9"/>
        <v>1.0409222857940756E-3</v>
      </c>
    </row>
    <row r="618" spans="1:3" x14ac:dyDescent="0.35">
      <c r="A618" s="13">
        <v>-2.7004211921890023E-4</v>
      </c>
      <c r="B618" s="2">
        <v>617</v>
      </c>
      <c r="C618" s="13">
        <f t="shared" si="9"/>
        <v>1.0586028288303859E-3</v>
      </c>
    </row>
    <row r="619" spans="1:3" x14ac:dyDescent="0.35">
      <c r="A619" s="13">
        <v>-7.8073486582081681E-3</v>
      </c>
      <c r="B619" s="2">
        <v>618</v>
      </c>
      <c r="C619" s="13">
        <f t="shared" si="9"/>
        <v>1.0601452605823918E-3</v>
      </c>
    </row>
    <row r="620" spans="1:3" x14ac:dyDescent="0.35">
      <c r="A620" s="13">
        <v>6.5105596861563322E-3</v>
      </c>
      <c r="B620" s="2">
        <v>619</v>
      </c>
      <c r="C620" s="13">
        <f t="shared" si="9"/>
        <v>1.0746269747670309E-3</v>
      </c>
    </row>
    <row r="621" spans="1:3" x14ac:dyDescent="0.35">
      <c r="A621" s="13">
        <v>-1.5083387123443807E-4</v>
      </c>
      <c r="B621" s="2">
        <v>620</v>
      </c>
      <c r="C621" s="13">
        <f t="shared" si="9"/>
        <v>1.0811501620551049E-3</v>
      </c>
    </row>
    <row r="622" spans="1:3" x14ac:dyDescent="0.35">
      <c r="A622" s="13">
        <v>3.9528596026119512E-3</v>
      </c>
      <c r="B622" s="2">
        <v>621</v>
      </c>
      <c r="C622" s="13">
        <f t="shared" si="9"/>
        <v>1.1211532494146716E-3</v>
      </c>
    </row>
    <row r="623" spans="1:3" x14ac:dyDescent="0.35">
      <c r="A623" s="13">
        <v>9.8243170936986859E-4</v>
      </c>
      <c r="B623" s="2">
        <v>622</v>
      </c>
      <c r="C623" s="13">
        <f t="shared" si="9"/>
        <v>1.1396473988888444E-3</v>
      </c>
    </row>
    <row r="624" spans="1:3" x14ac:dyDescent="0.35">
      <c r="A624" s="13">
        <v>-2.6465320044895264E-3</v>
      </c>
      <c r="B624" s="2">
        <v>623</v>
      </c>
      <c r="C624" s="13">
        <f t="shared" si="9"/>
        <v>1.1803389221916607E-3</v>
      </c>
    </row>
    <row r="625" spans="1:3" x14ac:dyDescent="0.35">
      <c r="A625" s="13">
        <v>-3.3598027338017375E-3</v>
      </c>
      <c r="B625" s="2">
        <v>624</v>
      </c>
      <c r="C625" s="13">
        <f t="shared" si="9"/>
        <v>1.2046891560681234E-3</v>
      </c>
    </row>
    <row r="626" spans="1:3" x14ac:dyDescent="0.35">
      <c r="A626" s="13">
        <v>-1.3241611554321443E-3</v>
      </c>
      <c r="B626" s="2">
        <v>625</v>
      </c>
      <c r="C626" s="13">
        <f t="shared" si="9"/>
        <v>1.2135897332063291E-3</v>
      </c>
    </row>
    <row r="627" spans="1:3" x14ac:dyDescent="0.35">
      <c r="A627" s="13">
        <v>-2.4659445237628272E-3</v>
      </c>
      <c r="B627" s="2">
        <v>626</v>
      </c>
      <c r="C627" s="13">
        <f t="shared" si="9"/>
        <v>1.2350857872636832E-3</v>
      </c>
    </row>
    <row r="628" spans="1:3" x14ac:dyDescent="0.35">
      <c r="A628" s="13">
        <v>-1.283029974505679E-2</v>
      </c>
      <c r="B628" s="2">
        <v>627</v>
      </c>
      <c r="C628" s="13">
        <f t="shared" si="9"/>
        <v>1.2415398772716703E-3</v>
      </c>
    </row>
    <row r="629" spans="1:3" x14ac:dyDescent="0.35">
      <c r="A629" s="13">
        <v>6.6092280932774283E-3</v>
      </c>
      <c r="B629" s="2">
        <v>628</v>
      </c>
      <c r="C629" s="13">
        <f t="shared" si="9"/>
        <v>1.2611103390100186E-3</v>
      </c>
    </row>
    <row r="630" spans="1:3" x14ac:dyDescent="0.35">
      <c r="A630" s="13">
        <v>9.5171140632345323E-3</v>
      </c>
      <c r="B630" s="2">
        <v>629</v>
      </c>
      <c r="C630" s="13">
        <f t="shared" si="9"/>
        <v>1.2648172192141326E-3</v>
      </c>
    </row>
    <row r="631" spans="1:3" x14ac:dyDescent="0.35">
      <c r="A631" s="13">
        <v>6.3356879515841435E-3</v>
      </c>
      <c r="B631" s="2">
        <v>630</v>
      </c>
      <c r="C631" s="13">
        <f t="shared" si="9"/>
        <v>1.2924530531446159E-3</v>
      </c>
    </row>
    <row r="632" spans="1:3" x14ac:dyDescent="0.35">
      <c r="A632" s="13">
        <v>-4.13041190063525E-3</v>
      </c>
      <c r="B632" s="2">
        <v>631</v>
      </c>
      <c r="C632" s="13">
        <f t="shared" si="9"/>
        <v>1.3013552748537597E-3</v>
      </c>
    </row>
    <row r="633" spans="1:3" x14ac:dyDescent="0.35">
      <c r="A633" s="13">
        <v>-1.1709799873746114E-2</v>
      </c>
      <c r="B633" s="2">
        <v>632</v>
      </c>
      <c r="C633" s="13">
        <f t="shared" si="9"/>
        <v>1.3081825874543395E-3</v>
      </c>
    </row>
    <row r="634" spans="1:3" x14ac:dyDescent="0.35">
      <c r="A634" s="13">
        <v>-5.9299355202524001E-3</v>
      </c>
      <c r="B634" s="2">
        <v>633</v>
      </c>
      <c r="C634" s="13">
        <f t="shared" si="9"/>
        <v>1.3236533382493042E-3</v>
      </c>
    </row>
    <row r="635" spans="1:3" x14ac:dyDescent="0.35">
      <c r="A635" s="13">
        <v>-1.0170586353914587E-2</v>
      </c>
      <c r="B635" s="2">
        <v>634</v>
      </c>
      <c r="C635" s="13">
        <f t="shared" si="9"/>
        <v>1.3252497112919088E-3</v>
      </c>
    </row>
    <row r="636" spans="1:3" x14ac:dyDescent="0.35">
      <c r="A636" s="13">
        <v>1.5499323302475913E-2</v>
      </c>
      <c r="B636" s="2">
        <v>635</v>
      </c>
      <c r="C636" s="13">
        <f t="shared" si="9"/>
        <v>1.3634098043137414E-3</v>
      </c>
    </row>
    <row r="637" spans="1:3" x14ac:dyDescent="0.35">
      <c r="A637" s="13">
        <v>2.2043316970422408E-4</v>
      </c>
      <c r="B637" s="2">
        <v>636</v>
      </c>
      <c r="C637" s="13">
        <f t="shared" si="9"/>
        <v>1.3729635848174077E-3</v>
      </c>
    </row>
    <row r="638" spans="1:3" x14ac:dyDescent="0.35">
      <c r="A638" s="13">
        <v>-5.9556638290757247E-3</v>
      </c>
      <c r="B638" s="2">
        <v>637</v>
      </c>
      <c r="C638" s="13">
        <f t="shared" si="9"/>
        <v>1.3827949938948366E-3</v>
      </c>
    </row>
    <row r="639" spans="1:3" x14ac:dyDescent="0.35">
      <c r="A639" s="13">
        <v>-2.4403601723622281E-3</v>
      </c>
      <c r="B639" s="2">
        <v>638</v>
      </c>
      <c r="C639" s="13">
        <f t="shared" si="9"/>
        <v>1.3855675633556047E-3</v>
      </c>
    </row>
    <row r="640" spans="1:3" x14ac:dyDescent="0.35">
      <c r="A640" s="13">
        <v>-6.0628607098740343E-3</v>
      </c>
      <c r="B640" s="2">
        <v>639</v>
      </c>
      <c r="C640" s="13">
        <f t="shared" si="9"/>
        <v>1.4074475605698863E-3</v>
      </c>
    </row>
    <row r="641" spans="1:3" x14ac:dyDescent="0.35">
      <c r="A641" s="13">
        <v>3.3331819789731362E-3</v>
      </c>
      <c r="B641" s="2">
        <v>640</v>
      </c>
      <c r="C641" s="13">
        <f t="shared" si="9"/>
        <v>1.4084983040992143E-3</v>
      </c>
    </row>
    <row r="642" spans="1:3" x14ac:dyDescent="0.35">
      <c r="A642" s="13">
        <v>3.7875648673393846E-3</v>
      </c>
      <c r="B642" s="2">
        <v>641</v>
      </c>
      <c r="C642" s="13">
        <f t="shared" si="9"/>
        <v>1.408857969301321E-3</v>
      </c>
    </row>
    <row r="643" spans="1:3" x14ac:dyDescent="0.35">
      <c r="A643" s="13">
        <v>-7.1820608264267071E-3</v>
      </c>
      <c r="B643" s="2">
        <v>642</v>
      </c>
      <c r="C643" s="13">
        <f t="shared" ref="C643:C706" si="10">+SMALL($A$2:$A$1256,B643)</f>
        <v>1.4191494976082619E-3</v>
      </c>
    </row>
    <row r="644" spans="1:3" x14ac:dyDescent="0.35">
      <c r="A644" s="13">
        <v>1.4406531685128583E-2</v>
      </c>
      <c r="B644" s="2">
        <v>643</v>
      </c>
      <c r="C644" s="13">
        <f t="shared" si="10"/>
        <v>1.4285028953590457E-3</v>
      </c>
    </row>
    <row r="645" spans="1:3" x14ac:dyDescent="0.35">
      <c r="A645" s="13">
        <v>9.7408048149931481E-3</v>
      </c>
      <c r="B645" s="2">
        <v>644</v>
      </c>
      <c r="C645" s="13">
        <f t="shared" si="10"/>
        <v>1.4514717179679084E-3</v>
      </c>
    </row>
    <row r="646" spans="1:3" x14ac:dyDescent="0.35">
      <c r="A646" s="13">
        <v>-5.8417839967709305E-4</v>
      </c>
      <c r="B646" s="2">
        <v>645</v>
      </c>
      <c r="C646" s="13">
        <f t="shared" si="10"/>
        <v>1.4966799208214745E-3</v>
      </c>
    </row>
    <row r="647" spans="1:3" x14ac:dyDescent="0.35">
      <c r="A647" s="13">
        <v>2.5978031323470314E-3</v>
      </c>
      <c r="B647" s="2">
        <v>646</v>
      </c>
      <c r="C647" s="13">
        <f t="shared" si="10"/>
        <v>1.5074165031957836E-3</v>
      </c>
    </row>
    <row r="648" spans="1:3" x14ac:dyDescent="0.35">
      <c r="A648" s="13">
        <v>-6.3861227658814435E-3</v>
      </c>
      <c r="B648" s="2">
        <v>647</v>
      </c>
      <c r="C648" s="13">
        <f t="shared" si="10"/>
        <v>1.5195988416420072E-3</v>
      </c>
    </row>
    <row r="649" spans="1:3" x14ac:dyDescent="0.35">
      <c r="A649" s="13">
        <v>-1.1748270815666196E-2</v>
      </c>
      <c r="B649" s="2">
        <v>648</v>
      </c>
      <c r="C649" s="13">
        <f t="shared" si="10"/>
        <v>1.5338958166131299E-3</v>
      </c>
    </row>
    <row r="650" spans="1:3" x14ac:dyDescent="0.35">
      <c r="A650" s="13">
        <v>6.1615421630707981E-3</v>
      </c>
      <c r="B650" s="2">
        <v>649</v>
      </c>
      <c r="C650" s="13">
        <f t="shared" si="10"/>
        <v>1.5413973432622692E-3</v>
      </c>
    </row>
    <row r="651" spans="1:3" x14ac:dyDescent="0.35">
      <c r="A651" s="13">
        <v>1.7324374270688454E-2</v>
      </c>
      <c r="B651" s="2">
        <v>650</v>
      </c>
      <c r="C651" s="13">
        <f t="shared" si="10"/>
        <v>1.5422033664142308E-3</v>
      </c>
    </row>
    <row r="652" spans="1:3" x14ac:dyDescent="0.35">
      <c r="A652" s="13">
        <v>-5.7753421173866522E-4</v>
      </c>
      <c r="B652" s="2">
        <v>651</v>
      </c>
      <c r="C652" s="13">
        <f t="shared" si="10"/>
        <v>1.5430357739439785E-3</v>
      </c>
    </row>
    <row r="653" spans="1:3" x14ac:dyDescent="0.35">
      <c r="A653" s="13">
        <v>-4.523163466795023E-3</v>
      </c>
      <c r="B653" s="2">
        <v>652</v>
      </c>
      <c r="C653" s="13">
        <f t="shared" si="10"/>
        <v>1.5605609704235166E-3</v>
      </c>
    </row>
    <row r="654" spans="1:3" x14ac:dyDescent="0.35">
      <c r="A654" s="13">
        <v>1.3019148286615665E-2</v>
      </c>
      <c r="B654" s="2">
        <v>653</v>
      </c>
      <c r="C654" s="13">
        <f t="shared" si="10"/>
        <v>1.5674459370049036E-3</v>
      </c>
    </row>
    <row r="655" spans="1:3" x14ac:dyDescent="0.35">
      <c r="A655" s="13">
        <v>3.0018665759422906E-2</v>
      </c>
      <c r="B655" s="2">
        <v>654</v>
      </c>
      <c r="C655" s="13">
        <f t="shared" si="10"/>
        <v>1.5870828852318523E-3</v>
      </c>
    </row>
    <row r="656" spans="1:3" x14ac:dyDescent="0.35">
      <c r="A656" s="13">
        <v>-2.2905091963641394E-3</v>
      </c>
      <c r="B656" s="2">
        <v>655</v>
      </c>
      <c r="C656" s="13">
        <f t="shared" si="10"/>
        <v>1.6277221752311454E-3</v>
      </c>
    </row>
    <row r="657" spans="1:3" x14ac:dyDescent="0.35">
      <c r="A657" s="13">
        <v>7.4371886175425683E-3</v>
      </c>
      <c r="B657" s="2">
        <v>656</v>
      </c>
      <c r="C657" s="13">
        <f t="shared" si="10"/>
        <v>1.6486572731617894E-3</v>
      </c>
    </row>
    <row r="658" spans="1:3" x14ac:dyDescent="0.35">
      <c r="A658" s="13">
        <v>5.8778550718735908E-3</v>
      </c>
      <c r="B658" s="2">
        <v>657</v>
      </c>
      <c r="C658" s="13">
        <f t="shared" si="10"/>
        <v>1.7181774022820456E-3</v>
      </c>
    </row>
    <row r="659" spans="1:3" x14ac:dyDescent="0.35">
      <c r="A659" s="13">
        <v>2.8365807307740654E-3</v>
      </c>
      <c r="B659" s="2">
        <v>658</v>
      </c>
      <c r="C659" s="13">
        <f t="shared" si="10"/>
        <v>1.7183173303204893E-3</v>
      </c>
    </row>
    <row r="660" spans="1:3" x14ac:dyDescent="0.35">
      <c r="A660" s="13">
        <v>4.913022563036328E-3</v>
      </c>
      <c r="B660" s="2">
        <v>659</v>
      </c>
      <c r="C660" s="13">
        <f t="shared" si="10"/>
        <v>1.7325270321005262E-3</v>
      </c>
    </row>
    <row r="661" spans="1:3" x14ac:dyDescent="0.35">
      <c r="A661" s="13">
        <v>1.0145767777280171E-2</v>
      </c>
      <c r="B661" s="2">
        <v>660</v>
      </c>
      <c r="C661" s="13">
        <f t="shared" si="10"/>
        <v>1.7372505308638629E-3</v>
      </c>
    </row>
    <row r="662" spans="1:3" x14ac:dyDescent="0.35">
      <c r="A662" s="13">
        <v>1.2194923765949831E-2</v>
      </c>
      <c r="B662" s="2">
        <v>661</v>
      </c>
      <c r="C662" s="13">
        <f t="shared" si="10"/>
        <v>1.7764736159180134E-3</v>
      </c>
    </row>
    <row r="663" spans="1:3" x14ac:dyDescent="0.35">
      <c r="A663" s="13">
        <v>5.1074109013718493E-4</v>
      </c>
      <c r="B663" s="2">
        <v>662</v>
      </c>
      <c r="C663" s="13">
        <f t="shared" si="10"/>
        <v>1.7985806976756925E-3</v>
      </c>
    </row>
    <row r="664" spans="1:3" x14ac:dyDescent="0.35">
      <c r="A664" s="13">
        <v>1.0387437291639495E-2</v>
      </c>
      <c r="B664" s="2">
        <v>663</v>
      </c>
      <c r="C664" s="13">
        <f t="shared" si="10"/>
        <v>1.8258864245562882E-3</v>
      </c>
    </row>
    <row r="665" spans="1:3" x14ac:dyDescent="0.35">
      <c r="A665" s="13">
        <v>-1.0698783016261018E-2</v>
      </c>
      <c r="B665" s="2">
        <v>664</v>
      </c>
      <c r="C665" s="13">
        <f t="shared" si="10"/>
        <v>1.8280345959810198E-3</v>
      </c>
    </row>
    <row r="666" spans="1:3" x14ac:dyDescent="0.35">
      <c r="A666" s="13">
        <v>-1.2704215523166347E-2</v>
      </c>
      <c r="B666" s="2">
        <v>665</v>
      </c>
      <c r="C666" s="13">
        <f t="shared" si="10"/>
        <v>1.8304460760857786E-3</v>
      </c>
    </row>
    <row r="667" spans="1:3" x14ac:dyDescent="0.35">
      <c r="A667" s="13">
        <v>-7.4554858617065685E-3</v>
      </c>
      <c r="B667" s="2">
        <v>666</v>
      </c>
      <c r="C667" s="13">
        <f t="shared" si="10"/>
        <v>1.8703566084062669E-3</v>
      </c>
    </row>
    <row r="668" spans="1:3" x14ac:dyDescent="0.35">
      <c r="A668" s="13">
        <v>-3.2731791489631918E-3</v>
      </c>
      <c r="B668" s="2">
        <v>667</v>
      </c>
      <c r="C668" s="13">
        <f t="shared" si="10"/>
        <v>1.8796288156852207E-3</v>
      </c>
    </row>
    <row r="669" spans="1:3" x14ac:dyDescent="0.35">
      <c r="A669" s="13">
        <v>-8.2881085247563518E-3</v>
      </c>
      <c r="B669" s="2">
        <v>668</v>
      </c>
      <c r="C669" s="13">
        <f t="shared" si="10"/>
        <v>1.900967086042267E-3</v>
      </c>
    </row>
    <row r="670" spans="1:3" x14ac:dyDescent="0.35">
      <c r="A670" s="13">
        <v>1.5074165031957836E-3</v>
      </c>
      <c r="B670" s="2">
        <v>669</v>
      </c>
      <c r="C670" s="13">
        <f t="shared" si="10"/>
        <v>1.9085081348729827E-3</v>
      </c>
    </row>
    <row r="671" spans="1:3" x14ac:dyDescent="0.35">
      <c r="A671" s="13">
        <v>7.7653122714164743E-3</v>
      </c>
      <c r="B671" s="2">
        <v>670</v>
      </c>
      <c r="C671" s="13">
        <f t="shared" si="10"/>
        <v>1.9248525508990936E-3</v>
      </c>
    </row>
    <row r="672" spans="1:3" x14ac:dyDescent="0.35">
      <c r="A672" s="13">
        <v>3.1989801885143709E-3</v>
      </c>
      <c r="B672" s="2">
        <v>671</v>
      </c>
      <c r="C672" s="13">
        <f t="shared" si="10"/>
        <v>1.932537946747687E-3</v>
      </c>
    </row>
    <row r="673" spans="1:3" x14ac:dyDescent="0.35">
      <c r="A673" s="13">
        <v>7.2257644440240354E-3</v>
      </c>
      <c r="B673" s="2">
        <v>672</v>
      </c>
      <c r="C673" s="13">
        <f t="shared" si="10"/>
        <v>1.9495677468418771E-3</v>
      </c>
    </row>
    <row r="674" spans="1:3" x14ac:dyDescent="0.35">
      <c r="A674" s="13">
        <v>9.5742668489344051E-3</v>
      </c>
      <c r="B674" s="2">
        <v>673</v>
      </c>
      <c r="C674" s="13">
        <f t="shared" si="10"/>
        <v>2.0022423414228813E-3</v>
      </c>
    </row>
    <row r="675" spans="1:3" x14ac:dyDescent="0.35">
      <c r="A675" s="13">
        <v>2.3803255969178758E-3</v>
      </c>
      <c r="B675" s="2">
        <v>674</v>
      </c>
      <c r="C675" s="13">
        <f t="shared" si="10"/>
        <v>2.0076860012279108E-3</v>
      </c>
    </row>
    <row r="676" spans="1:3" x14ac:dyDescent="0.35">
      <c r="A676" s="13">
        <v>-4.6757106502450982E-4</v>
      </c>
      <c r="B676" s="2">
        <v>675</v>
      </c>
      <c r="C676" s="13">
        <f t="shared" si="10"/>
        <v>2.0136396464180738E-3</v>
      </c>
    </row>
    <row r="677" spans="1:3" x14ac:dyDescent="0.35">
      <c r="A677" s="13">
        <v>-1.2405645636860606E-2</v>
      </c>
      <c r="B677" s="2">
        <v>676</v>
      </c>
      <c r="C677" s="13">
        <f t="shared" si="10"/>
        <v>2.0357387304332617E-3</v>
      </c>
    </row>
    <row r="678" spans="1:3" x14ac:dyDescent="0.35">
      <c r="A678" s="13">
        <v>-5.0161922337927101E-3</v>
      </c>
      <c r="B678" s="2">
        <v>677</v>
      </c>
      <c r="C678" s="13">
        <f t="shared" si="10"/>
        <v>2.0504153742028422E-3</v>
      </c>
    </row>
    <row r="679" spans="1:3" x14ac:dyDescent="0.35">
      <c r="A679" s="13">
        <v>6.2249831409312787E-3</v>
      </c>
      <c r="B679" s="2">
        <v>678</v>
      </c>
      <c r="C679" s="13">
        <f t="shared" si="10"/>
        <v>2.0711955875391645E-3</v>
      </c>
    </row>
    <row r="680" spans="1:3" x14ac:dyDescent="0.35">
      <c r="A680" s="13">
        <v>9.151517504845004E-3</v>
      </c>
      <c r="B680" s="2">
        <v>679</v>
      </c>
      <c r="C680" s="13">
        <f t="shared" si="10"/>
        <v>2.0723907494777294E-3</v>
      </c>
    </row>
    <row r="681" spans="1:3" x14ac:dyDescent="0.35">
      <c r="A681" s="13">
        <v>-5.6460310221912986E-4</v>
      </c>
      <c r="B681" s="2">
        <v>680</v>
      </c>
      <c r="C681" s="13">
        <f t="shared" si="10"/>
        <v>2.0742448764885591E-3</v>
      </c>
    </row>
    <row r="682" spans="1:3" x14ac:dyDescent="0.35">
      <c r="A682" s="13">
        <v>4.599959488014377E-3</v>
      </c>
      <c r="B682" s="2">
        <v>681</v>
      </c>
      <c r="C682" s="13">
        <f t="shared" si="10"/>
        <v>2.0762192314735884E-3</v>
      </c>
    </row>
    <row r="683" spans="1:3" x14ac:dyDescent="0.35">
      <c r="A683" s="13">
        <v>-3.788090718695874E-4</v>
      </c>
      <c r="B683" s="2">
        <v>682</v>
      </c>
      <c r="C683" s="13">
        <f t="shared" si="10"/>
        <v>2.0923014619150812E-3</v>
      </c>
    </row>
    <row r="684" spans="1:3" x14ac:dyDescent="0.35">
      <c r="A684" s="13">
        <v>5.6759270050298471E-3</v>
      </c>
      <c r="B684" s="2">
        <v>683</v>
      </c>
      <c r="C684" s="13">
        <f t="shared" si="10"/>
        <v>2.1552760105874947E-3</v>
      </c>
    </row>
    <row r="685" spans="1:3" x14ac:dyDescent="0.35">
      <c r="A685" s="13">
        <v>1.4492432007891905E-2</v>
      </c>
      <c r="B685" s="2">
        <v>684</v>
      </c>
      <c r="C685" s="13">
        <f t="shared" si="10"/>
        <v>2.1819664326653732E-3</v>
      </c>
    </row>
    <row r="686" spans="1:3" x14ac:dyDescent="0.35">
      <c r="A686" s="13">
        <v>-3.0525271801100395E-3</v>
      </c>
      <c r="B686" s="2">
        <v>685</v>
      </c>
      <c r="C686" s="13">
        <f t="shared" si="10"/>
        <v>2.1860975033905546E-3</v>
      </c>
    </row>
    <row r="687" spans="1:3" x14ac:dyDescent="0.35">
      <c r="A687" s="13">
        <v>5.7049506072949421E-3</v>
      </c>
      <c r="B687" s="2">
        <v>686</v>
      </c>
      <c r="C687" s="13">
        <f t="shared" si="10"/>
        <v>2.2215093476719572E-3</v>
      </c>
    </row>
    <row r="688" spans="1:3" x14ac:dyDescent="0.35">
      <c r="A688" s="13">
        <v>-8.5836051528735482E-3</v>
      </c>
      <c r="B688" s="2">
        <v>687</v>
      </c>
      <c r="C688" s="13">
        <f t="shared" si="10"/>
        <v>2.2299900940811394E-3</v>
      </c>
    </row>
    <row r="689" spans="1:3" x14ac:dyDescent="0.35">
      <c r="A689" s="13">
        <v>1.4285028953590457E-3</v>
      </c>
      <c r="B689" s="2">
        <v>688</v>
      </c>
      <c r="C689" s="13">
        <f t="shared" si="10"/>
        <v>2.2672621000118208E-3</v>
      </c>
    </row>
    <row r="690" spans="1:3" x14ac:dyDescent="0.35">
      <c r="A690" s="13">
        <v>4.0333291912311615E-3</v>
      </c>
      <c r="B690" s="2">
        <v>689</v>
      </c>
      <c r="C690" s="13">
        <f t="shared" si="10"/>
        <v>2.2852935805881035E-3</v>
      </c>
    </row>
    <row r="691" spans="1:3" x14ac:dyDescent="0.35">
      <c r="A691" s="13">
        <v>-3.9619321218777046E-3</v>
      </c>
      <c r="B691" s="2">
        <v>690</v>
      </c>
      <c r="C691" s="13">
        <f t="shared" si="10"/>
        <v>2.2974807205492862E-3</v>
      </c>
    </row>
    <row r="692" spans="1:3" x14ac:dyDescent="0.35">
      <c r="A692" s="13">
        <v>-4.8181937089284855E-3</v>
      </c>
      <c r="B692" s="2">
        <v>691</v>
      </c>
      <c r="C692" s="13">
        <f t="shared" si="10"/>
        <v>2.2989601903624221E-3</v>
      </c>
    </row>
    <row r="693" spans="1:3" x14ac:dyDescent="0.35">
      <c r="A693" s="13">
        <v>8.7468684988038503E-3</v>
      </c>
      <c r="B693" s="2">
        <v>692</v>
      </c>
      <c r="C693" s="13">
        <f t="shared" si="10"/>
        <v>2.3050442648634832E-3</v>
      </c>
    </row>
    <row r="694" spans="1:3" x14ac:dyDescent="0.35">
      <c r="A694" s="13">
        <v>7.461763736389326E-3</v>
      </c>
      <c r="B694" s="2">
        <v>693</v>
      </c>
      <c r="C694" s="13">
        <f t="shared" si="10"/>
        <v>2.3248764293934037E-3</v>
      </c>
    </row>
    <row r="695" spans="1:3" x14ac:dyDescent="0.35">
      <c r="A695" s="13">
        <v>1.3447894871481106E-2</v>
      </c>
      <c r="B695" s="2">
        <v>694</v>
      </c>
      <c r="C695" s="13">
        <f t="shared" si="10"/>
        <v>2.3787703504959314E-3</v>
      </c>
    </row>
    <row r="696" spans="1:3" x14ac:dyDescent="0.35">
      <c r="A696" s="13">
        <v>-5.8434239189136877E-3</v>
      </c>
      <c r="B696" s="2">
        <v>695</v>
      </c>
      <c r="C696" s="13">
        <f t="shared" si="10"/>
        <v>2.3803255969178758E-3</v>
      </c>
    </row>
    <row r="697" spans="1:3" x14ac:dyDescent="0.35">
      <c r="A697" s="13">
        <v>-3.7520556764186084E-3</v>
      </c>
      <c r="B697" s="2">
        <v>696</v>
      </c>
      <c r="C697" s="13">
        <f t="shared" si="10"/>
        <v>2.4021135063445639E-3</v>
      </c>
    </row>
    <row r="698" spans="1:3" x14ac:dyDescent="0.35">
      <c r="A698" s="13">
        <v>-5.415163939115405E-3</v>
      </c>
      <c r="B698" s="2">
        <v>697</v>
      </c>
      <c r="C698" s="13">
        <f t="shared" si="10"/>
        <v>2.4361192379138705E-3</v>
      </c>
    </row>
    <row r="699" spans="1:3" x14ac:dyDescent="0.35">
      <c r="A699" s="13">
        <v>1.2744504082564183E-2</v>
      </c>
      <c r="B699" s="2">
        <v>698</v>
      </c>
      <c r="C699" s="13">
        <f t="shared" si="10"/>
        <v>2.4552089931019383E-3</v>
      </c>
    </row>
    <row r="700" spans="1:3" x14ac:dyDescent="0.35">
      <c r="A700" s="13">
        <v>-2.5147502919487972E-3</v>
      </c>
      <c r="B700" s="2">
        <v>699</v>
      </c>
      <c r="C700" s="13">
        <f t="shared" si="10"/>
        <v>2.5330057307371631E-3</v>
      </c>
    </row>
    <row r="701" spans="1:3" x14ac:dyDescent="0.35">
      <c r="A701" s="13">
        <v>-9.0817169165884875E-3</v>
      </c>
      <c r="B701" s="2">
        <v>700</v>
      </c>
      <c r="C701" s="13">
        <f t="shared" si="10"/>
        <v>2.5710916336703533E-3</v>
      </c>
    </row>
    <row r="702" spans="1:3" x14ac:dyDescent="0.35">
      <c r="A702" s="13">
        <v>9.5078616833263734E-5</v>
      </c>
      <c r="B702" s="2">
        <v>701</v>
      </c>
      <c r="C702" s="13">
        <f t="shared" si="10"/>
        <v>2.5978031323470314E-3</v>
      </c>
    </row>
    <row r="703" spans="1:3" x14ac:dyDescent="0.35">
      <c r="A703" s="13">
        <v>3.0994712310015702E-3</v>
      </c>
      <c r="B703" s="2">
        <v>702</v>
      </c>
      <c r="C703" s="13">
        <f t="shared" si="10"/>
        <v>2.5982912737101817E-3</v>
      </c>
    </row>
    <row r="704" spans="1:3" x14ac:dyDescent="0.35">
      <c r="A704" s="13">
        <v>-2.1382349943849395E-3</v>
      </c>
      <c r="B704" s="2">
        <v>703</v>
      </c>
      <c r="C704" s="13">
        <f t="shared" si="10"/>
        <v>2.624892276423907E-3</v>
      </c>
    </row>
    <row r="705" spans="1:3" x14ac:dyDescent="0.35">
      <c r="A705" s="13">
        <v>-1.126675868936477E-2</v>
      </c>
      <c r="B705" s="2">
        <v>704</v>
      </c>
      <c r="C705" s="13">
        <f t="shared" si="10"/>
        <v>2.6262288013031709E-3</v>
      </c>
    </row>
    <row r="706" spans="1:3" x14ac:dyDescent="0.35">
      <c r="A706" s="13">
        <v>-6.0064799213243288E-3</v>
      </c>
      <c r="B706" s="2">
        <v>705</v>
      </c>
      <c r="C706" s="13">
        <f t="shared" si="10"/>
        <v>2.6320037330665944E-3</v>
      </c>
    </row>
    <row r="707" spans="1:3" x14ac:dyDescent="0.35">
      <c r="A707" s="13">
        <v>-6.3095754554110548E-3</v>
      </c>
      <c r="B707" s="2">
        <v>706</v>
      </c>
      <c r="C707" s="13">
        <f t="shared" ref="C707:C770" si="11">+SMALL($A$2:$A$1256,B707)</f>
        <v>2.6474910438355559E-3</v>
      </c>
    </row>
    <row r="708" spans="1:3" x14ac:dyDescent="0.35">
      <c r="A708" s="13">
        <v>3.2127320044916773E-3</v>
      </c>
      <c r="B708" s="2">
        <v>707</v>
      </c>
      <c r="C708" s="13">
        <f t="shared" si="11"/>
        <v>2.7310835433861482E-3</v>
      </c>
    </row>
    <row r="709" spans="1:3" x14ac:dyDescent="0.35">
      <c r="A709" s="13">
        <v>3.5934867691480949E-3</v>
      </c>
      <c r="B709" s="2">
        <v>708</v>
      </c>
      <c r="C709" s="13">
        <f t="shared" si="11"/>
        <v>2.7317505098346023E-3</v>
      </c>
    </row>
    <row r="710" spans="1:3" x14ac:dyDescent="0.35">
      <c r="A710" s="13">
        <v>-5.7014019284016611E-3</v>
      </c>
      <c r="B710" s="2">
        <v>709</v>
      </c>
      <c r="C710" s="13">
        <f t="shared" si="11"/>
        <v>2.7336474094686878E-3</v>
      </c>
    </row>
    <row r="711" spans="1:3" x14ac:dyDescent="0.35">
      <c r="A711" s="13">
        <v>9.4393022725788294E-3</v>
      </c>
      <c r="B711" s="2">
        <v>710</v>
      </c>
      <c r="C711" s="13">
        <f t="shared" si="11"/>
        <v>2.7358651711040629E-3</v>
      </c>
    </row>
    <row r="712" spans="1:3" x14ac:dyDescent="0.35">
      <c r="A712" s="13">
        <v>-8.7340320245152935E-3</v>
      </c>
      <c r="B712" s="2">
        <v>711</v>
      </c>
      <c r="C712" s="13">
        <f t="shared" si="11"/>
        <v>2.7439086385764051E-3</v>
      </c>
    </row>
    <row r="713" spans="1:3" x14ac:dyDescent="0.35">
      <c r="A713" s="13">
        <v>8.7830558972131403E-3</v>
      </c>
      <c r="B713" s="2">
        <v>712</v>
      </c>
      <c r="C713" s="13">
        <f t="shared" si="11"/>
        <v>2.7549219657344035E-3</v>
      </c>
    </row>
    <row r="714" spans="1:3" x14ac:dyDescent="0.35">
      <c r="A714" s="13">
        <v>5.3016835095860684E-3</v>
      </c>
      <c r="B714" s="2">
        <v>713</v>
      </c>
      <c r="C714" s="13">
        <f t="shared" si="11"/>
        <v>2.7789135052546103E-3</v>
      </c>
    </row>
    <row r="715" spans="1:3" x14ac:dyDescent="0.35">
      <c r="A715" s="13">
        <v>9.2054071240641761E-3</v>
      </c>
      <c r="B715" s="2">
        <v>714</v>
      </c>
      <c r="C715" s="13">
        <f t="shared" si="11"/>
        <v>2.7830824889824757E-3</v>
      </c>
    </row>
    <row r="716" spans="1:3" x14ac:dyDescent="0.35">
      <c r="A716" s="13">
        <v>3.8367246888213226E-3</v>
      </c>
      <c r="B716" s="2">
        <v>715</v>
      </c>
      <c r="C716" s="13">
        <f t="shared" si="11"/>
        <v>2.7989036422424438E-3</v>
      </c>
    </row>
    <row r="717" spans="1:3" x14ac:dyDescent="0.35">
      <c r="A717" s="13">
        <v>-1.8777171566501678E-3</v>
      </c>
      <c r="B717" s="2">
        <v>716</v>
      </c>
      <c r="C717" s="13">
        <f t="shared" si="11"/>
        <v>2.8110901052362954E-3</v>
      </c>
    </row>
    <row r="718" spans="1:3" x14ac:dyDescent="0.35">
      <c r="A718" s="13">
        <v>6.1388792282292531E-3</v>
      </c>
      <c r="B718" s="2">
        <v>717</v>
      </c>
      <c r="C718" s="13">
        <f t="shared" si="11"/>
        <v>2.8290365926659398E-3</v>
      </c>
    </row>
    <row r="719" spans="1:3" x14ac:dyDescent="0.35">
      <c r="A719" s="13">
        <v>-1.6959158691593707E-3</v>
      </c>
      <c r="B719" s="2">
        <v>718</v>
      </c>
      <c r="C719" s="13">
        <f t="shared" si="11"/>
        <v>2.8365807307740654E-3</v>
      </c>
    </row>
    <row r="720" spans="1:3" x14ac:dyDescent="0.35">
      <c r="A720" s="13">
        <v>-3.7291075642579999E-4</v>
      </c>
      <c r="B720" s="2">
        <v>719</v>
      </c>
      <c r="C720" s="13">
        <f t="shared" si="11"/>
        <v>2.837417845977159E-3</v>
      </c>
    </row>
    <row r="721" spans="1:3" x14ac:dyDescent="0.35">
      <c r="A721" s="13">
        <v>-1.8261967915409627E-3</v>
      </c>
      <c r="B721" s="2">
        <v>720</v>
      </c>
      <c r="C721" s="13">
        <f t="shared" si="11"/>
        <v>2.8460688750411873E-3</v>
      </c>
    </row>
    <row r="722" spans="1:3" x14ac:dyDescent="0.35">
      <c r="A722" s="13">
        <v>3.8566815032487324E-3</v>
      </c>
      <c r="B722" s="2">
        <v>721</v>
      </c>
      <c r="C722" s="13">
        <f t="shared" si="11"/>
        <v>2.8633958819341602E-3</v>
      </c>
    </row>
    <row r="723" spans="1:3" x14ac:dyDescent="0.35">
      <c r="A723" s="13">
        <v>3.9564056800326696E-3</v>
      </c>
      <c r="B723" s="2">
        <v>722</v>
      </c>
      <c r="C723" s="13">
        <f t="shared" si="11"/>
        <v>2.8637654612095791E-3</v>
      </c>
    </row>
    <row r="724" spans="1:3" x14ac:dyDescent="0.35">
      <c r="A724" s="13">
        <v>-5.4683286733011646E-3</v>
      </c>
      <c r="B724" s="2">
        <v>723</v>
      </c>
      <c r="C724" s="13">
        <f t="shared" si="11"/>
        <v>2.8913814804519583E-3</v>
      </c>
    </row>
    <row r="725" spans="1:3" x14ac:dyDescent="0.35">
      <c r="A725" s="13">
        <v>-4.7198424298076913E-4</v>
      </c>
      <c r="B725" s="2">
        <v>724</v>
      </c>
      <c r="C725" s="13">
        <f t="shared" si="11"/>
        <v>2.9058463998435933E-3</v>
      </c>
    </row>
    <row r="726" spans="1:3" x14ac:dyDescent="0.35">
      <c r="A726" s="13">
        <v>1.0817353756938706E-2</v>
      </c>
      <c r="B726" s="2">
        <v>725</v>
      </c>
      <c r="C726" s="13">
        <f t="shared" si="11"/>
        <v>2.9356986883225513E-3</v>
      </c>
    </row>
    <row r="727" spans="1:3" x14ac:dyDescent="0.35">
      <c r="A727" s="13">
        <v>-6.5339935966538159E-3</v>
      </c>
      <c r="B727" s="2">
        <v>726</v>
      </c>
      <c r="C727" s="13">
        <f t="shared" si="11"/>
        <v>2.9596593166623416E-3</v>
      </c>
    </row>
    <row r="728" spans="1:3" x14ac:dyDescent="0.35">
      <c r="A728" s="13">
        <v>-7.6063885805894276E-3</v>
      </c>
      <c r="B728" s="2">
        <v>727</v>
      </c>
      <c r="C728" s="13">
        <f t="shared" si="11"/>
        <v>3.0414605656923508E-3</v>
      </c>
    </row>
    <row r="729" spans="1:3" x14ac:dyDescent="0.35">
      <c r="A729" s="13">
        <v>1.3855675633556047E-3</v>
      </c>
      <c r="B729" s="2">
        <v>728</v>
      </c>
      <c r="C729" s="13">
        <f t="shared" si="11"/>
        <v>3.078306744663294E-3</v>
      </c>
    </row>
    <row r="730" spans="1:3" x14ac:dyDescent="0.35">
      <c r="A730" s="13">
        <v>4.0583651203115806E-4</v>
      </c>
      <c r="B730" s="2">
        <v>729</v>
      </c>
      <c r="C730" s="13">
        <f t="shared" si="11"/>
        <v>3.0873756900579468E-3</v>
      </c>
    </row>
    <row r="731" spans="1:3" x14ac:dyDescent="0.35">
      <c r="A731" s="13">
        <v>-1.4875672248165613E-2</v>
      </c>
      <c r="B731" s="2">
        <v>730</v>
      </c>
      <c r="C731" s="13">
        <f t="shared" si="11"/>
        <v>3.0994712310015702E-3</v>
      </c>
    </row>
    <row r="732" spans="1:3" x14ac:dyDescent="0.35">
      <c r="A732" s="13">
        <v>-2.7339539734363371E-3</v>
      </c>
      <c r="B732" s="2">
        <v>731</v>
      </c>
      <c r="C732" s="13">
        <f t="shared" si="11"/>
        <v>3.1273825585583113E-3</v>
      </c>
    </row>
    <row r="733" spans="1:3" x14ac:dyDescent="0.35">
      <c r="A733" s="13">
        <v>1.3634098043137414E-3</v>
      </c>
      <c r="B733" s="2">
        <v>732</v>
      </c>
      <c r="C733" s="13">
        <f t="shared" si="11"/>
        <v>3.1360764718636148E-3</v>
      </c>
    </row>
    <row r="734" spans="1:3" x14ac:dyDescent="0.35">
      <c r="A734" s="13">
        <v>-1.4816884021815989E-2</v>
      </c>
      <c r="B734" s="2">
        <v>733</v>
      </c>
      <c r="C734" s="13">
        <f t="shared" si="11"/>
        <v>3.151081379500196E-3</v>
      </c>
    </row>
    <row r="735" spans="1:3" x14ac:dyDescent="0.35">
      <c r="A735" s="13">
        <v>-4.5970496143677396E-4</v>
      </c>
      <c r="B735" s="2">
        <v>734</v>
      </c>
      <c r="C735" s="13">
        <f t="shared" si="11"/>
        <v>3.1637995908290039E-3</v>
      </c>
    </row>
    <row r="736" spans="1:3" x14ac:dyDescent="0.35">
      <c r="A736" s="13">
        <v>1.0746269747670309E-3</v>
      </c>
      <c r="B736" s="2">
        <v>735</v>
      </c>
      <c r="C736" s="13">
        <f t="shared" si="11"/>
        <v>3.1782579452778259E-3</v>
      </c>
    </row>
    <row r="737" spans="1:3" x14ac:dyDescent="0.35">
      <c r="A737" s="13">
        <v>-8.4698633485079302E-3</v>
      </c>
      <c r="B737" s="2">
        <v>736</v>
      </c>
      <c r="C737" s="13">
        <f t="shared" si="11"/>
        <v>3.1816483609090692E-3</v>
      </c>
    </row>
    <row r="738" spans="1:3" x14ac:dyDescent="0.35">
      <c r="A738" s="13">
        <v>3.4690254420967049E-3</v>
      </c>
      <c r="B738" s="2">
        <v>737</v>
      </c>
      <c r="C738" s="13">
        <f t="shared" si="11"/>
        <v>3.1989801885143709E-3</v>
      </c>
    </row>
    <row r="739" spans="1:3" x14ac:dyDescent="0.35">
      <c r="A739" s="13">
        <v>-1.3284276008712754E-2</v>
      </c>
      <c r="B739" s="2">
        <v>738</v>
      </c>
      <c r="C739" s="13">
        <f t="shared" si="11"/>
        <v>3.2127320044916773E-3</v>
      </c>
    </row>
    <row r="740" spans="1:3" x14ac:dyDescent="0.35">
      <c r="A740" s="13">
        <v>6.1006959162904191E-3</v>
      </c>
      <c r="B740" s="2">
        <v>739</v>
      </c>
      <c r="C740" s="13">
        <f t="shared" si="11"/>
        <v>3.2321971973667241E-3</v>
      </c>
    </row>
    <row r="741" spans="1:3" x14ac:dyDescent="0.35">
      <c r="A741" s="13">
        <v>-3.7252364595453404E-3</v>
      </c>
      <c r="B741" s="2">
        <v>740</v>
      </c>
      <c r="C741" s="13">
        <f t="shared" si="11"/>
        <v>3.2358685569366719E-3</v>
      </c>
    </row>
    <row r="742" spans="1:3" x14ac:dyDescent="0.35">
      <c r="A742" s="13">
        <v>7.0082670435233085E-3</v>
      </c>
      <c r="B742" s="2">
        <v>741</v>
      </c>
      <c r="C742" s="13">
        <f t="shared" si="11"/>
        <v>3.2405213941508761E-3</v>
      </c>
    </row>
    <row r="743" spans="1:3" x14ac:dyDescent="0.35">
      <c r="A743" s="13">
        <v>3.3190948816340295E-3</v>
      </c>
      <c r="B743" s="2">
        <v>742</v>
      </c>
      <c r="C743" s="13">
        <f t="shared" si="11"/>
        <v>3.2423392681913098E-3</v>
      </c>
    </row>
    <row r="744" spans="1:3" x14ac:dyDescent="0.35">
      <c r="A744" s="13">
        <v>5.6499784235547841E-3</v>
      </c>
      <c r="B744" s="2">
        <v>743</v>
      </c>
      <c r="C744" s="13">
        <f t="shared" si="11"/>
        <v>3.2948782997911565E-3</v>
      </c>
    </row>
    <row r="745" spans="1:3" x14ac:dyDescent="0.35">
      <c r="A745" s="13">
        <v>5.2670834472309837E-3</v>
      </c>
      <c r="B745" s="2">
        <v>744</v>
      </c>
      <c r="C745" s="13">
        <f t="shared" si="11"/>
        <v>3.3190948816340295E-3</v>
      </c>
    </row>
    <row r="746" spans="1:3" x14ac:dyDescent="0.35">
      <c r="A746" s="13">
        <v>-5.6239972472186747E-3</v>
      </c>
      <c r="B746" s="2">
        <v>745</v>
      </c>
      <c r="C746" s="13">
        <f t="shared" si="11"/>
        <v>3.3217053937092495E-3</v>
      </c>
    </row>
    <row r="747" spans="1:3" x14ac:dyDescent="0.35">
      <c r="A747" s="13">
        <v>-6.8599688308197395E-3</v>
      </c>
      <c r="B747" s="2">
        <v>746</v>
      </c>
      <c r="C747" s="13">
        <f t="shared" si="11"/>
        <v>3.3331819789731362E-3</v>
      </c>
    </row>
    <row r="748" spans="1:3" x14ac:dyDescent="0.35">
      <c r="A748" s="13">
        <v>9.4641446652137546E-3</v>
      </c>
      <c r="B748" s="2">
        <v>747</v>
      </c>
      <c r="C748" s="13">
        <f t="shared" si="11"/>
        <v>3.339936817457396E-3</v>
      </c>
    </row>
    <row r="749" spans="1:3" x14ac:dyDescent="0.35">
      <c r="A749" s="13">
        <v>5.4238988802239787E-3</v>
      </c>
      <c r="B749" s="2">
        <v>748</v>
      </c>
      <c r="C749" s="13">
        <f t="shared" si="11"/>
        <v>3.3564958174594766E-3</v>
      </c>
    </row>
    <row r="750" spans="1:3" x14ac:dyDescent="0.35">
      <c r="A750" s="13">
        <v>-1.3281797659459874E-2</v>
      </c>
      <c r="B750" s="2">
        <v>749</v>
      </c>
      <c r="C750" s="13">
        <f t="shared" si="11"/>
        <v>3.3950910409532896E-3</v>
      </c>
    </row>
    <row r="751" spans="1:3" x14ac:dyDescent="0.35">
      <c r="A751" s="13">
        <v>-1.0998309245835787E-2</v>
      </c>
      <c r="B751" s="2">
        <v>750</v>
      </c>
      <c r="C751" s="13">
        <f t="shared" si="11"/>
        <v>3.4029263525576833E-3</v>
      </c>
    </row>
    <row r="752" spans="1:3" x14ac:dyDescent="0.35">
      <c r="A752" s="13">
        <v>-1.9281087861128081E-2</v>
      </c>
      <c r="B752" s="2">
        <v>751</v>
      </c>
      <c r="C752" s="13">
        <f t="shared" si="11"/>
        <v>3.4093450787197558E-3</v>
      </c>
    </row>
    <row r="753" spans="1:3" x14ac:dyDescent="0.35">
      <c r="A753" s="13">
        <v>5.5606723250278692E-3</v>
      </c>
      <c r="B753" s="2">
        <v>752</v>
      </c>
      <c r="C753" s="13">
        <f t="shared" si="11"/>
        <v>3.4566047949974262E-3</v>
      </c>
    </row>
    <row r="754" spans="1:3" x14ac:dyDescent="0.35">
      <c r="A754" s="13">
        <v>7.7843640474637007E-3</v>
      </c>
      <c r="B754" s="2">
        <v>753</v>
      </c>
      <c r="C754" s="13">
        <f t="shared" si="11"/>
        <v>3.4587333770969104E-3</v>
      </c>
    </row>
    <row r="755" spans="1:3" x14ac:dyDescent="0.35">
      <c r="A755" s="13">
        <v>-2.1949962141049138E-3</v>
      </c>
      <c r="B755" s="2">
        <v>754</v>
      </c>
      <c r="C755" s="13">
        <f t="shared" si="11"/>
        <v>3.4690254420967049E-3</v>
      </c>
    </row>
    <row r="756" spans="1:3" x14ac:dyDescent="0.35">
      <c r="A756" s="13">
        <v>4.8243443682819999E-3</v>
      </c>
      <c r="B756" s="2">
        <v>755</v>
      </c>
      <c r="C756" s="13">
        <f t="shared" si="11"/>
        <v>3.4853835607899309E-3</v>
      </c>
    </row>
    <row r="757" spans="1:3" x14ac:dyDescent="0.35">
      <c r="A757" s="13">
        <v>-7.8280736985814753E-3</v>
      </c>
      <c r="B757" s="2">
        <v>756</v>
      </c>
      <c r="C757" s="13">
        <f t="shared" si="11"/>
        <v>3.4957050134725677E-3</v>
      </c>
    </row>
    <row r="758" spans="1:3" x14ac:dyDescent="0.35">
      <c r="A758" s="13">
        <v>1.1191966577150379E-2</v>
      </c>
      <c r="B758" s="2">
        <v>757</v>
      </c>
      <c r="C758" s="13">
        <f t="shared" si="11"/>
        <v>3.5199546598606202E-3</v>
      </c>
    </row>
    <row r="759" spans="1:3" x14ac:dyDescent="0.35">
      <c r="A759" s="13">
        <v>-2.8743464112130496E-3</v>
      </c>
      <c r="B759" s="2">
        <v>758</v>
      </c>
      <c r="C759" s="13">
        <f t="shared" si="11"/>
        <v>3.5451673205258646E-3</v>
      </c>
    </row>
    <row r="760" spans="1:3" x14ac:dyDescent="0.35">
      <c r="A760" s="13">
        <v>1.1630739022577944E-2</v>
      </c>
      <c r="B760" s="2">
        <v>759</v>
      </c>
      <c r="C760" s="13">
        <f t="shared" si="11"/>
        <v>3.5625087982687305E-3</v>
      </c>
    </row>
    <row r="761" spans="1:3" x14ac:dyDescent="0.35">
      <c r="A761" s="13">
        <v>1.5934102593803099E-2</v>
      </c>
      <c r="B761" s="2">
        <v>760</v>
      </c>
      <c r="C761" s="13">
        <f t="shared" si="11"/>
        <v>3.5822817096640754E-3</v>
      </c>
    </row>
    <row r="762" spans="1:3" x14ac:dyDescent="0.35">
      <c r="A762" s="13">
        <v>5.9114041524901163E-3</v>
      </c>
      <c r="B762" s="2">
        <v>761</v>
      </c>
      <c r="C762" s="13">
        <f t="shared" si="11"/>
        <v>3.5934867691480949E-3</v>
      </c>
    </row>
    <row r="763" spans="1:3" x14ac:dyDescent="0.35">
      <c r="A763" s="13">
        <v>2.2852935805881035E-3</v>
      </c>
      <c r="B763" s="2">
        <v>762</v>
      </c>
      <c r="C763" s="13">
        <f t="shared" si="11"/>
        <v>3.604765032413432E-3</v>
      </c>
    </row>
    <row r="764" spans="1:3" x14ac:dyDescent="0.35">
      <c r="A764" s="13">
        <v>-5.2515039021074506E-5</v>
      </c>
      <c r="B764" s="2">
        <v>763</v>
      </c>
      <c r="C764" s="13">
        <f t="shared" si="11"/>
        <v>3.6232373080565244E-3</v>
      </c>
    </row>
    <row r="765" spans="1:3" x14ac:dyDescent="0.35">
      <c r="A765" s="13">
        <v>-2.305513182773201E-3</v>
      </c>
      <c r="B765" s="2">
        <v>764</v>
      </c>
      <c r="C765" s="13">
        <f t="shared" si="11"/>
        <v>3.6306841592485444E-3</v>
      </c>
    </row>
    <row r="766" spans="1:3" x14ac:dyDescent="0.35">
      <c r="A766" s="13">
        <v>-5.3977910648469385E-3</v>
      </c>
      <c r="B766" s="2">
        <v>765</v>
      </c>
      <c r="C766" s="13">
        <f t="shared" si="11"/>
        <v>3.6390051463966152E-3</v>
      </c>
    </row>
    <row r="767" spans="1:3" x14ac:dyDescent="0.35">
      <c r="A767" s="13">
        <v>1.7624639524245814E-2</v>
      </c>
      <c r="B767" s="2">
        <v>766</v>
      </c>
      <c r="C767" s="13">
        <f t="shared" si="11"/>
        <v>3.6431261297781531E-3</v>
      </c>
    </row>
    <row r="768" spans="1:3" x14ac:dyDescent="0.35">
      <c r="A768" s="13">
        <v>5.2286260197983232E-4</v>
      </c>
      <c r="B768" s="2">
        <v>767</v>
      </c>
      <c r="C768" s="13">
        <f t="shared" si="11"/>
        <v>3.6471772279967562E-3</v>
      </c>
    </row>
    <row r="769" spans="1:3" x14ac:dyDescent="0.35">
      <c r="A769" s="13">
        <v>1.316748129544297E-2</v>
      </c>
      <c r="B769" s="2">
        <v>768</v>
      </c>
      <c r="C769" s="13">
        <f t="shared" si="11"/>
        <v>3.7408592635441679E-3</v>
      </c>
    </row>
    <row r="770" spans="1:3" x14ac:dyDescent="0.35">
      <c r="A770" s="13">
        <v>1.1889549332710525E-2</v>
      </c>
      <c r="B770" s="2">
        <v>769</v>
      </c>
      <c r="C770" s="13">
        <f t="shared" si="11"/>
        <v>3.7529110459444161E-3</v>
      </c>
    </row>
    <row r="771" spans="1:3" x14ac:dyDescent="0.35">
      <c r="A771" s="13">
        <v>-1.7214316273584655E-2</v>
      </c>
      <c r="B771" s="2">
        <v>770</v>
      </c>
      <c r="C771" s="13">
        <f t="shared" ref="C771:C834" si="12">+SMALL($A$2:$A$1256,B771)</f>
        <v>3.7702595621608745E-3</v>
      </c>
    </row>
    <row r="772" spans="1:3" x14ac:dyDescent="0.35">
      <c r="A772" s="13">
        <v>3.9519256017111117E-3</v>
      </c>
      <c r="B772" s="2">
        <v>771</v>
      </c>
      <c r="C772" s="13">
        <f t="shared" si="12"/>
        <v>3.7725002818884746E-3</v>
      </c>
    </row>
    <row r="773" spans="1:3" x14ac:dyDescent="0.35">
      <c r="A773" s="13">
        <v>5.1967876207615381E-3</v>
      </c>
      <c r="B773" s="2">
        <v>772</v>
      </c>
      <c r="C773" s="13">
        <f t="shared" si="12"/>
        <v>3.7875648673393846E-3</v>
      </c>
    </row>
    <row r="774" spans="1:3" x14ac:dyDescent="0.35">
      <c r="A774" s="13">
        <v>-4.1530249095576193E-3</v>
      </c>
      <c r="B774" s="2">
        <v>773</v>
      </c>
      <c r="C774" s="13">
        <f t="shared" si="12"/>
        <v>3.8124764653966487E-3</v>
      </c>
    </row>
    <row r="775" spans="1:3" x14ac:dyDescent="0.35">
      <c r="A775" s="13">
        <v>1.7372505308638629E-3</v>
      </c>
      <c r="B775" s="2">
        <v>774</v>
      </c>
      <c r="C775" s="13">
        <f t="shared" si="12"/>
        <v>3.8309100087990139E-3</v>
      </c>
    </row>
    <row r="776" spans="1:3" x14ac:dyDescent="0.35">
      <c r="A776" s="13">
        <v>3.604765032413432E-3</v>
      </c>
      <c r="B776" s="2">
        <v>775</v>
      </c>
      <c r="C776" s="13">
        <f t="shared" si="12"/>
        <v>3.8359822025298479E-3</v>
      </c>
    </row>
    <row r="777" spans="1:3" x14ac:dyDescent="0.35">
      <c r="A777" s="13">
        <v>1.7325270321005262E-3</v>
      </c>
      <c r="B777" s="2">
        <v>776</v>
      </c>
      <c r="C777" s="13">
        <f t="shared" si="12"/>
        <v>3.8367246888213226E-3</v>
      </c>
    </row>
    <row r="778" spans="1:3" x14ac:dyDescent="0.35">
      <c r="A778" s="13">
        <v>6.2739761744085264E-3</v>
      </c>
      <c r="B778" s="2">
        <v>777</v>
      </c>
      <c r="C778" s="13">
        <f t="shared" si="12"/>
        <v>3.8488888217644412E-3</v>
      </c>
    </row>
    <row r="779" spans="1:3" x14ac:dyDescent="0.35">
      <c r="A779" s="13">
        <v>-2.5590828097501453E-4</v>
      </c>
      <c r="B779" s="2">
        <v>778</v>
      </c>
      <c r="C779" s="13">
        <f t="shared" si="12"/>
        <v>3.8493637342693512E-3</v>
      </c>
    </row>
    <row r="780" spans="1:3" x14ac:dyDescent="0.35">
      <c r="A780" s="13">
        <v>7.9450413371960904E-3</v>
      </c>
      <c r="B780" s="2">
        <v>779</v>
      </c>
      <c r="C780" s="13">
        <f t="shared" si="12"/>
        <v>3.8566815032487324E-3</v>
      </c>
    </row>
    <row r="781" spans="1:3" x14ac:dyDescent="0.35">
      <c r="A781" s="13">
        <v>7.3631062264308258E-3</v>
      </c>
      <c r="B781" s="2">
        <v>780</v>
      </c>
      <c r="C781" s="13">
        <f t="shared" si="12"/>
        <v>3.875738857914676E-3</v>
      </c>
    </row>
    <row r="782" spans="1:3" x14ac:dyDescent="0.35">
      <c r="A782" s="13">
        <v>-3.0352812141741931E-3</v>
      </c>
      <c r="B782" s="2">
        <v>781</v>
      </c>
      <c r="C782" s="13">
        <f t="shared" si="12"/>
        <v>3.8760561035616377E-3</v>
      </c>
    </row>
    <row r="783" spans="1:3" x14ac:dyDescent="0.35">
      <c r="A783" s="13">
        <v>1.2924530531446159E-3</v>
      </c>
      <c r="B783" s="2">
        <v>782</v>
      </c>
      <c r="C783" s="13">
        <f t="shared" si="12"/>
        <v>3.9248648340254252E-3</v>
      </c>
    </row>
    <row r="784" spans="1:3" x14ac:dyDescent="0.35">
      <c r="A784" s="13">
        <v>-8.7462492276133216E-3</v>
      </c>
      <c r="B784" s="2">
        <v>783</v>
      </c>
      <c r="C784" s="13">
        <f t="shared" si="12"/>
        <v>3.9381440833256643E-3</v>
      </c>
    </row>
    <row r="785" spans="1:3" x14ac:dyDescent="0.35">
      <c r="A785" s="13">
        <v>6.3052164741012029E-4</v>
      </c>
      <c r="B785" s="2">
        <v>784</v>
      </c>
      <c r="C785" s="13">
        <f t="shared" si="12"/>
        <v>3.9519256017111117E-3</v>
      </c>
    </row>
    <row r="786" spans="1:3" x14ac:dyDescent="0.35">
      <c r="A786" s="13">
        <v>3.0414605656923508E-3</v>
      </c>
      <c r="B786" s="2">
        <v>785</v>
      </c>
      <c r="C786" s="13">
        <f t="shared" si="12"/>
        <v>3.9528596026119512E-3</v>
      </c>
    </row>
    <row r="787" spans="1:3" x14ac:dyDescent="0.35">
      <c r="A787" s="13">
        <v>2.9596593166623416E-3</v>
      </c>
      <c r="B787" s="2">
        <v>786</v>
      </c>
      <c r="C787" s="13">
        <f t="shared" si="12"/>
        <v>3.9564056800326696E-3</v>
      </c>
    </row>
    <row r="788" spans="1:3" x14ac:dyDescent="0.35">
      <c r="A788" s="13">
        <v>6.7081432428415036E-3</v>
      </c>
      <c r="B788" s="2">
        <v>787</v>
      </c>
      <c r="C788" s="13">
        <f t="shared" si="12"/>
        <v>3.9928087603154543E-3</v>
      </c>
    </row>
    <row r="789" spans="1:3" x14ac:dyDescent="0.35">
      <c r="A789" s="13">
        <v>1.0389787831993201E-2</v>
      </c>
      <c r="B789" s="2">
        <v>788</v>
      </c>
      <c r="C789" s="13">
        <f t="shared" si="12"/>
        <v>3.9984713669808675E-3</v>
      </c>
    </row>
    <row r="790" spans="1:3" x14ac:dyDescent="0.35">
      <c r="A790" s="13">
        <v>8.5944777420478811E-3</v>
      </c>
      <c r="B790" s="2">
        <v>789</v>
      </c>
      <c r="C790" s="13">
        <f t="shared" si="12"/>
        <v>4.01270547995204E-3</v>
      </c>
    </row>
    <row r="791" spans="1:3" x14ac:dyDescent="0.35">
      <c r="A791" s="13">
        <v>3.6306841592485444E-3</v>
      </c>
      <c r="B791" s="2">
        <v>790</v>
      </c>
      <c r="C791" s="13">
        <f t="shared" si="12"/>
        <v>4.019924251943011E-3</v>
      </c>
    </row>
    <row r="792" spans="1:3" x14ac:dyDescent="0.35">
      <c r="A792" s="13">
        <v>7.2615999243122306E-3</v>
      </c>
      <c r="B792" s="2">
        <v>791</v>
      </c>
      <c r="C792" s="13">
        <f t="shared" si="12"/>
        <v>4.0316241971870333E-3</v>
      </c>
    </row>
    <row r="793" spans="1:3" x14ac:dyDescent="0.35">
      <c r="A793" s="13">
        <v>6.4833485258896876E-3</v>
      </c>
      <c r="B793" s="2">
        <v>792</v>
      </c>
      <c r="C793" s="13">
        <f t="shared" si="12"/>
        <v>4.0333291912311615E-3</v>
      </c>
    </row>
    <row r="794" spans="1:3" x14ac:dyDescent="0.35">
      <c r="A794" s="13">
        <v>-1.3313349117141075E-2</v>
      </c>
      <c r="B794" s="2">
        <v>793</v>
      </c>
      <c r="C794" s="13">
        <f t="shared" si="12"/>
        <v>4.0346677056850473E-3</v>
      </c>
    </row>
    <row r="795" spans="1:3" x14ac:dyDescent="0.35">
      <c r="A795" s="13">
        <v>8.54339618551315E-3</v>
      </c>
      <c r="B795" s="2">
        <v>794</v>
      </c>
      <c r="C795" s="13">
        <f t="shared" si="12"/>
        <v>4.059862536181136E-3</v>
      </c>
    </row>
    <row r="796" spans="1:3" x14ac:dyDescent="0.35">
      <c r="A796" s="13">
        <v>6.381291849788904E-3</v>
      </c>
      <c r="B796" s="2">
        <v>795</v>
      </c>
      <c r="C796" s="13">
        <f t="shared" si="12"/>
        <v>4.0901145814208418E-3</v>
      </c>
    </row>
    <row r="797" spans="1:3" x14ac:dyDescent="0.35">
      <c r="A797" s="13">
        <v>4.9917265978184381E-3</v>
      </c>
      <c r="B797" s="2">
        <v>796</v>
      </c>
      <c r="C797" s="13">
        <f t="shared" si="12"/>
        <v>4.0987411191708524E-3</v>
      </c>
    </row>
    <row r="798" spans="1:3" x14ac:dyDescent="0.35">
      <c r="A798" s="13">
        <v>4.8768213037674417E-3</v>
      </c>
      <c r="B798" s="2">
        <v>797</v>
      </c>
      <c r="C798" s="13">
        <f t="shared" si="12"/>
        <v>4.1052211933465671E-3</v>
      </c>
    </row>
    <row r="799" spans="1:3" x14ac:dyDescent="0.35">
      <c r="A799" s="13">
        <v>5.2294204008633994E-4</v>
      </c>
      <c r="B799" s="2">
        <v>798</v>
      </c>
      <c r="C799" s="13">
        <f t="shared" si="12"/>
        <v>4.1538503489852666E-3</v>
      </c>
    </row>
    <row r="800" spans="1:3" x14ac:dyDescent="0.35">
      <c r="A800" s="13">
        <v>-1.0913019106328391E-3</v>
      </c>
      <c r="B800" s="2">
        <v>799</v>
      </c>
      <c r="C800" s="13">
        <f t="shared" si="12"/>
        <v>4.1931859729163381E-3</v>
      </c>
    </row>
    <row r="801" spans="1:3" x14ac:dyDescent="0.35">
      <c r="A801" s="13">
        <v>-3.7163969883178749E-3</v>
      </c>
      <c r="B801" s="2">
        <v>800</v>
      </c>
      <c r="C801" s="13">
        <f t="shared" si="12"/>
        <v>4.1973335708221406E-3</v>
      </c>
    </row>
    <row r="802" spans="1:3" x14ac:dyDescent="0.35">
      <c r="A802" s="13">
        <v>-9.4047797905793609E-3</v>
      </c>
      <c r="B802" s="2">
        <v>801</v>
      </c>
      <c r="C802" s="13">
        <f t="shared" si="12"/>
        <v>4.207930455953599E-3</v>
      </c>
    </row>
    <row r="803" spans="1:3" x14ac:dyDescent="0.35">
      <c r="A803" s="13">
        <v>8.1839748296537148E-5</v>
      </c>
      <c r="B803" s="2">
        <v>802</v>
      </c>
      <c r="C803" s="13">
        <f t="shared" si="12"/>
        <v>4.2283777572423176E-3</v>
      </c>
    </row>
    <row r="804" spans="1:3" x14ac:dyDescent="0.35">
      <c r="A804" s="13">
        <v>-8.0476547089842272E-4</v>
      </c>
      <c r="B804" s="2">
        <v>803</v>
      </c>
      <c r="C804" s="13">
        <f t="shared" si="12"/>
        <v>4.2665085118738242E-3</v>
      </c>
    </row>
    <row r="805" spans="1:3" x14ac:dyDescent="0.35">
      <c r="A805" s="13">
        <v>1.0330402119371298E-2</v>
      </c>
      <c r="B805" s="2">
        <v>804</v>
      </c>
      <c r="C805" s="13">
        <f t="shared" si="12"/>
        <v>4.2923370156062535E-3</v>
      </c>
    </row>
    <row r="806" spans="1:3" x14ac:dyDescent="0.35">
      <c r="A806" s="13">
        <v>-2.3736400555625136E-3</v>
      </c>
      <c r="B806" s="2">
        <v>805</v>
      </c>
      <c r="C806" s="13">
        <f t="shared" si="12"/>
        <v>4.3373613505751155E-3</v>
      </c>
    </row>
    <row r="807" spans="1:3" x14ac:dyDescent="0.35">
      <c r="A807" s="13">
        <v>6.0959063545018358E-3</v>
      </c>
      <c r="B807" s="2">
        <v>806</v>
      </c>
      <c r="C807" s="13">
        <f t="shared" si="12"/>
        <v>4.3556528460945597E-3</v>
      </c>
    </row>
    <row r="808" spans="1:3" x14ac:dyDescent="0.35">
      <c r="A808" s="13">
        <v>1.3236533382493042E-3</v>
      </c>
      <c r="B808" s="2">
        <v>807</v>
      </c>
      <c r="C808" s="13">
        <f t="shared" si="12"/>
        <v>4.4247080030887691E-3</v>
      </c>
    </row>
    <row r="809" spans="1:3" x14ac:dyDescent="0.35">
      <c r="A809" s="13">
        <v>3.7702595621608745E-3</v>
      </c>
      <c r="B809" s="2">
        <v>808</v>
      </c>
      <c r="C809" s="13">
        <f t="shared" si="12"/>
        <v>4.5079140033878274E-3</v>
      </c>
    </row>
    <row r="810" spans="1:3" x14ac:dyDescent="0.35">
      <c r="A810" s="13">
        <v>2.7774827694209293E-4</v>
      </c>
      <c r="B810" s="2">
        <v>809</v>
      </c>
      <c r="C810" s="13">
        <f t="shared" si="12"/>
        <v>4.5219561630224225E-3</v>
      </c>
    </row>
    <row r="811" spans="1:3" x14ac:dyDescent="0.35">
      <c r="A811" s="13">
        <v>-7.8314899367894555E-3</v>
      </c>
      <c r="B811" s="2">
        <v>810</v>
      </c>
      <c r="C811" s="13">
        <f t="shared" si="12"/>
        <v>4.5489459891179746E-3</v>
      </c>
    </row>
    <row r="812" spans="1:3" x14ac:dyDescent="0.35">
      <c r="A812" s="13">
        <v>6.5365385384278047E-3</v>
      </c>
      <c r="B812" s="2">
        <v>811</v>
      </c>
      <c r="C812" s="13">
        <f t="shared" si="12"/>
        <v>4.5581302488152441E-3</v>
      </c>
    </row>
    <row r="813" spans="1:3" x14ac:dyDescent="0.35">
      <c r="A813" s="13">
        <v>1.3838675837734168E-2</v>
      </c>
      <c r="B813" s="2">
        <v>812</v>
      </c>
      <c r="C813" s="13">
        <f t="shared" si="12"/>
        <v>4.5747352541303608E-3</v>
      </c>
    </row>
    <row r="814" spans="1:3" x14ac:dyDescent="0.35">
      <c r="A814" s="13">
        <v>5.3652070421161997E-3</v>
      </c>
      <c r="B814" s="2">
        <v>813</v>
      </c>
      <c r="C814" s="13">
        <f t="shared" si="12"/>
        <v>4.5967974481438655E-3</v>
      </c>
    </row>
    <row r="815" spans="1:3" x14ac:dyDescent="0.35">
      <c r="A815" s="13">
        <v>3.7529110459444161E-3</v>
      </c>
      <c r="B815" s="2">
        <v>814</v>
      </c>
      <c r="C815" s="13">
        <f t="shared" si="12"/>
        <v>4.599959488014377E-3</v>
      </c>
    </row>
    <row r="816" spans="1:3" x14ac:dyDescent="0.35">
      <c r="A816" s="13">
        <v>-4.6295982593360101E-4</v>
      </c>
      <c r="B816" s="2">
        <v>815</v>
      </c>
      <c r="C816" s="13">
        <f t="shared" si="12"/>
        <v>4.6466135514310961E-3</v>
      </c>
    </row>
    <row r="817" spans="1:3" x14ac:dyDescent="0.35">
      <c r="A817" s="13">
        <v>3.834848393908237E-2</v>
      </c>
      <c r="B817" s="2">
        <v>816</v>
      </c>
      <c r="C817" s="13">
        <f t="shared" si="12"/>
        <v>4.6575970010672135E-3</v>
      </c>
    </row>
    <row r="818" spans="1:3" x14ac:dyDescent="0.35">
      <c r="A818" s="13">
        <v>1.0235859103433925E-2</v>
      </c>
      <c r="B818" s="2">
        <v>817</v>
      </c>
      <c r="C818" s="13">
        <f t="shared" si="12"/>
        <v>4.6714895088371833E-3</v>
      </c>
    </row>
    <row r="819" spans="1:3" x14ac:dyDescent="0.35">
      <c r="A819" s="13">
        <v>4.2283777572423176E-3</v>
      </c>
      <c r="B819" s="2">
        <v>818</v>
      </c>
      <c r="C819" s="13">
        <f t="shared" si="12"/>
        <v>4.6818860787307395E-3</v>
      </c>
    </row>
    <row r="820" spans="1:3" x14ac:dyDescent="0.35">
      <c r="A820" s="13">
        <v>5.462021114484167E-3</v>
      </c>
      <c r="B820" s="2">
        <v>819</v>
      </c>
      <c r="C820" s="13">
        <f t="shared" si="12"/>
        <v>4.7066780945576097E-3</v>
      </c>
    </row>
    <row r="821" spans="1:3" x14ac:dyDescent="0.35">
      <c r="A821" s="13">
        <v>-1.6084401820505977E-2</v>
      </c>
      <c r="B821" s="2">
        <v>820</v>
      </c>
      <c r="C821" s="13">
        <f t="shared" si="12"/>
        <v>4.710590735564341E-3</v>
      </c>
    </row>
    <row r="822" spans="1:3" x14ac:dyDescent="0.35">
      <c r="A822" s="13">
        <v>1.7714812725864271E-2</v>
      </c>
      <c r="B822" s="2">
        <v>821</v>
      </c>
      <c r="C822" s="13">
        <f t="shared" si="12"/>
        <v>4.7186185424262575E-3</v>
      </c>
    </row>
    <row r="823" spans="1:3" x14ac:dyDescent="0.35">
      <c r="A823" s="13">
        <v>9.7185028145509236E-3</v>
      </c>
      <c r="B823" s="2">
        <v>822</v>
      </c>
      <c r="C823" s="13">
        <f t="shared" si="12"/>
        <v>4.7853522138592286E-3</v>
      </c>
    </row>
    <row r="824" spans="1:3" x14ac:dyDescent="0.35">
      <c r="A824" s="13">
        <v>-3.6038925311011188E-3</v>
      </c>
      <c r="B824" s="2">
        <v>823</v>
      </c>
      <c r="C824" s="13">
        <f t="shared" si="12"/>
        <v>4.7936722350488533E-3</v>
      </c>
    </row>
    <row r="825" spans="1:3" x14ac:dyDescent="0.35">
      <c r="A825" s="13">
        <v>1.8703566084062669E-3</v>
      </c>
      <c r="B825" s="2">
        <v>824</v>
      </c>
      <c r="C825" s="13">
        <f t="shared" si="12"/>
        <v>4.8243443682819999E-3</v>
      </c>
    </row>
    <row r="826" spans="1:3" x14ac:dyDescent="0.35">
      <c r="A826" s="13">
        <v>6.5435267133971521E-3</v>
      </c>
      <c r="B826" s="2">
        <v>825</v>
      </c>
      <c r="C826" s="13">
        <f t="shared" si="12"/>
        <v>4.8393449686777099E-3</v>
      </c>
    </row>
    <row r="827" spans="1:3" x14ac:dyDescent="0.35">
      <c r="A827" s="13">
        <v>2.0723907494777294E-3</v>
      </c>
      <c r="B827" s="2">
        <v>826</v>
      </c>
      <c r="C827" s="13">
        <f t="shared" si="12"/>
        <v>4.8431664553145173E-3</v>
      </c>
    </row>
    <row r="828" spans="1:3" x14ac:dyDescent="0.35">
      <c r="A828" s="13">
        <v>3.5822817096640754E-3</v>
      </c>
      <c r="B828" s="2">
        <v>827</v>
      </c>
      <c r="C828" s="13">
        <f t="shared" si="12"/>
        <v>4.8581350149979746E-3</v>
      </c>
    </row>
    <row r="829" spans="1:3" x14ac:dyDescent="0.35">
      <c r="A829" s="13">
        <v>1.5430357739439785E-3</v>
      </c>
      <c r="B829" s="2">
        <v>828</v>
      </c>
      <c r="C829" s="13">
        <f t="shared" si="12"/>
        <v>4.8590306593622856E-3</v>
      </c>
    </row>
    <row r="830" spans="1:3" x14ac:dyDescent="0.35">
      <c r="A830" s="13">
        <v>-1.5156297639948087E-2</v>
      </c>
      <c r="B830" s="2">
        <v>829</v>
      </c>
      <c r="C830" s="13">
        <f t="shared" si="12"/>
        <v>4.8710982351410194E-3</v>
      </c>
    </row>
    <row r="831" spans="1:3" x14ac:dyDescent="0.35">
      <c r="A831" s="13">
        <v>3.4093450787197558E-3</v>
      </c>
      <c r="B831" s="2">
        <v>830</v>
      </c>
      <c r="C831" s="13">
        <f t="shared" si="12"/>
        <v>4.8768213037674417E-3</v>
      </c>
    </row>
    <row r="832" spans="1:3" x14ac:dyDescent="0.35">
      <c r="A832" s="13">
        <v>9.7632101078465022E-3</v>
      </c>
      <c r="B832" s="2">
        <v>831</v>
      </c>
      <c r="C832" s="13">
        <f t="shared" si="12"/>
        <v>4.8982455807254563E-3</v>
      </c>
    </row>
    <row r="833" spans="1:3" x14ac:dyDescent="0.35">
      <c r="A833" s="13">
        <v>1.1211532494146716E-3</v>
      </c>
      <c r="B833" s="2">
        <v>832</v>
      </c>
      <c r="C833" s="13">
        <f t="shared" si="12"/>
        <v>4.913022563036328E-3</v>
      </c>
    </row>
    <row r="834" spans="1:3" x14ac:dyDescent="0.35">
      <c r="A834" s="13">
        <v>-3.7540337901421856E-3</v>
      </c>
      <c r="B834" s="2">
        <v>833</v>
      </c>
      <c r="C834" s="13">
        <f t="shared" si="12"/>
        <v>4.9327510745063342E-3</v>
      </c>
    </row>
    <row r="835" spans="1:3" x14ac:dyDescent="0.35">
      <c r="A835" s="13">
        <v>-8.1638715111955959E-3</v>
      </c>
      <c r="B835" s="2">
        <v>834</v>
      </c>
      <c r="C835" s="13">
        <f t="shared" ref="C835:C898" si="13">+SMALL($A$2:$A$1256,B835)</f>
        <v>4.9917265978184381E-3</v>
      </c>
    </row>
    <row r="836" spans="1:3" x14ac:dyDescent="0.35">
      <c r="A836" s="13">
        <v>1.7852250289286314E-2</v>
      </c>
      <c r="B836" s="2">
        <v>835</v>
      </c>
      <c r="C836" s="13">
        <f t="shared" si="13"/>
        <v>5.0095871644282447E-3</v>
      </c>
    </row>
    <row r="837" spans="1:3" x14ac:dyDescent="0.35">
      <c r="A837" s="13">
        <v>3.4587333770969104E-3</v>
      </c>
      <c r="B837" s="2">
        <v>836</v>
      </c>
      <c r="C837" s="13">
        <f t="shared" si="13"/>
        <v>5.0102412157958165E-3</v>
      </c>
    </row>
    <row r="838" spans="1:3" x14ac:dyDescent="0.35">
      <c r="A838" s="13">
        <v>3.7725002818884746E-3</v>
      </c>
      <c r="B838" s="2">
        <v>837</v>
      </c>
      <c r="C838" s="13">
        <f t="shared" si="13"/>
        <v>5.0185504682117776E-3</v>
      </c>
    </row>
    <row r="839" spans="1:3" x14ac:dyDescent="0.35">
      <c r="A839" s="13">
        <v>3.1273825585583113E-3</v>
      </c>
      <c r="B839" s="2">
        <v>838</v>
      </c>
      <c r="C839" s="13">
        <f t="shared" si="13"/>
        <v>5.0371393518073579E-3</v>
      </c>
    </row>
    <row r="840" spans="1:3" x14ac:dyDescent="0.35">
      <c r="A840" s="13">
        <v>1.8796288156852207E-3</v>
      </c>
      <c r="B840" s="2">
        <v>839</v>
      </c>
      <c r="C840" s="13">
        <f t="shared" si="13"/>
        <v>5.0483690517118453E-3</v>
      </c>
    </row>
    <row r="841" spans="1:3" x14ac:dyDescent="0.35">
      <c r="A841" s="13">
        <v>1.3252497112919088E-3</v>
      </c>
      <c r="B841" s="2">
        <v>840</v>
      </c>
      <c r="C841" s="13">
        <f t="shared" si="13"/>
        <v>5.061818513474519E-3</v>
      </c>
    </row>
    <row r="842" spans="1:3" x14ac:dyDescent="0.35">
      <c r="A842" s="13">
        <v>7.5087170641826087E-3</v>
      </c>
      <c r="B842" s="2">
        <v>841</v>
      </c>
      <c r="C842" s="13">
        <f t="shared" si="13"/>
        <v>5.0704395582220133E-3</v>
      </c>
    </row>
    <row r="843" spans="1:3" x14ac:dyDescent="0.35">
      <c r="A843" s="13">
        <v>9.2819927648770603E-3</v>
      </c>
      <c r="B843" s="2">
        <v>842</v>
      </c>
      <c r="C843" s="13">
        <f t="shared" si="13"/>
        <v>5.1078336712117945E-3</v>
      </c>
    </row>
    <row r="844" spans="1:3" x14ac:dyDescent="0.35">
      <c r="A844" s="13">
        <v>-6.9711277282552397E-3</v>
      </c>
      <c r="B844" s="2">
        <v>843</v>
      </c>
      <c r="C844" s="13">
        <f t="shared" si="13"/>
        <v>5.1558431965953808E-3</v>
      </c>
    </row>
    <row r="845" spans="1:3" x14ac:dyDescent="0.35">
      <c r="A845" s="13">
        <v>9.9845729926441966E-3</v>
      </c>
      <c r="B845" s="2">
        <v>844</v>
      </c>
      <c r="C845" s="13">
        <f t="shared" si="13"/>
        <v>5.1936370067368932E-3</v>
      </c>
    </row>
    <row r="846" spans="1:3" x14ac:dyDescent="0.35">
      <c r="A846" s="13">
        <v>8.8994750832111329E-3</v>
      </c>
      <c r="B846" s="2">
        <v>845</v>
      </c>
      <c r="C846" s="13">
        <f t="shared" si="13"/>
        <v>5.1967876207615381E-3</v>
      </c>
    </row>
    <row r="847" spans="1:3" x14ac:dyDescent="0.35">
      <c r="A847" s="13">
        <v>-3.2638031946139118E-3</v>
      </c>
      <c r="B847" s="2">
        <v>846</v>
      </c>
      <c r="C847" s="13">
        <f t="shared" si="13"/>
        <v>5.2131152507815161E-3</v>
      </c>
    </row>
    <row r="848" spans="1:3" x14ac:dyDescent="0.35">
      <c r="A848" s="13">
        <v>-9.3435714035525128E-3</v>
      </c>
      <c r="B848" s="2">
        <v>847</v>
      </c>
      <c r="C848" s="13">
        <f t="shared" si="13"/>
        <v>5.2220528382259527E-3</v>
      </c>
    </row>
    <row r="849" spans="1:3" x14ac:dyDescent="0.35">
      <c r="A849" s="13">
        <v>1.8431674078217691E-2</v>
      </c>
      <c r="B849" s="2">
        <v>848</v>
      </c>
      <c r="C849" s="13">
        <f t="shared" si="13"/>
        <v>5.2600754046495139E-3</v>
      </c>
    </row>
    <row r="850" spans="1:3" x14ac:dyDescent="0.35">
      <c r="A850" s="13">
        <v>2.6411626858985717E-4</v>
      </c>
      <c r="B850" s="2">
        <v>849</v>
      </c>
      <c r="C850" s="13">
        <f t="shared" si="13"/>
        <v>5.2670834472309837E-3</v>
      </c>
    </row>
    <row r="851" spans="1:3" x14ac:dyDescent="0.35">
      <c r="A851" s="13">
        <v>-3.9506824734095126E-3</v>
      </c>
      <c r="B851" s="2">
        <v>850</v>
      </c>
      <c r="C851" s="13">
        <f t="shared" si="13"/>
        <v>5.3016835095860684E-3</v>
      </c>
    </row>
    <row r="852" spans="1:3" x14ac:dyDescent="0.35">
      <c r="A852" s="13">
        <v>-6.7150964761177531E-3</v>
      </c>
      <c r="B852" s="2">
        <v>851</v>
      </c>
      <c r="C852" s="13">
        <f t="shared" si="13"/>
        <v>5.3089811900975852E-3</v>
      </c>
    </row>
    <row r="853" spans="1:3" x14ac:dyDescent="0.35">
      <c r="A853" s="13">
        <v>6.4848690668961404E-3</v>
      </c>
      <c r="B853" s="2">
        <v>852</v>
      </c>
      <c r="C853" s="13">
        <f t="shared" si="13"/>
        <v>5.3477580168628091E-3</v>
      </c>
    </row>
    <row r="854" spans="1:3" x14ac:dyDescent="0.35">
      <c r="A854" s="13">
        <v>5.3564777781848266E-3</v>
      </c>
      <c r="B854" s="2">
        <v>853</v>
      </c>
      <c r="C854" s="13">
        <f t="shared" si="13"/>
        <v>5.3564777781848266E-3</v>
      </c>
    </row>
    <row r="855" spans="1:3" x14ac:dyDescent="0.35">
      <c r="A855" s="13">
        <v>1.016525263813545E-2</v>
      </c>
      <c r="B855" s="2">
        <v>854</v>
      </c>
      <c r="C855" s="13">
        <f t="shared" si="13"/>
        <v>5.3652070421161997E-3</v>
      </c>
    </row>
    <row r="856" spans="1:3" x14ac:dyDescent="0.35">
      <c r="A856" s="13">
        <v>4.059862536181136E-3</v>
      </c>
      <c r="B856" s="2">
        <v>855</v>
      </c>
      <c r="C856" s="13">
        <f t="shared" si="13"/>
        <v>5.4126835790292253E-3</v>
      </c>
    </row>
    <row r="857" spans="1:3" x14ac:dyDescent="0.35">
      <c r="A857" s="13">
        <v>-9.4986019880226001E-3</v>
      </c>
      <c r="B857" s="2">
        <v>856</v>
      </c>
      <c r="C857" s="13">
        <f t="shared" si="13"/>
        <v>5.4238988802239787E-3</v>
      </c>
    </row>
    <row r="858" spans="1:3" x14ac:dyDescent="0.35">
      <c r="A858" s="13">
        <v>-6.9246548555717139E-3</v>
      </c>
      <c r="B858" s="2">
        <v>857</v>
      </c>
      <c r="C858" s="13">
        <f t="shared" si="13"/>
        <v>5.4489689520367691E-3</v>
      </c>
    </row>
    <row r="859" spans="1:3" x14ac:dyDescent="0.35">
      <c r="A859" s="13">
        <v>-2.1681728062741697E-3</v>
      </c>
      <c r="B859" s="2">
        <v>858</v>
      </c>
      <c r="C859" s="13">
        <f t="shared" si="13"/>
        <v>5.462021114484167E-3</v>
      </c>
    </row>
    <row r="860" spans="1:3" x14ac:dyDescent="0.35">
      <c r="A860" s="13">
        <v>1.082036301845204E-2</v>
      </c>
      <c r="B860" s="2">
        <v>859</v>
      </c>
      <c r="C860" s="13">
        <f t="shared" si="13"/>
        <v>5.5197145357608248E-3</v>
      </c>
    </row>
    <row r="861" spans="1:3" x14ac:dyDescent="0.35">
      <c r="A861" s="13">
        <v>-1.2509201212511549E-3</v>
      </c>
      <c r="B861" s="2">
        <v>860</v>
      </c>
      <c r="C861" s="13">
        <f t="shared" si="13"/>
        <v>5.529409650662365E-3</v>
      </c>
    </row>
    <row r="862" spans="1:3" x14ac:dyDescent="0.35">
      <c r="A862" s="13">
        <v>-2.3025913899226724E-3</v>
      </c>
      <c r="B862" s="2">
        <v>861</v>
      </c>
      <c r="C862" s="13">
        <f t="shared" si="13"/>
        <v>5.5451900529777205E-3</v>
      </c>
    </row>
    <row r="863" spans="1:3" x14ac:dyDescent="0.35">
      <c r="A863" s="13">
        <v>-6.781076401605619E-3</v>
      </c>
      <c r="B863" s="2">
        <v>862</v>
      </c>
      <c r="C863" s="13">
        <f t="shared" si="13"/>
        <v>5.549318385026032E-3</v>
      </c>
    </row>
    <row r="864" spans="1:3" x14ac:dyDescent="0.35">
      <c r="A864" s="13">
        <v>9.6821004207141639E-3</v>
      </c>
      <c r="B864" s="2">
        <v>863</v>
      </c>
      <c r="C864" s="13">
        <f t="shared" si="13"/>
        <v>5.5543096653599966E-3</v>
      </c>
    </row>
    <row r="865" spans="1:3" x14ac:dyDescent="0.35">
      <c r="A865" s="13">
        <v>-1.3541457810126894E-2</v>
      </c>
      <c r="B865" s="2">
        <v>864</v>
      </c>
      <c r="C865" s="13">
        <f t="shared" si="13"/>
        <v>5.5543710462921834E-3</v>
      </c>
    </row>
    <row r="866" spans="1:3" x14ac:dyDescent="0.35">
      <c r="A866" s="13">
        <v>1.2501713953677471E-2</v>
      </c>
      <c r="B866" s="2">
        <v>865</v>
      </c>
      <c r="C866" s="13">
        <f t="shared" si="13"/>
        <v>5.5606723250278692E-3</v>
      </c>
    </row>
    <row r="867" spans="1:3" x14ac:dyDescent="0.35">
      <c r="A867" s="13">
        <v>-7.6495796244767465E-4</v>
      </c>
      <c r="B867" s="2">
        <v>866</v>
      </c>
      <c r="C867" s="13">
        <f t="shared" si="13"/>
        <v>5.5608705744263024E-3</v>
      </c>
    </row>
    <row r="868" spans="1:3" x14ac:dyDescent="0.35">
      <c r="A868" s="13">
        <v>-4.5313253175556546E-3</v>
      </c>
      <c r="B868" s="2">
        <v>867</v>
      </c>
      <c r="C868" s="13">
        <f t="shared" si="13"/>
        <v>5.5695648370209429E-3</v>
      </c>
    </row>
    <row r="869" spans="1:3" x14ac:dyDescent="0.35">
      <c r="A869" s="13">
        <v>-4.4617075214795857E-3</v>
      </c>
      <c r="B869" s="2">
        <v>868</v>
      </c>
      <c r="C869" s="13">
        <f t="shared" si="13"/>
        <v>5.5702972450235649E-3</v>
      </c>
    </row>
    <row r="870" spans="1:3" x14ac:dyDescent="0.35">
      <c r="A870" s="13">
        <v>-1.8485282570574884E-4</v>
      </c>
      <c r="B870" s="2">
        <v>869</v>
      </c>
      <c r="C870" s="13">
        <f t="shared" si="13"/>
        <v>5.6102824281874311E-3</v>
      </c>
    </row>
    <row r="871" spans="1:3" x14ac:dyDescent="0.35">
      <c r="A871" s="13">
        <v>-1.0038094881919955E-2</v>
      </c>
      <c r="B871" s="2">
        <v>870</v>
      </c>
      <c r="C871" s="13">
        <f t="shared" si="13"/>
        <v>5.6237806164515852E-3</v>
      </c>
    </row>
    <row r="872" spans="1:3" x14ac:dyDescent="0.35">
      <c r="A872" s="13">
        <v>-5.6619267916963026E-3</v>
      </c>
      <c r="B872" s="2">
        <v>871</v>
      </c>
      <c r="C872" s="13">
        <f t="shared" si="13"/>
        <v>5.626009419342843E-3</v>
      </c>
    </row>
    <row r="873" spans="1:3" x14ac:dyDescent="0.35">
      <c r="A873" s="13">
        <v>1.8304460760857786E-3</v>
      </c>
      <c r="B873" s="2">
        <v>872</v>
      </c>
      <c r="C873" s="13">
        <f t="shared" si="13"/>
        <v>5.6465833264303204E-3</v>
      </c>
    </row>
    <row r="874" spans="1:3" x14ac:dyDescent="0.35">
      <c r="A874" s="13">
        <v>-3.9284743800785905E-3</v>
      </c>
      <c r="B874" s="2">
        <v>873</v>
      </c>
      <c r="C874" s="13">
        <f t="shared" si="13"/>
        <v>5.6499784235547841E-3</v>
      </c>
    </row>
    <row r="875" spans="1:3" x14ac:dyDescent="0.35">
      <c r="A875" s="13">
        <v>-6.7968958690856913E-3</v>
      </c>
      <c r="B875" s="2">
        <v>874</v>
      </c>
      <c r="C875" s="13">
        <f t="shared" si="13"/>
        <v>5.6516935230957526E-3</v>
      </c>
    </row>
    <row r="876" spans="1:3" x14ac:dyDescent="0.35">
      <c r="A876" s="13">
        <v>9.848676561784217E-3</v>
      </c>
      <c r="B876" s="2">
        <v>875</v>
      </c>
      <c r="C876" s="13">
        <f t="shared" si="13"/>
        <v>5.6759270050298471E-3</v>
      </c>
    </row>
    <row r="877" spans="1:3" x14ac:dyDescent="0.35">
      <c r="A877" s="13">
        <v>6.4660446215307719E-3</v>
      </c>
      <c r="B877" s="2">
        <v>876</v>
      </c>
      <c r="C877" s="13">
        <f t="shared" si="13"/>
        <v>5.7028099441530635E-3</v>
      </c>
    </row>
    <row r="878" spans="1:3" x14ac:dyDescent="0.35">
      <c r="A878" s="13">
        <v>6.429753049257453E-3</v>
      </c>
      <c r="B878" s="2">
        <v>877</v>
      </c>
      <c r="C878" s="13">
        <f t="shared" si="13"/>
        <v>5.7049506072949421E-3</v>
      </c>
    </row>
    <row r="879" spans="1:3" x14ac:dyDescent="0.35">
      <c r="A879" s="13">
        <v>6.5960655828170966E-3</v>
      </c>
      <c r="B879" s="2">
        <v>878</v>
      </c>
      <c r="C879" s="13">
        <f t="shared" si="13"/>
        <v>5.726517928122711E-3</v>
      </c>
    </row>
    <row r="880" spans="1:3" x14ac:dyDescent="0.35">
      <c r="A880" s="13">
        <v>-3.8361171155609691E-2</v>
      </c>
      <c r="B880" s="2">
        <v>879</v>
      </c>
      <c r="C880" s="13">
        <f t="shared" si="13"/>
        <v>5.7399028665663437E-3</v>
      </c>
    </row>
    <row r="881" spans="1:3" x14ac:dyDescent="0.35">
      <c r="A881" s="13">
        <v>9.7717738982367407E-4</v>
      </c>
      <c r="B881" s="2">
        <v>880</v>
      </c>
      <c r="C881" s="13">
        <f t="shared" si="13"/>
        <v>5.7689354996396285E-3</v>
      </c>
    </row>
    <row r="882" spans="1:3" x14ac:dyDescent="0.35">
      <c r="A882" s="13">
        <v>5.2600754046495139E-3</v>
      </c>
      <c r="B882" s="2">
        <v>881</v>
      </c>
      <c r="C882" s="13">
        <f t="shared" si="13"/>
        <v>5.7965655899663415E-3</v>
      </c>
    </row>
    <row r="883" spans="1:3" x14ac:dyDescent="0.35">
      <c r="A883" s="13">
        <v>-2.1134219412677558E-2</v>
      </c>
      <c r="B883" s="2">
        <v>882</v>
      </c>
      <c r="C883" s="13">
        <f t="shared" si="13"/>
        <v>5.8024230367739547E-3</v>
      </c>
    </row>
    <row r="884" spans="1:3" x14ac:dyDescent="0.35">
      <c r="A884" s="13">
        <v>-6.7022770700329304E-3</v>
      </c>
      <c r="B884" s="2">
        <v>883</v>
      </c>
      <c r="C884" s="13">
        <f t="shared" si="13"/>
        <v>5.8153380725790476E-3</v>
      </c>
    </row>
    <row r="885" spans="1:3" x14ac:dyDescent="0.35">
      <c r="A885" s="13">
        <v>7.8353297557080415E-3</v>
      </c>
      <c r="B885" s="2">
        <v>884</v>
      </c>
      <c r="C885" s="13">
        <f t="shared" si="13"/>
        <v>5.8170052035458279E-3</v>
      </c>
    </row>
    <row r="886" spans="1:3" x14ac:dyDescent="0.35">
      <c r="A886" s="13">
        <v>4.4247080030887691E-3</v>
      </c>
      <c r="B886" s="2">
        <v>885</v>
      </c>
      <c r="C886" s="13">
        <f t="shared" si="13"/>
        <v>5.8279702146150905E-3</v>
      </c>
    </row>
    <row r="887" spans="1:3" x14ac:dyDescent="0.35">
      <c r="A887" s="13">
        <v>1.3016696931697422E-2</v>
      </c>
      <c r="B887" s="2">
        <v>886</v>
      </c>
      <c r="C887" s="13">
        <f t="shared" si="13"/>
        <v>5.8505877327069073E-3</v>
      </c>
    </row>
    <row r="888" spans="1:3" x14ac:dyDescent="0.35">
      <c r="A888" s="13">
        <v>2.7310835433861482E-3</v>
      </c>
      <c r="B888" s="2">
        <v>887</v>
      </c>
      <c r="C888" s="13">
        <f t="shared" si="13"/>
        <v>5.8652076869014445E-3</v>
      </c>
    </row>
    <row r="889" spans="1:3" x14ac:dyDescent="0.35">
      <c r="A889" s="13">
        <v>2.7549219657344035E-3</v>
      </c>
      <c r="B889" s="2">
        <v>888</v>
      </c>
      <c r="C889" s="13">
        <f t="shared" si="13"/>
        <v>5.8758726672786124E-3</v>
      </c>
    </row>
    <row r="890" spans="1:3" x14ac:dyDescent="0.35">
      <c r="A890" s="13">
        <v>1.2135897332063291E-3</v>
      </c>
      <c r="B890" s="2">
        <v>889</v>
      </c>
      <c r="C890" s="13">
        <f t="shared" si="13"/>
        <v>5.8778550718735908E-3</v>
      </c>
    </row>
    <row r="891" spans="1:3" x14ac:dyDescent="0.35">
      <c r="A891" s="13">
        <v>6.4170364261065243E-3</v>
      </c>
      <c r="B891" s="2">
        <v>890</v>
      </c>
      <c r="C891" s="13">
        <f t="shared" si="13"/>
        <v>5.8784499329157611E-3</v>
      </c>
    </row>
    <row r="892" spans="1:3" x14ac:dyDescent="0.35">
      <c r="A892" s="13">
        <v>-1.9213005403707342E-3</v>
      </c>
      <c r="B892" s="2">
        <v>891</v>
      </c>
      <c r="C892" s="13">
        <f t="shared" si="13"/>
        <v>5.9114041524901163E-3</v>
      </c>
    </row>
    <row r="893" spans="1:3" x14ac:dyDescent="0.35">
      <c r="A893" s="13">
        <v>1.6277221752311454E-3</v>
      </c>
      <c r="B893" s="2">
        <v>892</v>
      </c>
      <c r="C893" s="13">
        <f t="shared" si="13"/>
        <v>5.911674561226524E-3</v>
      </c>
    </row>
    <row r="894" spans="1:3" x14ac:dyDescent="0.35">
      <c r="A894" s="13">
        <v>4.5581302488152441E-3</v>
      </c>
      <c r="B894" s="2">
        <v>893</v>
      </c>
      <c r="C894" s="13">
        <f t="shared" si="13"/>
        <v>5.9666793022427923E-3</v>
      </c>
    </row>
    <row r="895" spans="1:3" x14ac:dyDescent="0.35">
      <c r="A895" s="13">
        <v>1.1399413227526117E-2</v>
      </c>
      <c r="B895" s="2">
        <v>894</v>
      </c>
      <c r="C895" s="13">
        <f t="shared" si="13"/>
        <v>5.9713620804951895E-3</v>
      </c>
    </row>
    <row r="896" spans="1:3" x14ac:dyDescent="0.35">
      <c r="A896" s="13">
        <v>5.9666793022427923E-3</v>
      </c>
      <c r="B896" s="2">
        <v>895</v>
      </c>
      <c r="C896" s="13">
        <f t="shared" si="13"/>
        <v>6.0204937691487118E-3</v>
      </c>
    </row>
    <row r="897" spans="1:3" x14ac:dyDescent="0.35">
      <c r="A897" s="13">
        <v>4.1973335708221406E-3</v>
      </c>
      <c r="B897" s="2">
        <v>896</v>
      </c>
      <c r="C897" s="13">
        <f t="shared" si="13"/>
        <v>6.0576590790423924E-3</v>
      </c>
    </row>
    <row r="898" spans="1:3" x14ac:dyDescent="0.35">
      <c r="A898" s="13">
        <v>9.2217287443588734E-3</v>
      </c>
      <c r="B898" s="2">
        <v>897</v>
      </c>
      <c r="C898" s="13">
        <f t="shared" si="13"/>
        <v>6.0959063545018358E-3</v>
      </c>
    </row>
    <row r="899" spans="1:3" x14ac:dyDescent="0.35">
      <c r="A899" s="13">
        <v>-2.680542730439401E-3</v>
      </c>
      <c r="B899" s="2">
        <v>898</v>
      </c>
      <c r="C899" s="13">
        <f t="shared" ref="C899:C962" si="14">+SMALL($A$2:$A$1256,B899)</f>
        <v>6.1006959162904191E-3</v>
      </c>
    </row>
    <row r="900" spans="1:3" x14ac:dyDescent="0.35">
      <c r="A900" s="13">
        <v>-1.3534670925932156E-2</v>
      </c>
      <c r="B900" s="2">
        <v>899</v>
      </c>
      <c r="C900" s="13">
        <f t="shared" si="14"/>
        <v>6.1045777481273196E-3</v>
      </c>
    </row>
    <row r="901" spans="1:3" x14ac:dyDescent="0.35">
      <c r="A901" s="13">
        <v>4.5967974481438655E-3</v>
      </c>
      <c r="B901" s="2">
        <v>900</v>
      </c>
      <c r="C901" s="13">
        <f t="shared" si="14"/>
        <v>6.1221178397286779E-3</v>
      </c>
    </row>
    <row r="902" spans="1:3" x14ac:dyDescent="0.35">
      <c r="A902" s="13">
        <v>-5.0253883729667534E-3</v>
      </c>
      <c r="B902" s="2">
        <v>901</v>
      </c>
      <c r="C902" s="13">
        <f t="shared" si="14"/>
        <v>6.1388792282292531E-3</v>
      </c>
    </row>
    <row r="903" spans="1:3" x14ac:dyDescent="0.35">
      <c r="A903" s="13">
        <v>-1.0177148573562875E-2</v>
      </c>
      <c r="B903" s="2">
        <v>902</v>
      </c>
      <c r="C903" s="13">
        <f t="shared" si="14"/>
        <v>6.1439326223727154E-3</v>
      </c>
    </row>
    <row r="904" spans="1:3" x14ac:dyDescent="0.35">
      <c r="A904" s="13">
        <v>-5.5132845651390174E-3</v>
      </c>
      <c r="B904" s="2">
        <v>903</v>
      </c>
      <c r="C904" s="13">
        <f t="shared" si="14"/>
        <v>6.1615421630707981E-3</v>
      </c>
    </row>
    <row r="905" spans="1:3" x14ac:dyDescent="0.35">
      <c r="A905" s="13">
        <v>7.0674752276801327E-3</v>
      </c>
      <c r="B905" s="2">
        <v>904</v>
      </c>
      <c r="C905" s="13">
        <f t="shared" si="14"/>
        <v>6.1712753563034212E-3</v>
      </c>
    </row>
    <row r="906" spans="1:3" x14ac:dyDescent="0.35">
      <c r="A906" s="13">
        <v>-9.0203382057454668E-3</v>
      </c>
      <c r="B906" s="2">
        <v>905</v>
      </c>
      <c r="C906" s="13">
        <f t="shared" si="14"/>
        <v>6.1717337697130281E-3</v>
      </c>
    </row>
    <row r="907" spans="1:3" x14ac:dyDescent="0.35">
      <c r="A907" s="13">
        <v>2.7439086385764051E-3</v>
      </c>
      <c r="B907" s="2">
        <v>906</v>
      </c>
      <c r="C907" s="13">
        <f t="shared" si="14"/>
        <v>6.179129747812785E-3</v>
      </c>
    </row>
    <row r="908" spans="1:3" x14ac:dyDescent="0.35">
      <c r="A908" s="13">
        <v>5.7965655899663415E-3</v>
      </c>
      <c r="B908" s="2">
        <v>907</v>
      </c>
      <c r="C908" s="13">
        <f t="shared" si="14"/>
        <v>6.201991975576822E-3</v>
      </c>
    </row>
    <row r="909" spans="1:3" x14ac:dyDescent="0.35">
      <c r="A909" s="13">
        <v>1.4128508718021129E-5</v>
      </c>
      <c r="B909" s="2">
        <v>908</v>
      </c>
      <c r="C909" s="13">
        <f t="shared" si="14"/>
        <v>6.2249831409312787E-3</v>
      </c>
    </row>
    <row r="910" spans="1:3" x14ac:dyDescent="0.35">
      <c r="A910" s="13">
        <v>-1.7205513842076989E-3</v>
      </c>
      <c r="B910" s="2">
        <v>909</v>
      </c>
      <c r="C910" s="13">
        <f t="shared" si="14"/>
        <v>6.2336980934130544E-3</v>
      </c>
    </row>
    <row r="911" spans="1:3" x14ac:dyDescent="0.35">
      <c r="A911" s="13">
        <v>5.7399028665663437E-3</v>
      </c>
      <c r="B911" s="2">
        <v>910</v>
      </c>
      <c r="C911" s="13">
        <f t="shared" si="14"/>
        <v>6.2739761744085264E-3</v>
      </c>
    </row>
    <row r="912" spans="1:3" x14ac:dyDescent="0.35">
      <c r="A912" s="13">
        <v>-8.6550824628024853E-3</v>
      </c>
      <c r="B912" s="2">
        <v>911</v>
      </c>
      <c r="C912" s="13">
        <f t="shared" si="14"/>
        <v>6.3356879515841435E-3</v>
      </c>
    </row>
    <row r="913" spans="1:3" x14ac:dyDescent="0.35">
      <c r="A913" s="13">
        <v>1.0811501620551049E-3</v>
      </c>
      <c r="B913" s="2">
        <v>912</v>
      </c>
      <c r="C913" s="13">
        <f t="shared" si="14"/>
        <v>6.3767973577653937E-3</v>
      </c>
    </row>
    <row r="914" spans="1:3" x14ac:dyDescent="0.35">
      <c r="A914" s="13">
        <v>-1.141683623323789E-3</v>
      </c>
      <c r="B914" s="2">
        <v>913</v>
      </c>
      <c r="C914" s="13">
        <f t="shared" si="14"/>
        <v>6.381291849788904E-3</v>
      </c>
    </row>
    <row r="915" spans="1:3" x14ac:dyDescent="0.35">
      <c r="A915" s="13">
        <v>1.2611103390100186E-3</v>
      </c>
      <c r="B915" s="2">
        <v>914</v>
      </c>
      <c r="C915" s="13">
        <f t="shared" si="14"/>
        <v>6.4013170952729424E-3</v>
      </c>
    </row>
    <row r="916" spans="1:3" x14ac:dyDescent="0.35">
      <c r="A916" s="13">
        <v>7.0738601826358096E-3</v>
      </c>
      <c r="B916" s="2">
        <v>915</v>
      </c>
      <c r="C916" s="13">
        <f t="shared" si="14"/>
        <v>6.4033782567236982E-3</v>
      </c>
    </row>
    <row r="917" spans="1:3" x14ac:dyDescent="0.35">
      <c r="A917" s="13">
        <v>3.9928087603154543E-3</v>
      </c>
      <c r="B917" s="2">
        <v>916</v>
      </c>
      <c r="C917" s="13">
        <f t="shared" si="14"/>
        <v>6.4170364261065243E-3</v>
      </c>
    </row>
    <row r="918" spans="1:3" x14ac:dyDescent="0.35">
      <c r="A918" s="13">
        <v>9.427861355742256E-3</v>
      </c>
      <c r="B918" s="2">
        <v>917</v>
      </c>
      <c r="C918" s="13">
        <f t="shared" si="14"/>
        <v>6.429753049257453E-3</v>
      </c>
    </row>
    <row r="919" spans="1:3" x14ac:dyDescent="0.35">
      <c r="A919" s="13">
        <v>-1.8872325066752287E-3</v>
      </c>
      <c r="B919" s="2">
        <v>918</v>
      </c>
      <c r="C919" s="13">
        <f t="shared" si="14"/>
        <v>6.4392234707252903E-3</v>
      </c>
    </row>
    <row r="920" spans="1:3" x14ac:dyDescent="0.35">
      <c r="A920" s="13">
        <v>8.7029010355362969E-3</v>
      </c>
      <c r="B920" s="2">
        <v>919</v>
      </c>
      <c r="C920" s="13">
        <f t="shared" si="14"/>
        <v>6.4563559518223592E-3</v>
      </c>
    </row>
    <row r="921" spans="1:3" x14ac:dyDescent="0.35">
      <c r="A921" s="13">
        <v>-9.6429726534870558E-3</v>
      </c>
      <c r="B921" s="2">
        <v>920</v>
      </c>
      <c r="C921" s="13">
        <f t="shared" si="14"/>
        <v>6.4660446215307719E-3</v>
      </c>
    </row>
    <row r="922" spans="1:3" x14ac:dyDescent="0.35">
      <c r="A922" s="13">
        <v>1.8258864245562882E-3</v>
      </c>
      <c r="B922" s="2">
        <v>921</v>
      </c>
      <c r="C922" s="13">
        <f t="shared" si="14"/>
        <v>6.4833485258896876E-3</v>
      </c>
    </row>
    <row r="923" spans="1:3" x14ac:dyDescent="0.35">
      <c r="A923" s="13">
        <v>-4.2842515878103787E-3</v>
      </c>
      <c r="B923" s="2">
        <v>922</v>
      </c>
      <c r="C923" s="13">
        <f t="shared" si="14"/>
        <v>6.4848690668961404E-3</v>
      </c>
    </row>
    <row r="924" spans="1:3" x14ac:dyDescent="0.35">
      <c r="A924" s="13">
        <v>6.5909060763720525E-3</v>
      </c>
      <c r="B924" s="2">
        <v>923</v>
      </c>
      <c r="C924" s="13">
        <f t="shared" si="14"/>
        <v>6.4854373869263765E-3</v>
      </c>
    </row>
    <row r="925" spans="1:3" x14ac:dyDescent="0.35">
      <c r="A925" s="13">
        <v>5.5197145357608248E-3</v>
      </c>
      <c r="B925" s="2">
        <v>924</v>
      </c>
      <c r="C925" s="13">
        <f t="shared" si="14"/>
        <v>6.4955699321208489E-3</v>
      </c>
    </row>
    <row r="926" spans="1:3" x14ac:dyDescent="0.35">
      <c r="A926" s="13">
        <v>7.2788835873621362E-3</v>
      </c>
      <c r="B926" s="2">
        <v>925</v>
      </c>
      <c r="C926" s="13">
        <f t="shared" si="14"/>
        <v>6.5105596861563322E-3</v>
      </c>
    </row>
    <row r="927" spans="1:3" x14ac:dyDescent="0.35">
      <c r="A927" s="13">
        <v>-1.5493204025688158E-4</v>
      </c>
      <c r="B927" s="2">
        <v>926</v>
      </c>
      <c r="C927" s="13">
        <f t="shared" si="14"/>
        <v>6.5365385384278047E-3</v>
      </c>
    </row>
    <row r="928" spans="1:3" x14ac:dyDescent="0.35">
      <c r="A928" s="13">
        <v>7.1746117860733115E-3</v>
      </c>
      <c r="B928" s="2">
        <v>927</v>
      </c>
      <c r="C928" s="13">
        <f t="shared" si="14"/>
        <v>6.5435267133971521E-3</v>
      </c>
    </row>
    <row r="929" spans="1:3" x14ac:dyDescent="0.35">
      <c r="A929" s="13">
        <v>4.3769818252219856E-4</v>
      </c>
      <c r="B929" s="2">
        <v>928</v>
      </c>
      <c r="C929" s="13">
        <f t="shared" si="14"/>
        <v>6.5483894819114699E-3</v>
      </c>
    </row>
    <row r="930" spans="1:3" x14ac:dyDescent="0.35">
      <c r="A930" s="13">
        <v>-1.9739780096191578E-3</v>
      </c>
      <c r="B930" s="2">
        <v>929</v>
      </c>
      <c r="C930" s="13">
        <f t="shared" si="14"/>
        <v>6.5909060763720525E-3</v>
      </c>
    </row>
    <row r="931" spans="1:3" x14ac:dyDescent="0.35">
      <c r="A931" s="13">
        <v>7.9958717231378637E-3</v>
      </c>
      <c r="B931" s="2">
        <v>930</v>
      </c>
      <c r="C931" s="13">
        <f t="shared" si="14"/>
        <v>6.5960655828170966E-3</v>
      </c>
    </row>
    <row r="932" spans="1:3" x14ac:dyDescent="0.35">
      <c r="A932" s="13">
        <v>-3.4268849507437292E-3</v>
      </c>
      <c r="B932" s="2">
        <v>931</v>
      </c>
      <c r="C932" s="13">
        <f t="shared" si="14"/>
        <v>6.5968187243502837E-3</v>
      </c>
    </row>
    <row r="933" spans="1:3" x14ac:dyDescent="0.35">
      <c r="A933" s="13">
        <v>7.0093744235779363E-3</v>
      </c>
      <c r="B933" s="2">
        <v>932</v>
      </c>
      <c r="C933" s="13">
        <f t="shared" si="14"/>
        <v>6.6092280932774283E-3</v>
      </c>
    </row>
    <row r="934" spans="1:3" x14ac:dyDescent="0.35">
      <c r="A934" s="13">
        <v>1.0890521403027455E-2</v>
      </c>
      <c r="B934" s="2">
        <v>933</v>
      </c>
      <c r="C934" s="13">
        <f t="shared" si="14"/>
        <v>6.6098078565618567E-3</v>
      </c>
    </row>
    <row r="935" spans="1:3" x14ac:dyDescent="0.35">
      <c r="A935" s="13">
        <v>1.5992636733005491E-2</v>
      </c>
      <c r="B935" s="2">
        <v>934</v>
      </c>
      <c r="C935" s="13">
        <f t="shared" si="14"/>
        <v>6.6200403163475911E-3</v>
      </c>
    </row>
    <row r="936" spans="1:3" x14ac:dyDescent="0.35">
      <c r="A936" s="13">
        <v>2.837417845977159E-3</v>
      </c>
      <c r="B936" s="2">
        <v>935</v>
      </c>
      <c r="C936" s="13">
        <f t="shared" si="14"/>
        <v>6.63210309452999E-3</v>
      </c>
    </row>
    <row r="937" spans="1:3" x14ac:dyDescent="0.35">
      <c r="A937" s="13">
        <v>-6.3423289556494653E-3</v>
      </c>
      <c r="B937" s="2">
        <v>936</v>
      </c>
      <c r="C937" s="13">
        <f t="shared" si="14"/>
        <v>6.6686290631503683E-3</v>
      </c>
    </row>
    <row r="938" spans="1:3" x14ac:dyDescent="0.35">
      <c r="A938" s="13">
        <v>-1.3454173688513621E-2</v>
      </c>
      <c r="B938" s="2">
        <v>937</v>
      </c>
      <c r="C938" s="13">
        <f t="shared" si="14"/>
        <v>6.7081432428415036E-3</v>
      </c>
    </row>
    <row r="939" spans="1:3" x14ac:dyDescent="0.35">
      <c r="A939" s="13">
        <v>4.0316241971870333E-3</v>
      </c>
      <c r="B939" s="2">
        <v>938</v>
      </c>
      <c r="C939" s="13">
        <f t="shared" si="14"/>
        <v>6.7237457245596707E-3</v>
      </c>
    </row>
    <row r="940" spans="1:3" x14ac:dyDescent="0.35">
      <c r="A940" s="13">
        <v>1.2648172192141326E-3</v>
      </c>
      <c r="B940" s="2">
        <v>939</v>
      </c>
      <c r="C940" s="13">
        <f t="shared" si="14"/>
        <v>6.7634819688576573E-3</v>
      </c>
    </row>
    <row r="941" spans="1:3" x14ac:dyDescent="0.35">
      <c r="A941" s="13">
        <v>-1.3886851787280087E-2</v>
      </c>
      <c r="B941" s="2">
        <v>940</v>
      </c>
      <c r="C941" s="13">
        <f t="shared" si="14"/>
        <v>6.7642944943392272E-3</v>
      </c>
    </row>
    <row r="942" spans="1:3" x14ac:dyDescent="0.35">
      <c r="A942" s="13">
        <v>1.0174206113064944E-2</v>
      </c>
      <c r="B942" s="2">
        <v>941</v>
      </c>
      <c r="C942" s="13">
        <f t="shared" si="14"/>
        <v>6.8265339894112605E-3</v>
      </c>
    </row>
    <row r="943" spans="1:3" x14ac:dyDescent="0.35">
      <c r="A943" s="13">
        <v>8.8166189840550181E-3</v>
      </c>
      <c r="B943" s="2">
        <v>942</v>
      </c>
      <c r="C943" s="13">
        <f t="shared" si="14"/>
        <v>6.847485757148105E-3</v>
      </c>
    </row>
    <row r="944" spans="1:3" x14ac:dyDescent="0.35">
      <c r="A944" s="13">
        <v>-1.716388324734466E-3</v>
      </c>
      <c r="B944" s="2">
        <v>943</v>
      </c>
      <c r="C944" s="13">
        <f t="shared" si="14"/>
        <v>6.8607037010738007E-3</v>
      </c>
    </row>
    <row r="945" spans="1:3" x14ac:dyDescent="0.35">
      <c r="A945" s="13">
        <v>-1.1044672965870056E-3</v>
      </c>
      <c r="B945" s="2">
        <v>944</v>
      </c>
      <c r="C945" s="13">
        <f t="shared" si="14"/>
        <v>6.8851439739338284E-3</v>
      </c>
    </row>
    <row r="946" spans="1:3" x14ac:dyDescent="0.35">
      <c r="A946" s="13">
        <v>9.5880229822222331E-4</v>
      </c>
      <c r="B946" s="2">
        <v>945</v>
      </c>
      <c r="C946" s="13">
        <f t="shared" si="14"/>
        <v>6.9196494343787707E-3</v>
      </c>
    </row>
    <row r="947" spans="1:3" x14ac:dyDescent="0.35">
      <c r="A947" s="13">
        <v>-1.0739253666667581E-2</v>
      </c>
      <c r="B947" s="2">
        <v>946</v>
      </c>
      <c r="C947" s="13">
        <f t="shared" si="14"/>
        <v>6.9464015424974476E-3</v>
      </c>
    </row>
    <row r="948" spans="1:3" x14ac:dyDescent="0.35">
      <c r="A948" s="13">
        <v>-2.6081301843857069E-2</v>
      </c>
      <c r="B948" s="2">
        <v>947</v>
      </c>
      <c r="C948" s="13">
        <f t="shared" si="14"/>
        <v>7.0082670435233085E-3</v>
      </c>
    </row>
    <row r="949" spans="1:3" x14ac:dyDescent="0.35">
      <c r="A949" s="13">
        <v>-2.3247358396660416E-2</v>
      </c>
      <c r="B949" s="2">
        <v>948</v>
      </c>
      <c r="C949" s="13">
        <f t="shared" si="14"/>
        <v>7.0093744235779363E-3</v>
      </c>
    </row>
    <row r="950" spans="1:3" x14ac:dyDescent="0.35">
      <c r="A950" s="13">
        <v>1.6902032872327534E-2</v>
      </c>
      <c r="B950" s="2">
        <v>949</v>
      </c>
      <c r="C950" s="13">
        <f t="shared" si="14"/>
        <v>7.0674752276801327E-3</v>
      </c>
    </row>
    <row r="951" spans="1:3" x14ac:dyDescent="0.35">
      <c r="A951" s="13">
        <v>-5.4184466075087303E-3</v>
      </c>
      <c r="B951" s="2">
        <v>950</v>
      </c>
      <c r="C951" s="13">
        <f t="shared" si="14"/>
        <v>7.0738601826358096E-3</v>
      </c>
    </row>
    <row r="952" spans="1:3" x14ac:dyDescent="0.35">
      <c r="A952" s="13">
        <v>2.1934095859640249E-2</v>
      </c>
      <c r="B952" s="2">
        <v>951</v>
      </c>
      <c r="C952" s="13">
        <f t="shared" si="14"/>
        <v>7.1396600675022832E-3</v>
      </c>
    </row>
    <row r="953" spans="1:3" x14ac:dyDescent="0.35">
      <c r="A953" s="13">
        <v>5.0704395582220133E-3</v>
      </c>
      <c r="B953" s="2">
        <v>952</v>
      </c>
      <c r="C953" s="13">
        <f t="shared" si="14"/>
        <v>7.1584222997474649E-3</v>
      </c>
    </row>
    <row r="954" spans="1:3" x14ac:dyDescent="0.35">
      <c r="A954" s="13">
        <v>-1.8548243713753935E-3</v>
      </c>
      <c r="B954" s="2">
        <v>953</v>
      </c>
      <c r="C954" s="13">
        <f t="shared" si="14"/>
        <v>7.1746117860733115E-3</v>
      </c>
    </row>
    <row r="955" spans="1:3" x14ac:dyDescent="0.35">
      <c r="A955" s="13">
        <v>5.7689354996396285E-3</v>
      </c>
      <c r="B955" s="2">
        <v>954</v>
      </c>
      <c r="C955" s="13">
        <f t="shared" si="14"/>
        <v>7.1921791590990377E-3</v>
      </c>
    </row>
    <row r="956" spans="1:3" x14ac:dyDescent="0.35">
      <c r="A956" s="13">
        <v>7.8449504885203282E-3</v>
      </c>
      <c r="B956" s="2">
        <v>955</v>
      </c>
      <c r="C956" s="13">
        <f t="shared" si="14"/>
        <v>7.2099136177494723E-3</v>
      </c>
    </row>
    <row r="957" spans="1:3" x14ac:dyDescent="0.35">
      <c r="A957" s="13">
        <v>2.7039630289747547E-2</v>
      </c>
      <c r="B957" s="2">
        <v>956</v>
      </c>
      <c r="C957" s="13">
        <f t="shared" si="14"/>
        <v>7.2257644440240354E-3</v>
      </c>
    </row>
    <row r="958" spans="1:3" x14ac:dyDescent="0.35">
      <c r="A958" s="13">
        <v>3.825216029995325E-4</v>
      </c>
      <c r="B958" s="2">
        <v>957</v>
      </c>
      <c r="C958" s="13">
        <f t="shared" si="14"/>
        <v>7.2615999243122306E-3</v>
      </c>
    </row>
    <row r="959" spans="1:3" x14ac:dyDescent="0.35">
      <c r="A959" s="13">
        <v>5.5543096653599966E-3</v>
      </c>
      <c r="B959" s="2">
        <v>958</v>
      </c>
      <c r="C959" s="13">
        <f t="shared" si="14"/>
        <v>7.2788835873621362E-3</v>
      </c>
    </row>
    <row r="960" spans="1:3" x14ac:dyDescent="0.35">
      <c r="A960" s="13">
        <v>3.9984713669808675E-3</v>
      </c>
      <c r="B960" s="2">
        <v>959</v>
      </c>
      <c r="C960" s="13">
        <f t="shared" si="14"/>
        <v>7.3244871014266589E-3</v>
      </c>
    </row>
    <row r="961" spans="1:3" x14ac:dyDescent="0.35">
      <c r="A961" s="13">
        <v>-1.7833133433666807E-3</v>
      </c>
      <c r="B961" s="2">
        <v>960</v>
      </c>
      <c r="C961" s="13">
        <f t="shared" si="14"/>
        <v>7.3631062264308258E-3</v>
      </c>
    </row>
    <row r="962" spans="1:3" x14ac:dyDescent="0.35">
      <c r="A962" s="13">
        <v>-2.7042772020888194E-3</v>
      </c>
      <c r="B962" s="2">
        <v>961</v>
      </c>
      <c r="C962" s="13">
        <f t="shared" si="14"/>
        <v>7.3645289916265556E-3</v>
      </c>
    </row>
    <row r="963" spans="1:3" x14ac:dyDescent="0.35">
      <c r="A963" s="13">
        <v>6.7237457245596707E-3</v>
      </c>
      <c r="B963" s="2">
        <v>962</v>
      </c>
      <c r="C963" s="13">
        <f t="shared" ref="C963:C1026" si="15">+SMALL($A$2:$A$1256,B963)</f>
        <v>7.4303866206485852E-3</v>
      </c>
    </row>
    <row r="964" spans="1:3" x14ac:dyDescent="0.35">
      <c r="A964" s="13">
        <v>5.8279702146150905E-3</v>
      </c>
      <c r="B964" s="2">
        <v>963</v>
      </c>
      <c r="C964" s="13">
        <f t="shared" si="15"/>
        <v>7.4371886175425683E-3</v>
      </c>
    </row>
    <row r="965" spans="1:3" x14ac:dyDescent="0.35">
      <c r="A965" s="13">
        <v>2.3050442648634832E-3</v>
      </c>
      <c r="B965" s="2">
        <v>964</v>
      </c>
      <c r="C965" s="13">
        <f t="shared" si="15"/>
        <v>7.4506214127899517E-3</v>
      </c>
    </row>
    <row r="966" spans="1:3" x14ac:dyDescent="0.35">
      <c r="A966" s="13">
        <v>-1.4673094507522324E-3</v>
      </c>
      <c r="B966" s="2">
        <v>965</v>
      </c>
      <c r="C966" s="13">
        <f t="shared" si="15"/>
        <v>7.461763736389326E-3</v>
      </c>
    </row>
    <row r="967" spans="1:3" x14ac:dyDescent="0.35">
      <c r="A967" s="13">
        <v>6.201991975576822E-3</v>
      </c>
      <c r="B967" s="2">
        <v>966</v>
      </c>
      <c r="C967" s="13">
        <f t="shared" si="15"/>
        <v>7.4710375451613169E-3</v>
      </c>
    </row>
    <row r="968" spans="1:3" x14ac:dyDescent="0.35">
      <c r="A968" s="13">
        <v>9.4593496358615463E-3</v>
      </c>
      <c r="B968" s="2">
        <v>967</v>
      </c>
      <c r="C968" s="13">
        <f t="shared" si="15"/>
        <v>7.4742251429450422E-3</v>
      </c>
    </row>
    <row r="969" spans="1:3" x14ac:dyDescent="0.35">
      <c r="A969" s="13">
        <v>-1.4701509745978697E-2</v>
      </c>
      <c r="B969" s="2">
        <v>968</v>
      </c>
      <c r="C969" s="13">
        <f t="shared" si="15"/>
        <v>7.4748171453035139E-3</v>
      </c>
    </row>
    <row r="970" spans="1:3" x14ac:dyDescent="0.35">
      <c r="A970" s="13">
        <v>1.8982354123656901E-4</v>
      </c>
      <c r="B970" s="2">
        <v>969</v>
      </c>
      <c r="C970" s="13">
        <f t="shared" si="15"/>
        <v>7.50276560040407E-3</v>
      </c>
    </row>
    <row r="971" spans="1:3" x14ac:dyDescent="0.35">
      <c r="A971" s="13">
        <v>-4.5647122653734596E-3</v>
      </c>
      <c r="B971" s="2">
        <v>970</v>
      </c>
      <c r="C971" s="13">
        <f t="shared" si="15"/>
        <v>7.5071568677210088E-3</v>
      </c>
    </row>
    <row r="972" spans="1:3" x14ac:dyDescent="0.35">
      <c r="A972" s="13">
        <v>-1.3804596767208143E-2</v>
      </c>
      <c r="B972" s="2">
        <v>971</v>
      </c>
      <c r="C972" s="13">
        <f t="shared" si="15"/>
        <v>7.5087170641826087E-3</v>
      </c>
    </row>
    <row r="973" spans="1:3" x14ac:dyDescent="0.35">
      <c r="A973" s="13">
        <v>1.5080602069169594E-2</v>
      </c>
      <c r="B973" s="2">
        <v>972</v>
      </c>
      <c r="C973" s="13">
        <f t="shared" si="15"/>
        <v>7.5364135514348471E-3</v>
      </c>
    </row>
    <row r="974" spans="1:3" x14ac:dyDescent="0.35">
      <c r="A974" s="13">
        <v>5.4126835790292253E-3</v>
      </c>
      <c r="B974" s="2">
        <v>973</v>
      </c>
      <c r="C974" s="13">
        <f t="shared" si="15"/>
        <v>7.5544237325095662E-3</v>
      </c>
    </row>
    <row r="975" spans="1:3" x14ac:dyDescent="0.35">
      <c r="A975" s="13">
        <v>1.6463102868605653E-2</v>
      </c>
      <c r="B975" s="2">
        <v>974</v>
      </c>
      <c r="C975" s="13">
        <f t="shared" si="15"/>
        <v>7.5709960922091223E-3</v>
      </c>
    </row>
    <row r="976" spans="1:3" x14ac:dyDescent="0.35">
      <c r="A976" s="13">
        <v>8.9391344416322981E-3</v>
      </c>
      <c r="B976" s="2">
        <v>975</v>
      </c>
      <c r="C976" s="13">
        <f t="shared" si="15"/>
        <v>7.590808121560268E-3</v>
      </c>
    </row>
    <row r="977" spans="1:3" x14ac:dyDescent="0.35">
      <c r="A977" s="13">
        <v>1.371164985599921E-2</v>
      </c>
      <c r="B977" s="2">
        <v>976</v>
      </c>
      <c r="C977" s="13">
        <f t="shared" si="15"/>
        <v>7.662927289411545E-3</v>
      </c>
    </row>
    <row r="978" spans="1:3" x14ac:dyDescent="0.35">
      <c r="A978" s="13">
        <v>6.0204937691487118E-3</v>
      </c>
      <c r="B978" s="2">
        <v>977</v>
      </c>
      <c r="C978" s="13">
        <f t="shared" si="15"/>
        <v>7.693423348754001E-3</v>
      </c>
    </row>
    <row r="979" spans="1:3" x14ac:dyDescent="0.35">
      <c r="A979" s="13">
        <v>-2.0686037146587059E-3</v>
      </c>
      <c r="B979" s="2">
        <v>978</v>
      </c>
      <c r="C979" s="13">
        <f t="shared" si="15"/>
        <v>7.7065381257479361E-3</v>
      </c>
    </row>
    <row r="980" spans="1:3" x14ac:dyDescent="0.35">
      <c r="A980" s="13">
        <v>-7.7084601200301994E-4</v>
      </c>
      <c r="B980" s="2">
        <v>979</v>
      </c>
      <c r="C980" s="13">
        <f t="shared" si="15"/>
        <v>7.7229399376737753E-3</v>
      </c>
    </row>
    <row r="981" spans="1:3" x14ac:dyDescent="0.35">
      <c r="A981" s="13">
        <v>1.1936277021432573E-2</v>
      </c>
      <c r="B981" s="2">
        <v>980</v>
      </c>
      <c r="C981" s="13">
        <f t="shared" si="15"/>
        <v>7.7653122714164743E-3</v>
      </c>
    </row>
    <row r="982" spans="1:3" x14ac:dyDescent="0.35">
      <c r="A982" s="13">
        <v>4.8590306593622856E-3</v>
      </c>
      <c r="B982" s="2">
        <v>981</v>
      </c>
      <c r="C982" s="13">
        <f t="shared" si="15"/>
        <v>7.7843640474637007E-3</v>
      </c>
    </row>
    <row r="983" spans="1:3" x14ac:dyDescent="0.35">
      <c r="A983" s="13">
        <v>6.4392234707252903E-3</v>
      </c>
      <c r="B983" s="2">
        <v>982</v>
      </c>
      <c r="C983" s="13">
        <f t="shared" si="15"/>
        <v>7.8353297557080415E-3</v>
      </c>
    </row>
    <row r="984" spans="1:3" x14ac:dyDescent="0.35">
      <c r="A984" s="13">
        <v>6.1221178397286779E-3</v>
      </c>
      <c r="B984" s="2">
        <v>983</v>
      </c>
      <c r="C984" s="13">
        <f t="shared" si="15"/>
        <v>7.8449504885203282E-3</v>
      </c>
    </row>
    <row r="985" spans="1:3" x14ac:dyDescent="0.35">
      <c r="A985" s="13">
        <v>-1.1484683006462645E-4</v>
      </c>
      <c r="B985" s="2">
        <v>984</v>
      </c>
      <c r="C985" s="13">
        <f t="shared" si="15"/>
        <v>7.8508941160479028E-3</v>
      </c>
    </row>
    <row r="986" spans="1:3" x14ac:dyDescent="0.35">
      <c r="A986" s="13">
        <v>5.5543710462921834E-3</v>
      </c>
      <c r="B986" s="2">
        <v>985</v>
      </c>
      <c r="C986" s="13">
        <f t="shared" si="15"/>
        <v>7.866342215586573E-3</v>
      </c>
    </row>
    <row r="987" spans="1:3" x14ac:dyDescent="0.35">
      <c r="A987" s="13">
        <v>-2.4932546374880717E-3</v>
      </c>
      <c r="B987" s="2">
        <v>986</v>
      </c>
      <c r="C987" s="13">
        <f t="shared" si="15"/>
        <v>7.9450413371960904E-3</v>
      </c>
    </row>
    <row r="988" spans="1:3" x14ac:dyDescent="0.35">
      <c r="A988" s="13">
        <v>3.8760561035616377E-3</v>
      </c>
      <c r="B988" s="2">
        <v>987</v>
      </c>
      <c r="C988" s="13">
        <f t="shared" si="15"/>
        <v>7.9958717231378637E-3</v>
      </c>
    </row>
    <row r="989" spans="1:3" x14ac:dyDescent="0.35">
      <c r="A989" s="13">
        <v>-5.1041161361421433E-3</v>
      </c>
      <c r="B989" s="2">
        <v>988</v>
      </c>
      <c r="C989" s="13">
        <f t="shared" si="15"/>
        <v>8.0425737835418017E-3</v>
      </c>
    </row>
    <row r="990" spans="1:3" x14ac:dyDescent="0.35">
      <c r="A990" s="13">
        <v>-6.2990074065911723E-4</v>
      </c>
      <c r="B990" s="2">
        <v>989</v>
      </c>
      <c r="C990" s="13">
        <f t="shared" si="15"/>
        <v>8.0661541796881731E-3</v>
      </c>
    </row>
    <row r="991" spans="1:3" x14ac:dyDescent="0.35">
      <c r="A991" s="13">
        <v>6.0635131719812647E-4</v>
      </c>
      <c r="B991" s="2">
        <v>990</v>
      </c>
      <c r="C991" s="13">
        <f t="shared" si="15"/>
        <v>8.0723631059730731E-3</v>
      </c>
    </row>
    <row r="992" spans="1:3" x14ac:dyDescent="0.35">
      <c r="A992" s="13">
        <v>1.3203939867763165E-2</v>
      </c>
      <c r="B992" s="2">
        <v>991</v>
      </c>
      <c r="C992" s="13">
        <f t="shared" si="15"/>
        <v>8.0732690273696769E-3</v>
      </c>
    </row>
    <row r="993" spans="1:3" x14ac:dyDescent="0.35">
      <c r="A993" s="13">
        <v>-6.9271742376501881E-3</v>
      </c>
      <c r="B993" s="2">
        <v>992</v>
      </c>
      <c r="C993" s="13">
        <f t="shared" si="15"/>
        <v>8.1062792199456755E-3</v>
      </c>
    </row>
    <row r="994" spans="1:3" x14ac:dyDescent="0.35">
      <c r="A994" s="13">
        <v>-2.394162095740001E-3</v>
      </c>
      <c r="B994" s="2">
        <v>993</v>
      </c>
      <c r="C994" s="13">
        <f t="shared" si="15"/>
        <v>8.1268596721475982E-3</v>
      </c>
    </row>
    <row r="995" spans="1:3" x14ac:dyDescent="0.35">
      <c r="A995" s="13">
        <v>1.4943048902263273E-2</v>
      </c>
      <c r="B995" s="2">
        <v>994</v>
      </c>
      <c r="C995" s="13">
        <f t="shared" si="15"/>
        <v>8.153417999240558E-3</v>
      </c>
    </row>
    <row r="996" spans="1:3" x14ac:dyDescent="0.35">
      <c r="A996" s="13">
        <v>-4.7188274466528389E-3</v>
      </c>
      <c r="B996" s="2">
        <v>995</v>
      </c>
      <c r="C996" s="13">
        <f t="shared" si="15"/>
        <v>8.1539058660006145E-3</v>
      </c>
    </row>
    <row r="997" spans="1:3" x14ac:dyDescent="0.35">
      <c r="A997" s="13">
        <v>8.178997811916517E-3</v>
      </c>
      <c r="B997" s="2">
        <v>996</v>
      </c>
      <c r="C997" s="13">
        <f t="shared" si="15"/>
        <v>8.178997811916517E-3</v>
      </c>
    </row>
    <row r="998" spans="1:3" x14ac:dyDescent="0.35">
      <c r="A998" s="13">
        <v>6.6217591019158799E-4</v>
      </c>
      <c r="B998" s="2">
        <v>997</v>
      </c>
      <c r="C998" s="13">
        <f t="shared" si="15"/>
        <v>8.2453789678675234E-3</v>
      </c>
    </row>
    <row r="999" spans="1:3" x14ac:dyDescent="0.35">
      <c r="A999" s="13">
        <v>-1.0507990794071899E-3</v>
      </c>
      <c r="B999" s="2">
        <v>998</v>
      </c>
      <c r="C999" s="13">
        <f t="shared" si="15"/>
        <v>8.263004848217289E-3</v>
      </c>
    </row>
    <row r="1000" spans="1:3" x14ac:dyDescent="0.35">
      <c r="A1000" s="13">
        <v>4.2923370156062535E-3</v>
      </c>
      <c r="B1000" s="2">
        <v>999</v>
      </c>
      <c r="C1000" s="13">
        <f t="shared" si="15"/>
        <v>8.3659664991112773E-3</v>
      </c>
    </row>
    <row r="1001" spans="1:3" x14ac:dyDescent="0.35">
      <c r="A1001" s="13">
        <v>1.5413973432622692E-3</v>
      </c>
      <c r="B1001" s="2">
        <v>1000</v>
      </c>
      <c r="C1001" s="13">
        <f t="shared" si="15"/>
        <v>8.398623248002484E-3</v>
      </c>
    </row>
    <row r="1002" spans="1:3" x14ac:dyDescent="0.35">
      <c r="A1002" s="13">
        <v>-5.4888147653622925E-3</v>
      </c>
      <c r="B1002" s="2">
        <v>1001</v>
      </c>
      <c r="C1002" s="13">
        <f t="shared" si="15"/>
        <v>8.4434722890612789E-3</v>
      </c>
    </row>
    <row r="1003" spans="1:3" x14ac:dyDescent="0.35">
      <c r="A1003" s="13">
        <v>-7.3710272519863403E-3</v>
      </c>
      <c r="B1003" s="2">
        <v>1002</v>
      </c>
      <c r="C1003" s="13">
        <f t="shared" si="15"/>
        <v>8.54339618551315E-3</v>
      </c>
    </row>
    <row r="1004" spans="1:3" x14ac:dyDescent="0.35">
      <c r="A1004" s="13">
        <v>7.1396600675022832E-3</v>
      </c>
      <c r="B1004" s="2">
        <v>1003</v>
      </c>
      <c r="C1004" s="13">
        <f t="shared" si="15"/>
        <v>8.5446250458444742E-3</v>
      </c>
    </row>
    <row r="1005" spans="1:3" x14ac:dyDescent="0.35">
      <c r="A1005" s="13">
        <v>1.033188768284186E-3</v>
      </c>
      <c r="B1005" s="2">
        <v>1004</v>
      </c>
      <c r="C1005" s="13">
        <f t="shared" si="15"/>
        <v>8.5944777420478811E-3</v>
      </c>
    </row>
    <row r="1006" spans="1:3" x14ac:dyDescent="0.35">
      <c r="A1006" s="13">
        <v>-1.7819289831276692E-2</v>
      </c>
      <c r="B1006" s="2">
        <v>1005</v>
      </c>
      <c r="C1006" s="13">
        <f t="shared" si="15"/>
        <v>8.6062882211798628E-3</v>
      </c>
    </row>
    <row r="1007" spans="1:3" x14ac:dyDescent="0.35">
      <c r="A1007" s="13">
        <v>-7.3421344001421245E-3</v>
      </c>
      <c r="B1007" s="2">
        <v>1006</v>
      </c>
      <c r="C1007" s="13">
        <f t="shared" si="15"/>
        <v>8.6357900757527712E-3</v>
      </c>
    </row>
    <row r="1008" spans="1:3" x14ac:dyDescent="0.35">
      <c r="A1008" s="13">
        <v>2.9058463998435933E-3</v>
      </c>
      <c r="B1008" s="2">
        <v>1007</v>
      </c>
      <c r="C1008" s="13">
        <f t="shared" si="15"/>
        <v>8.7006070753117958E-3</v>
      </c>
    </row>
    <row r="1009" spans="1:3" x14ac:dyDescent="0.35">
      <c r="A1009" s="13">
        <v>-6.3805024097355976E-3</v>
      </c>
      <c r="B1009" s="2">
        <v>1008</v>
      </c>
      <c r="C1009" s="13">
        <f t="shared" si="15"/>
        <v>8.7029010355362969E-3</v>
      </c>
    </row>
    <row r="1010" spans="1:3" x14ac:dyDescent="0.35">
      <c r="A1010" s="13">
        <v>-8.9113872796176448E-3</v>
      </c>
      <c r="B1010" s="2">
        <v>1009</v>
      </c>
      <c r="C1010" s="13">
        <f t="shared" si="15"/>
        <v>8.7415114820294272E-3</v>
      </c>
    </row>
    <row r="1011" spans="1:3" x14ac:dyDescent="0.35">
      <c r="A1011" s="13">
        <v>-8.6038975107362511E-3</v>
      </c>
      <c r="B1011" s="2">
        <v>1010</v>
      </c>
      <c r="C1011" s="13">
        <f t="shared" si="15"/>
        <v>8.7468684988038503E-3</v>
      </c>
    </row>
    <row r="1012" spans="1:3" x14ac:dyDescent="0.35">
      <c r="A1012" s="13">
        <v>7.4742251429450422E-3</v>
      </c>
      <c r="B1012" s="2">
        <v>1011</v>
      </c>
      <c r="C1012" s="13">
        <f t="shared" si="15"/>
        <v>8.764859494863898E-3</v>
      </c>
    </row>
    <row r="1013" spans="1:3" x14ac:dyDescent="0.35">
      <c r="A1013" s="13">
        <v>-5.6428495671620562E-3</v>
      </c>
      <c r="B1013" s="2">
        <v>1012</v>
      </c>
      <c r="C1013" s="13">
        <f t="shared" si="15"/>
        <v>8.7830558972131403E-3</v>
      </c>
    </row>
    <row r="1014" spans="1:3" x14ac:dyDescent="0.35">
      <c r="A1014" s="13">
        <v>1.32153931342033E-2</v>
      </c>
      <c r="B1014" s="2">
        <v>1013</v>
      </c>
      <c r="C1014" s="13">
        <f t="shared" si="15"/>
        <v>8.8160083720415991E-3</v>
      </c>
    </row>
    <row r="1015" spans="1:3" x14ac:dyDescent="0.35">
      <c r="A1015" s="13">
        <v>3.856320934187564E-2</v>
      </c>
      <c r="B1015" s="2">
        <v>1014</v>
      </c>
      <c r="C1015" s="13">
        <f t="shared" si="15"/>
        <v>8.8166189840550181E-3</v>
      </c>
    </row>
    <row r="1016" spans="1:3" x14ac:dyDescent="0.35">
      <c r="A1016" s="13">
        <v>-6.027949189812698E-3</v>
      </c>
      <c r="B1016" s="2">
        <v>1015</v>
      </c>
      <c r="C1016" s="13">
        <f t="shared" si="15"/>
        <v>8.8274078291046172E-3</v>
      </c>
    </row>
    <row r="1017" spans="1:3" x14ac:dyDescent="0.35">
      <c r="A1017" s="13">
        <v>-3.9513010333789168E-3</v>
      </c>
      <c r="B1017" s="2">
        <v>1016</v>
      </c>
      <c r="C1017" s="13">
        <f t="shared" si="15"/>
        <v>8.8994750832111329E-3</v>
      </c>
    </row>
    <row r="1018" spans="1:3" x14ac:dyDescent="0.35">
      <c r="A1018" s="13">
        <v>1.6486572731617894E-3</v>
      </c>
      <c r="B1018" s="2">
        <v>1017</v>
      </c>
      <c r="C1018" s="13">
        <f t="shared" si="15"/>
        <v>8.9391344416322981E-3</v>
      </c>
    </row>
    <row r="1019" spans="1:3" x14ac:dyDescent="0.35">
      <c r="A1019" s="13">
        <v>-4.1893177235697264E-3</v>
      </c>
      <c r="B1019" s="2">
        <v>1018</v>
      </c>
      <c r="C1019" s="13">
        <f t="shared" si="15"/>
        <v>8.9666532187371254E-3</v>
      </c>
    </row>
    <row r="1020" spans="1:3" x14ac:dyDescent="0.35">
      <c r="A1020" s="13">
        <v>-1.0185115232554682E-3</v>
      </c>
      <c r="B1020" s="2">
        <v>1019</v>
      </c>
      <c r="C1020" s="13">
        <f t="shared" si="15"/>
        <v>8.9696926705689264E-3</v>
      </c>
    </row>
    <row r="1021" spans="1:3" x14ac:dyDescent="0.35">
      <c r="A1021" s="13">
        <v>-4.0871226927426691E-3</v>
      </c>
      <c r="B1021" s="2">
        <v>1020</v>
      </c>
      <c r="C1021" s="13">
        <f t="shared" si="15"/>
        <v>8.9715364647387948E-3</v>
      </c>
    </row>
    <row r="1022" spans="1:3" x14ac:dyDescent="0.35">
      <c r="A1022" s="13">
        <v>-1.2108411106218447E-2</v>
      </c>
      <c r="B1022" s="2">
        <v>1021</v>
      </c>
      <c r="C1022" s="13">
        <f t="shared" si="15"/>
        <v>8.9780894418701428E-3</v>
      </c>
    </row>
    <row r="1023" spans="1:3" x14ac:dyDescent="0.35">
      <c r="A1023" s="13">
        <v>3.2358685569366719E-3</v>
      </c>
      <c r="B1023" s="2">
        <v>1022</v>
      </c>
      <c r="C1023" s="13">
        <f t="shared" si="15"/>
        <v>8.988033899191207E-3</v>
      </c>
    </row>
    <row r="1024" spans="1:3" x14ac:dyDescent="0.35">
      <c r="A1024" s="13">
        <v>9.2998066213346355E-3</v>
      </c>
      <c r="B1024" s="2">
        <v>1023</v>
      </c>
      <c r="C1024" s="13">
        <f t="shared" si="15"/>
        <v>9.0350194945443933E-3</v>
      </c>
    </row>
    <row r="1025" spans="1:3" x14ac:dyDescent="0.35">
      <c r="A1025" s="13">
        <v>7.50276560040407E-3</v>
      </c>
      <c r="B1025" s="2">
        <v>1024</v>
      </c>
      <c r="C1025" s="13">
        <f t="shared" si="15"/>
        <v>9.151517504845004E-3</v>
      </c>
    </row>
    <row r="1026" spans="1:3" x14ac:dyDescent="0.35">
      <c r="A1026" s="13">
        <v>1.9359336758078185E-2</v>
      </c>
      <c r="B1026" s="2">
        <v>1025</v>
      </c>
      <c r="C1026" s="13">
        <f t="shared" si="15"/>
        <v>9.159798498870355E-3</v>
      </c>
    </row>
    <row r="1027" spans="1:3" x14ac:dyDescent="0.35">
      <c r="A1027" s="13">
        <v>1.6187863868027667E-2</v>
      </c>
      <c r="B1027" s="2">
        <v>1026</v>
      </c>
      <c r="C1027" s="13">
        <f t="shared" ref="C1027:C1090" si="16">+SMALL($A$2:$A$1256,B1027)</f>
        <v>9.1908351222152601E-3</v>
      </c>
    </row>
    <row r="1028" spans="1:3" x14ac:dyDescent="0.35">
      <c r="A1028" s="13">
        <v>8.1539058660006145E-3</v>
      </c>
      <c r="B1028" s="2">
        <v>1027</v>
      </c>
      <c r="C1028" s="13">
        <f t="shared" si="16"/>
        <v>9.2054071240641761E-3</v>
      </c>
    </row>
    <row r="1029" spans="1:3" x14ac:dyDescent="0.35">
      <c r="A1029" s="13">
        <v>1.1997750199928331E-2</v>
      </c>
      <c r="B1029" s="2">
        <v>1028</v>
      </c>
      <c r="C1029" s="13">
        <f t="shared" si="16"/>
        <v>9.2217287443588734E-3</v>
      </c>
    </row>
    <row r="1030" spans="1:3" x14ac:dyDescent="0.35">
      <c r="A1030" s="13">
        <v>-5.0729777138189859E-3</v>
      </c>
      <c r="B1030" s="2">
        <v>1029</v>
      </c>
      <c r="C1030" s="13">
        <f t="shared" si="16"/>
        <v>9.270683810136307E-3</v>
      </c>
    </row>
    <row r="1031" spans="1:3" x14ac:dyDescent="0.35">
      <c r="A1031" s="13">
        <v>3.5451673205258646E-3</v>
      </c>
      <c r="B1031" s="2">
        <v>1030</v>
      </c>
      <c r="C1031" s="13">
        <f t="shared" si="16"/>
        <v>9.2771026701593366E-3</v>
      </c>
    </row>
    <row r="1032" spans="1:3" x14ac:dyDescent="0.35">
      <c r="A1032" s="13">
        <v>-2.5592180144369601E-4</v>
      </c>
      <c r="B1032" s="2">
        <v>1031</v>
      </c>
      <c r="C1032" s="13">
        <f t="shared" si="16"/>
        <v>9.2819927648770603E-3</v>
      </c>
    </row>
    <row r="1033" spans="1:3" x14ac:dyDescent="0.35">
      <c r="A1033" s="13">
        <v>2.6474910438355559E-3</v>
      </c>
      <c r="B1033" s="2">
        <v>1032</v>
      </c>
      <c r="C1033" s="13">
        <f t="shared" si="16"/>
        <v>9.2828594803647628E-3</v>
      </c>
    </row>
    <row r="1034" spans="1:3" x14ac:dyDescent="0.35">
      <c r="A1034" s="13">
        <v>1.005665575132189E-2</v>
      </c>
      <c r="B1034" s="2">
        <v>1033</v>
      </c>
      <c r="C1034" s="13">
        <f t="shared" si="16"/>
        <v>9.2998066213346355E-3</v>
      </c>
    </row>
    <row r="1035" spans="1:3" x14ac:dyDescent="0.35">
      <c r="A1035" s="13">
        <v>1.900967086042267E-3</v>
      </c>
      <c r="B1035" s="2">
        <v>1034</v>
      </c>
      <c r="C1035" s="13">
        <f t="shared" si="16"/>
        <v>9.3319594839746476E-3</v>
      </c>
    </row>
    <row r="1036" spans="1:3" x14ac:dyDescent="0.35">
      <c r="A1036" s="13">
        <v>7.3244871014266589E-3</v>
      </c>
      <c r="B1036" s="2">
        <v>1035</v>
      </c>
      <c r="C1036" s="13">
        <f t="shared" si="16"/>
        <v>9.427861355742256E-3</v>
      </c>
    </row>
    <row r="1037" spans="1:3" x14ac:dyDescent="0.35">
      <c r="A1037" s="13">
        <v>-1.5663653741581532E-2</v>
      </c>
      <c r="B1037" s="2">
        <v>1036</v>
      </c>
      <c r="C1037" s="13">
        <f t="shared" si="16"/>
        <v>9.4393022725788294E-3</v>
      </c>
    </row>
    <row r="1038" spans="1:3" x14ac:dyDescent="0.35">
      <c r="A1038" s="13">
        <v>1.7985806976756925E-3</v>
      </c>
      <c r="B1038" s="2">
        <v>1037</v>
      </c>
      <c r="C1038" s="13">
        <f t="shared" si="16"/>
        <v>9.4593496358615463E-3</v>
      </c>
    </row>
    <row r="1039" spans="1:3" x14ac:dyDescent="0.35">
      <c r="A1039" s="13">
        <v>1.2046891560681234E-3</v>
      </c>
      <c r="B1039" s="2">
        <v>1038</v>
      </c>
      <c r="C1039" s="13">
        <f t="shared" si="16"/>
        <v>9.4641446652137546E-3</v>
      </c>
    </row>
    <row r="1040" spans="1:3" x14ac:dyDescent="0.35">
      <c r="A1040" s="13">
        <v>-4.1586881311090201E-3</v>
      </c>
      <c r="B1040" s="2">
        <v>1039</v>
      </c>
      <c r="C1040" s="13">
        <f t="shared" si="16"/>
        <v>9.5171140632345323E-3</v>
      </c>
    </row>
    <row r="1041" spans="1:3" x14ac:dyDescent="0.35">
      <c r="A1041" s="13">
        <v>-9.7059304803738067E-4</v>
      </c>
      <c r="B1041" s="2">
        <v>1040</v>
      </c>
      <c r="C1041" s="13">
        <f t="shared" si="16"/>
        <v>9.5742668489344051E-3</v>
      </c>
    </row>
    <row r="1042" spans="1:3" x14ac:dyDescent="0.35">
      <c r="A1042" s="13">
        <v>1.2415398772716703E-3</v>
      </c>
      <c r="B1042" s="2">
        <v>1041</v>
      </c>
      <c r="C1042" s="13">
        <f t="shared" si="16"/>
        <v>9.6011354564504246E-3</v>
      </c>
    </row>
    <row r="1043" spans="1:3" x14ac:dyDescent="0.35">
      <c r="A1043" s="13">
        <v>-1.0662122150472493E-3</v>
      </c>
      <c r="B1043" s="2">
        <v>1042</v>
      </c>
      <c r="C1043" s="13">
        <f t="shared" si="16"/>
        <v>9.619175573702482E-3</v>
      </c>
    </row>
    <row r="1044" spans="1:3" x14ac:dyDescent="0.35">
      <c r="A1044" s="13">
        <v>-3.4214468533532036E-2</v>
      </c>
      <c r="B1044" s="2">
        <v>1043</v>
      </c>
      <c r="C1044" s="13">
        <f t="shared" si="16"/>
        <v>9.6420607539524951E-3</v>
      </c>
    </row>
    <row r="1045" spans="1:3" x14ac:dyDescent="0.35">
      <c r="A1045" s="13">
        <v>6.1045777481273196E-3</v>
      </c>
      <c r="B1045" s="2">
        <v>1044</v>
      </c>
      <c r="C1045" s="13">
        <f t="shared" si="16"/>
        <v>9.6612573942883133E-3</v>
      </c>
    </row>
    <row r="1046" spans="1:3" x14ac:dyDescent="0.35">
      <c r="A1046" s="13">
        <v>2.7336474094686878E-3</v>
      </c>
      <c r="B1046" s="2">
        <v>1045</v>
      </c>
      <c r="C1046" s="13">
        <f t="shared" si="16"/>
        <v>9.6821004207141639E-3</v>
      </c>
    </row>
    <row r="1047" spans="1:3" x14ac:dyDescent="0.35">
      <c r="A1047" s="13">
        <v>-6.9782364633414837E-3</v>
      </c>
      <c r="B1047" s="2">
        <v>1046</v>
      </c>
      <c r="C1047" s="13">
        <f t="shared" si="16"/>
        <v>9.6826649979139361E-3</v>
      </c>
    </row>
    <row r="1048" spans="1:3" x14ac:dyDescent="0.35">
      <c r="A1048" s="13">
        <v>1.415983179261584E-2</v>
      </c>
      <c r="B1048" s="2">
        <v>1047</v>
      </c>
      <c r="C1048" s="13">
        <f t="shared" si="16"/>
        <v>9.7000785766303346E-3</v>
      </c>
    </row>
    <row r="1049" spans="1:3" x14ac:dyDescent="0.35">
      <c r="A1049" s="13">
        <v>5.9518939303175155E-4</v>
      </c>
      <c r="B1049" s="2">
        <v>1048</v>
      </c>
      <c r="C1049" s="13">
        <f t="shared" si="16"/>
        <v>9.7185028145509236E-3</v>
      </c>
    </row>
    <row r="1050" spans="1:3" x14ac:dyDescent="0.35">
      <c r="A1050" s="13">
        <v>-1.0614876614779958E-2</v>
      </c>
      <c r="B1050" s="2">
        <v>1049</v>
      </c>
      <c r="C1050" s="13">
        <f t="shared" si="16"/>
        <v>9.7408048149931481E-3</v>
      </c>
    </row>
    <row r="1051" spans="1:3" x14ac:dyDescent="0.35">
      <c r="A1051" s="13">
        <v>-1.0860987588651557E-2</v>
      </c>
      <c r="B1051" s="2">
        <v>1050</v>
      </c>
      <c r="C1051" s="13">
        <f t="shared" si="16"/>
        <v>9.7632101078465022E-3</v>
      </c>
    </row>
    <row r="1052" spans="1:3" x14ac:dyDescent="0.35">
      <c r="A1052" s="13">
        <v>-2.6230616313853306E-3</v>
      </c>
      <c r="B1052" s="2">
        <v>1051</v>
      </c>
      <c r="C1052" s="13">
        <f t="shared" si="16"/>
        <v>9.7918342284300658E-3</v>
      </c>
    </row>
    <row r="1053" spans="1:3" x14ac:dyDescent="0.35">
      <c r="A1053" s="13">
        <v>-2.0302031431814627E-3</v>
      </c>
      <c r="B1053" s="2">
        <v>1052</v>
      </c>
      <c r="C1053" s="13">
        <f t="shared" si="16"/>
        <v>9.8257868977455459E-3</v>
      </c>
    </row>
    <row r="1054" spans="1:3" x14ac:dyDescent="0.35">
      <c r="A1054" s="13">
        <v>1.1807494938783187E-2</v>
      </c>
      <c r="B1054" s="2">
        <v>1053</v>
      </c>
      <c r="C1054" s="13">
        <f t="shared" si="16"/>
        <v>9.8347092580694066E-3</v>
      </c>
    </row>
    <row r="1055" spans="1:3" x14ac:dyDescent="0.35">
      <c r="A1055" s="13">
        <v>2.5330057307371631E-3</v>
      </c>
      <c r="B1055" s="2">
        <v>1054</v>
      </c>
      <c r="C1055" s="13">
        <f t="shared" si="16"/>
        <v>9.8349683628304492E-3</v>
      </c>
    </row>
    <row r="1056" spans="1:3" x14ac:dyDescent="0.35">
      <c r="A1056" s="13">
        <v>-2.1771748586194178E-3</v>
      </c>
      <c r="B1056" s="2">
        <v>1055</v>
      </c>
      <c r="C1056" s="13">
        <f t="shared" si="16"/>
        <v>9.848676561784217E-3</v>
      </c>
    </row>
    <row r="1057" spans="1:3" x14ac:dyDescent="0.35">
      <c r="A1057" s="13">
        <v>1.8280345959810198E-3</v>
      </c>
      <c r="B1057" s="2">
        <v>1056</v>
      </c>
      <c r="C1057" s="13">
        <f t="shared" si="16"/>
        <v>9.8658989684853315E-3</v>
      </c>
    </row>
    <row r="1058" spans="1:3" x14ac:dyDescent="0.35">
      <c r="A1058" s="13">
        <v>-1.3947892896714699E-2</v>
      </c>
      <c r="B1058" s="2">
        <v>1057</v>
      </c>
      <c r="C1058" s="13">
        <f t="shared" si="16"/>
        <v>9.9845729926441966E-3</v>
      </c>
    </row>
    <row r="1059" spans="1:3" x14ac:dyDescent="0.35">
      <c r="A1059" s="13">
        <v>9.5901206313980369E-4</v>
      </c>
      <c r="B1059" s="2">
        <v>1058</v>
      </c>
      <c r="C1059" s="13">
        <f t="shared" si="16"/>
        <v>1.005665575132189E-2</v>
      </c>
    </row>
    <row r="1060" spans="1:3" x14ac:dyDescent="0.35">
      <c r="A1060" s="13">
        <v>4.5489459891179746E-3</v>
      </c>
      <c r="B1060" s="2">
        <v>1059</v>
      </c>
      <c r="C1060" s="13">
        <f t="shared" si="16"/>
        <v>1.0145767777280171E-2</v>
      </c>
    </row>
    <row r="1061" spans="1:3" x14ac:dyDescent="0.35">
      <c r="A1061" s="13">
        <v>1.697443864247809E-2</v>
      </c>
      <c r="B1061" s="2">
        <v>1060</v>
      </c>
      <c r="C1061" s="13">
        <f t="shared" si="16"/>
        <v>1.016525263813545E-2</v>
      </c>
    </row>
    <row r="1062" spans="1:3" x14ac:dyDescent="0.35">
      <c r="A1062" s="13">
        <v>4.6714895088371833E-3</v>
      </c>
      <c r="B1062" s="2">
        <v>1061</v>
      </c>
      <c r="C1062" s="13">
        <f t="shared" si="16"/>
        <v>1.0174206113064944E-2</v>
      </c>
    </row>
    <row r="1063" spans="1:3" x14ac:dyDescent="0.35">
      <c r="A1063" s="13">
        <v>8.764859494863898E-3</v>
      </c>
      <c r="B1063" s="2">
        <v>1062</v>
      </c>
      <c r="C1063" s="13">
        <f t="shared" si="16"/>
        <v>1.0235859103433925E-2</v>
      </c>
    </row>
    <row r="1064" spans="1:3" x14ac:dyDescent="0.35">
      <c r="A1064" s="13">
        <v>1.071479190404992E-2</v>
      </c>
      <c r="B1064" s="2">
        <v>1063</v>
      </c>
      <c r="C1064" s="13">
        <f t="shared" si="16"/>
        <v>1.0330402119371298E-2</v>
      </c>
    </row>
    <row r="1065" spans="1:3" x14ac:dyDescent="0.35">
      <c r="A1065" s="13">
        <v>7.1584222997474649E-3</v>
      </c>
      <c r="B1065" s="2">
        <v>1064</v>
      </c>
      <c r="C1065" s="13">
        <f t="shared" si="16"/>
        <v>1.0341305482392397E-2</v>
      </c>
    </row>
    <row r="1066" spans="1:3" x14ac:dyDescent="0.35">
      <c r="A1066" s="13">
        <v>1.0894614642330354E-2</v>
      </c>
      <c r="B1066" s="2">
        <v>1065</v>
      </c>
      <c r="C1066" s="13">
        <f t="shared" si="16"/>
        <v>1.0349375130999851E-2</v>
      </c>
    </row>
    <row r="1067" spans="1:3" x14ac:dyDescent="0.35">
      <c r="A1067" s="13">
        <v>-2.2262600280755639E-3</v>
      </c>
      <c r="B1067" s="2">
        <v>1066</v>
      </c>
      <c r="C1067" s="13">
        <f t="shared" si="16"/>
        <v>1.0387437291639495E-2</v>
      </c>
    </row>
    <row r="1068" spans="1:3" x14ac:dyDescent="0.35">
      <c r="A1068" s="13">
        <v>-5.7842596419957941E-3</v>
      </c>
      <c r="B1068" s="2">
        <v>1067</v>
      </c>
      <c r="C1068" s="13">
        <f t="shared" si="16"/>
        <v>1.0389787831993201E-2</v>
      </c>
    </row>
    <row r="1069" spans="1:3" x14ac:dyDescent="0.35">
      <c r="A1069" s="13">
        <v>4.019924251943011E-3</v>
      </c>
      <c r="B1069" s="2">
        <v>1068</v>
      </c>
      <c r="C1069" s="13">
        <f t="shared" si="16"/>
        <v>1.0393865221524138E-2</v>
      </c>
    </row>
    <row r="1070" spans="1:3" x14ac:dyDescent="0.35">
      <c r="A1070" s="13">
        <v>2.7789135052546103E-3</v>
      </c>
      <c r="B1070" s="2">
        <v>1069</v>
      </c>
      <c r="C1070" s="13">
        <f t="shared" si="16"/>
        <v>1.0422372590907475E-2</v>
      </c>
    </row>
    <row r="1071" spans="1:3" x14ac:dyDescent="0.35">
      <c r="A1071" s="13">
        <v>2.4017938140306963E-2</v>
      </c>
      <c r="B1071" s="2">
        <v>1070</v>
      </c>
      <c r="C1071" s="13">
        <f t="shared" si="16"/>
        <v>1.0523869552609436E-2</v>
      </c>
    </row>
    <row r="1072" spans="1:3" x14ac:dyDescent="0.35">
      <c r="A1072" s="13">
        <v>-6.332427456781824E-3</v>
      </c>
      <c r="B1072" s="2">
        <v>1071</v>
      </c>
      <c r="C1072" s="13">
        <f t="shared" si="16"/>
        <v>1.0617981702171401E-2</v>
      </c>
    </row>
    <row r="1073" spans="1:3" x14ac:dyDescent="0.35">
      <c r="A1073" s="13">
        <v>2.0742448764885591E-3</v>
      </c>
      <c r="B1073" s="2">
        <v>1072</v>
      </c>
      <c r="C1073" s="13">
        <f t="shared" si="16"/>
        <v>1.071479190404992E-2</v>
      </c>
    </row>
    <row r="1074" spans="1:3" x14ac:dyDescent="0.35">
      <c r="A1074" s="13">
        <v>6.9464015424974476E-3</v>
      </c>
      <c r="B1074" s="2">
        <v>1073</v>
      </c>
      <c r="C1074" s="13">
        <f t="shared" si="16"/>
        <v>1.0743853193964814E-2</v>
      </c>
    </row>
    <row r="1075" spans="1:3" x14ac:dyDescent="0.35">
      <c r="A1075" s="13">
        <v>4.2665085118738242E-3</v>
      </c>
      <c r="B1075" s="2">
        <v>1074</v>
      </c>
      <c r="C1075" s="13">
        <f t="shared" si="16"/>
        <v>1.0748360070166916E-2</v>
      </c>
    </row>
    <row r="1076" spans="1:3" x14ac:dyDescent="0.35">
      <c r="A1076" s="13">
        <v>-5.6806487831605919E-3</v>
      </c>
      <c r="B1076" s="2">
        <v>1075</v>
      </c>
      <c r="C1076" s="13">
        <f t="shared" si="16"/>
        <v>1.0817353756938706E-2</v>
      </c>
    </row>
    <row r="1077" spans="1:3" x14ac:dyDescent="0.35">
      <c r="A1077" s="13">
        <v>-9.682394475868536E-3</v>
      </c>
      <c r="B1077" s="2">
        <v>1076</v>
      </c>
      <c r="C1077" s="13">
        <f t="shared" si="16"/>
        <v>1.082036301845204E-2</v>
      </c>
    </row>
    <row r="1078" spans="1:3" x14ac:dyDescent="0.35">
      <c r="A1078" s="13">
        <v>-2.8535266910113492E-3</v>
      </c>
      <c r="B1078" s="2">
        <v>1077</v>
      </c>
      <c r="C1078" s="13">
        <f t="shared" si="16"/>
        <v>1.0851008144998163E-2</v>
      </c>
    </row>
    <row r="1079" spans="1:3" x14ac:dyDescent="0.35">
      <c r="A1079" s="13">
        <v>3.8488888217644412E-3</v>
      </c>
      <c r="B1079" s="2">
        <v>1078</v>
      </c>
      <c r="C1079" s="13">
        <f t="shared" si="16"/>
        <v>1.0890521403027455E-2</v>
      </c>
    </row>
    <row r="1080" spans="1:3" x14ac:dyDescent="0.35">
      <c r="A1080" s="13">
        <v>-3.8819294086698351E-3</v>
      </c>
      <c r="B1080" s="2">
        <v>1079</v>
      </c>
      <c r="C1080" s="13">
        <f t="shared" si="16"/>
        <v>1.0894614642330354E-2</v>
      </c>
    </row>
    <row r="1081" spans="1:3" x14ac:dyDescent="0.35">
      <c r="A1081" s="13">
        <v>8.7415114820294272E-3</v>
      </c>
      <c r="B1081" s="2">
        <v>1080</v>
      </c>
      <c r="C1081" s="13">
        <f t="shared" si="16"/>
        <v>1.0906377839585587E-2</v>
      </c>
    </row>
    <row r="1082" spans="1:3" x14ac:dyDescent="0.35">
      <c r="A1082" s="13">
        <v>1.3827949938948366E-3</v>
      </c>
      <c r="B1082" s="2">
        <v>1081</v>
      </c>
      <c r="C1082" s="13">
        <f t="shared" si="16"/>
        <v>1.0931854716639773E-2</v>
      </c>
    </row>
    <row r="1083" spans="1:3" x14ac:dyDescent="0.35">
      <c r="A1083" s="13">
        <v>3.1816483609090692E-3</v>
      </c>
      <c r="B1083" s="2">
        <v>1082</v>
      </c>
      <c r="C1083" s="13">
        <f t="shared" si="16"/>
        <v>1.1011251754442668E-2</v>
      </c>
    </row>
    <row r="1084" spans="1:3" x14ac:dyDescent="0.35">
      <c r="A1084" s="13">
        <v>1.2350857872636832E-3</v>
      </c>
      <c r="B1084" s="2">
        <v>1083</v>
      </c>
      <c r="C1084" s="13">
        <f t="shared" si="16"/>
        <v>1.1071054568528381E-2</v>
      </c>
    </row>
    <row r="1085" spans="1:3" x14ac:dyDescent="0.35">
      <c r="A1085" s="13">
        <v>-1.9338485859612644E-2</v>
      </c>
      <c r="B1085" s="2">
        <v>1084</v>
      </c>
      <c r="C1085" s="13">
        <f t="shared" si="16"/>
        <v>1.1077395065144444E-2</v>
      </c>
    </row>
    <row r="1086" spans="1:3" x14ac:dyDescent="0.35">
      <c r="A1086" s="13">
        <v>-2.141956492757998E-2</v>
      </c>
      <c r="B1086" s="2">
        <v>1085</v>
      </c>
      <c r="C1086" s="13">
        <f t="shared" si="16"/>
        <v>1.1118187871568441E-2</v>
      </c>
    </row>
    <row r="1087" spans="1:3" x14ac:dyDescent="0.35">
      <c r="A1087" s="13">
        <v>-4.1195156387270485E-3</v>
      </c>
      <c r="B1087" s="2">
        <v>1086</v>
      </c>
      <c r="C1087" s="13">
        <f t="shared" si="16"/>
        <v>1.1191966577150379E-2</v>
      </c>
    </row>
    <row r="1088" spans="1:3" x14ac:dyDescent="0.35">
      <c r="A1088" s="13">
        <v>3.4853835607899309E-3</v>
      </c>
      <c r="B1088" s="2">
        <v>1087</v>
      </c>
      <c r="C1088" s="13">
        <f t="shared" si="16"/>
        <v>1.1275065445569233E-2</v>
      </c>
    </row>
    <row r="1089" spans="1:3" x14ac:dyDescent="0.35">
      <c r="A1089" s="13">
        <v>-2.8880841152825053E-3</v>
      </c>
      <c r="B1089" s="2">
        <v>1088</v>
      </c>
      <c r="C1089" s="13">
        <f t="shared" si="16"/>
        <v>1.1287406286770382E-2</v>
      </c>
    </row>
    <row r="1090" spans="1:3" x14ac:dyDescent="0.35">
      <c r="A1090" s="13">
        <v>-6.4483417082737181E-3</v>
      </c>
      <c r="B1090" s="2">
        <v>1089</v>
      </c>
      <c r="C1090" s="13">
        <f t="shared" si="16"/>
        <v>1.1303574810236271E-2</v>
      </c>
    </row>
    <row r="1091" spans="1:3" x14ac:dyDescent="0.35">
      <c r="A1091" s="13">
        <v>1.133042429446356E-2</v>
      </c>
      <c r="B1091" s="2">
        <v>1090</v>
      </c>
      <c r="C1091" s="13">
        <f t="shared" ref="C1091:C1154" si="17">+SMALL($A$2:$A$1256,B1091)</f>
        <v>1.133042429446356E-2</v>
      </c>
    </row>
    <row r="1092" spans="1:3" x14ac:dyDescent="0.35">
      <c r="A1092" s="13">
        <v>-1.7127814287331487E-2</v>
      </c>
      <c r="B1092" s="2">
        <v>1091</v>
      </c>
      <c r="C1092" s="13">
        <f t="shared" si="17"/>
        <v>1.1339433237210355E-2</v>
      </c>
    </row>
    <row r="1093" spans="1:3" x14ac:dyDescent="0.35">
      <c r="A1093" s="13">
        <v>-1.3193035444712479E-2</v>
      </c>
      <c r="B1093" s="2">
        <v>1092</v>
      </c>
      <c r="C1093" s="13">
        <f t="shared" si="17"/>
        <v>1.139427269721229E-2</v>
      </c>
    </row>
    <row r="1094" spans="1:3" x14ac:dyDescent="0.35">
      <c r="A1094" s="13">
        <v>1.139427269721229E-2</v>
      </c>
      <c r="B1094" s="2">
        <v>1093</v>
      </c>
      <c r="C1094" s="13">
        <f t="shared" si="17"/>
        <v>1.1399413227526117E-2</v>
      </c>
    </row>
    <row r="1095" spans="1:3" x14ac:dyDescent="0.35">
      <c r="A1095" s="13">
        <v>-1.19808758158524E-2</v>
      </c>
      <c r="B1095" s="2">
        <v>1094</v>
      </c>
      <c r="C1095" s="13">
        <f t="shared" si="17"/>
        <v>1.146644908025626E-2</v>
      </c>
    </row>
    <row r="1096" spans="1:3" x14ac:dyDescent="0.35">
      <c r="A1096" s="13">
        <v>8.9696926705689264E-3</v>
      </c>
      <c r="B1096" s="2">
        <v>1095</v>
      </c>
      <c r="C1096" s="13">
        <f t="shared" si="17"/>
        <v>1.1525278598211536E-2</v>
      </c>
    </row>
    <row r="1097" spans="1:3" x14ac:dyDescent="0.35">
      <c r="A1097" s="13">
        <v>-2.9883666821486621E-2</v>
      </c>
      <c r="B1097" s="2">
        <v>1096</v>
      </c>
      <c r="C1097" s="13">
        <f t="shared" si="17"/>
        <v>1.1573037215582303E-2</v>
      </c>
    </row>
    <row r="1098" spans="1:3" x14ac:dyDescent="0.35">
      <c r="A1098" s="13">
        <v>-1.6411044257916355E-2</v>
      </c>
      <c r="B1098" s="2">
        <v>1097</v>
      </c>
      <c r="C1098" s="13">
        <f t="shared" si="17"/>
        <v>1.1599151979512985E-2</v>
      </c>
    </row>
    <row r="1099" spans="1:3" x14ac:dyDescent="0.35">
      <c r="A1099" s="13">
        <v>-7.3271784831599983E-4</v>
      </c>
      <c r="B1099" s="2">
        <v>1098</v>
      </c>
      <c r="C1099" s="13">
        <f t="shared" si="17"/>
        <v>1.1630739022577944E-2</v>
      </c>
    </row>
    <row r="1100" spans="1:3" x14ac:dyDescent="0.35">
      <c r="A1100" s="13">
        <v>-1.3298347742665079E-2</v>
      </c>
      <c r="B1100" s="2">
        <v>1099</v>
      </c>
      <c r="C1100" s="13">
        <f t="shared" si="17"/>
        <v>1.1757870201591712E-2</v>
      </c>
    </row>
    <row r="1101" spans="1:3" x14ac:dyDescent="0.35">
      <c r="A1101" s="13">
        <v>1.8829968339638382E-2</v>
      </c>
      <c r="B1101" s="2">
        <v>1100</v>
      </c>
      <c r="C1101" s="13">
        <f t="shared" si="17"/>
        <v>1.1796514005833241E-2</v>
      </c>
    </row>
    <row r="1102" spans="1:3" x14ac:dyDescent="0.35">
      <c r="A1102" s="13">
        <v>1.1287406286770382E-2</v>
      </c>
      <c r="B1102" s="2">
        <v>1101</v>
      </c>
      <c r="C1102" s="13">
        <f t="shared" si="17"/>
        <v>1.1807494938783187E-2</v>
      </c>
    </row>
    <row r="1103" spans="1:3" x14ac:dyDescent="0.35">
      <c r="A1103" s="13">
        <v>-1.7324524784649759E-2</v>
      </c>
      <c r="B1103" s="2">
        <v>1102</v>
      </c>
      <c r="C1103" s="13">
        <f t="shared" si="17"/>
        <v>1.1815695216435686E-2</v>
      </c>
    </row>
    <row r="1104" spans="1:3" x14ac:dyDescent="0.35">
      <c r="A1104" s="13">
        <v>1.6207642909231979E-2</v>
      </c>
      <c r="B1104" s="2">
        <v>1103</v>
      </c>
      <c r="C1104" s="13">
        <f t="shared" si="17"/>
        <v>1.1889549332710525E-2</v>
      </c>
    </row>
    <row r="1105" spans="1:3" x14ac:dyDescent="0.35">
      <c r="A1105" s="13">
        <v>-1.2525421882073121E-2</v>
      </c>
      <c r="B1105" s="2">
        <v>1104</v>
      </c>
      <c r="C1105" s="13">
        <f t="shared" si="17"/>
        <v>1.1924312299399772E-2</v>
      </c>
    </row>
    <row r="1106" spans="1:3" x14ac:dyDescent="0.35">
      <c r="A1106" s="13">
        <v>2.1860975033905546E-3</v>
      </c>
      <c r="B1106" s="2">
        <v>1105</v>
      </c>
      <c r="C1106" s="13">
        <f t="shared" si="17"/>
        <v>1.1936277021432573E-2</v>
      </c>
    </row>
    <row r="1107" spans="1:3" x14ac:dyDescent="0.35">
      <c r="A1107" s="13">
        <v>1.7949746042208978E-2</v>
      </c>
      <c r="B1107" s="2">
        <v>1106</v>
      </c>
      <c r="C1107" s="13">
        <f t="shared" si="17"/>
        <v>1.1984684799967667E-2</v>
      </c>
    </row>
    <row r="1108" spans="1:3" x14ac:dyDescent="0.35">
      <c r="A1108" s="13">
        <v>-3.1875842354705287E-3</v>
      </c>
      <c r="B1108" s="2">
        <v>1107</v>
      </c>
      <c r="C1108" s="13">
        <f t="shared" si="17"/>
        <v>1.1997149718472704E-2</v>
      </c>
    </row>
    <row r="1109" spans="1:3" x14ac:dyDescent="0.35">
      <c r="A1109" s="13">
        <v>-3.1643176299474833E-3</v>
      </c>
      <c r="B1109" s="2">
        <v>1108</v>
      </c>
      <c r="C1109" s="13">
        <f t="shared" si="17"/>
        <v>1.1997750199928331E-2</v>
      </c>
    </row>
    <row r="1110" spans="1:3" x14ac:dyDescent="0.35">
      <c r="A1110" s="13">
        <v>-6.8896027499236448E-3</v>
      </c>
      <c r="B1110" s="2">
        <v>1109</v>
      </c>
      <c r="C1110" s="13">
        <f t="shared" si="17"/>
        <v>1.2022173792589413E-2</v>
      </c>
    </row>
    <row r="1111" spans="1:3" x14ac:dyDescent="0.35">
      <c r="A1111" s="13">
        <v>-1.7357492119978196E-2</v>
      </c>
      <c r="B1111" s="2">
        <v>1110</v>
      </c>
      <c r="C1111" s="13">
        <f t="shared" si="17"/>
        <v>1.2194923765949831E-2</v>
      </c>
    </row>
    <row r="1112" spans="1:3" x14ac:dyDescent="0.35">
      <c r="A1112" s="13">
        <v>1.3577999780549348E-2</v>
      </c>
      <c r="B1112" s="2">
        <v>1111</v>
      </c>
      <c r="C1112" s="13">
        <f t="shared" si="17"/>
        <v>1.2216947213916023E-2</v>
      </c>
    </row>
    <row r="1113" spans="1:3" x14ac:dyDescent="0.35">
      <c r="A1113" s="13">
        <v>8.4434722890612789E-3</v>
      </c>
      <c r="B1113" s="2">
        <v>1112</v>
      </c>
      <c r="C1113" s="13">
        <f t="shared" si="17"/>
        <v>1.2271218564106746E-2</v>
      </c>
    </row>
    <row r="1114" spans="1:3" x14ac:dyDescent="0.35">
      <c r="A1114" s="13">
        <v>7.4303866206485852E-3</v>
      </c>
      <c r="B1114" s="2">
        <v>1113</v>
      </c>
      <c r="C1114" s="13">
        <f t="shared" si="17"/>
        <v>1.2289523400872403E-2</v>
      </c>
    </row>
    <row r="1115" spans="1:3" x14ac:dyDescent="0.35">
      <c r="A1115" s="13">
        <v>-5.0525797737803933E-2</v>
      </c>
      <c r="B1115" s="2">
        <v>1114</v>
      </c>
      <c r="C1115" s="13">
        <f t="shared" si="17"/>
        <v>1.2304361214768043E-2</v>
      </c>
    </row>
    <row r="1116" spans="1:3" x14ac:dyDescent="0.35">
      <c r="A1116" s="13">
        <v>-5.4259072166775633E-2</v>
      </c>
      <c r="B1116" s="2">
        <v>1115</v>
      </c>
      <c r="C1116" s="13">
        <f t="shared" si="17"/>
        <v>1.2386004745636699E-2</v>
      </c>
    </row>
    <row r="1117" spans="1:3" x14ac:dyDescent="0.35">
      <c r="A1117" s="13">
        <v>-5.337257094903668E-3</v>
      </c>
      <c r="B1117" s="2">
        <v>1116</v>
      </c>
      <c r="C1117" s="13">
        <f t="shared" si="17"/>
        <v>1.2417284878074942E-2</v>
      </c>
    </row>
    <row r="1118" spans="1:3" x14ac:dyDescent="0.35">
      <c r="A1118" s="13">
        <v>-1.8597134545095227E-2</v>
      </c>
      <c r="B1118" s="2">
        <v>1117</v>
      </c>
      <c r="C1118" s="13">
        <f t="shared" si="17"/>
        <v>1.2466529640429453E-2</v>
      </c>
    </row>
    <row r="1119" spans="1:3" x14ac:dyDescent="0.35">
      <c r="A1119" s="13">
        <v>9.5771884895602469E-2</v>
      </c>
      <c r="B1119" s="2">
        <v>1118</v>
      </c>
      <c r="C1119" s="13">
        <f t="shared" si="17"/>
        <v>1.2490152812017992E-2</v>
      </c>
    </row>
    <row r="1120" spans="1:3" x14ac:dyDescent="0.35">
      <c r="A1120" s="13">
        <v>-2.5502951257690781E-2</v>
      </c>
      <c r="B1120" s="2">
        <v>1119</v>
      </c>
      <c r="C1120" s="13">
        <f t="shared" si="17"/>
        <v>1.2501713953677471E-2</v>
      </c>
    </row>
    <row r="1121" spans="1:3" x14ac:dyDescent="0.35">
      <c r="A1121" s="13">
        <v>2.0920126747773989E-2</v>
      </c>
      <c r="B1121" s="2">
        <v>1120</v>
      </c>
      <c r="C1121" s="13">
        <f t="shared" si="17"/>
        <v>1.251482392232285E-2</v>
      </c>
    </row>
    <row r="1122" spans="1:3" x14ac:dyDescent="0.35">
      <c r="A1122" s="13">
        <v>1.4566163432380208E-2</v>
      </c>
      <c r="B1122" s="2">
        <v>1121</v>
      </c>
      <c r="C1122" s="13">
        <f t="shared" si="17"/>
        <v>1.2593536875505925E-2</v>
      </c>
    </row>
    <row r="1123" spans="1:3" x14ac:dyDescent="0.35">
      <c r="A1123" s="13">
        <v>-1.4631990974428514E-3</v>
      </c>
      <c r="B1123" s="2">
        <v>1122</v>
      </c>
      <c r="C1123" s="13">
        <f t="shared" si="17"/>
        <v>1.2628367945220313E-2</v>
      </c>
    </row>
    <row r="1124" spans="1:3" x14ac:dyDescent="0.35">
      <c r="A1124" s="13">
        <v>-1.9732115740287267E-2</v>
      </c>
      <c r="B1124" s="2">
        <v>1123</v>
      </c>
      <c r="C1124" s="13">
        <f t="shared" si="17"/>
        <v>1.2741183407254752E-2</v>
      </c>
    </row>
    <row r="1125" spans="1:3" x14ac:dyDescent="0.35">
      <c r="A1125" s="13">
        <v>5.0102412157958165E-3</v>
      </c>
      <c r="B1125" s="2">
        <v>1124</v>
      </c>
      <c r="C1125" s="13">
        <f t="shared" si="17"/>
        <v>1.2744504082564183E-2</v>
      </c>
    </row>
    <row r="1126" spans="1:3" x14ac:dyDescent="0.35">
      <c r="A1126" s="13">
        <v>-2.0435089405039297E-2</v>
      </c>
      <c r="B1126" s="2">
        <v>1125</v>
      </c>
      <c r="C1126" s="13">
        <f t="shared" si="17"/>
        <v>1.2771835627172694E-2</v>
      </c>
    </row>
    <row r="1127" spans="1:3" x14ac:dyDescent="0.35">
      <c r="A1127" s="13">
        <v>2.603838164044512E-2</v>
      </c>
      <c r="B1127" s="2">
        <v>1126</v>
      </c>
      <c r="C1127" s="13">
        <f t="shared" si="17"/>
        <v>1.2772711773777871E-2</v>
      </c>
    </row>
    <row r="1128" spans="1:3" x14ac:dyDescent="0.35">
      <c r="A1128" s="13">
        <v>1.6924306347654201E-2</v>
      </c>
      <c r="B1128" s="2">
        <v>1127</v>
      </c>
      <c r="C1128" s="13">
        <f t="shared" si="17"/>
        <v>1.2902515515936819E-2</v>
      </c>
    </row>
    <row r="1129" spans="1:3" x14ac:dyDescent="0.35">
      <c r="A1129" s="13">
        <v>4.9124115542984598E-4</v>
      </c>
      <c r="B1129" s="2">
        <v>1128</v>
      </c>
      <c r="C1129" s="13">
        <f t="shared" si="17"/>
        <v>1.3000937283634634E-2</v>
      </c>
    </row>
    <row r="1130" spans="1:3" x14ac:dyDescent="0.35">
      <c r="A1130" s="13">
        <v>1.5338958166131299E-3</v>
      </c>
      <c r="B1130" s="2">
        <v>1129</v>
      </c>
      <c r="C1130" s="13">
        <f t="shared" si="17"/>
        <v>1.3005004996499914E-2</v>
      </c>
    </row>
    <row r="1131" spans="1:3" x14ac:dyDescent="0.35">
      <c r="A1131" s="13">
        <v>4.9327510745063342E-3</v>
      </c>
      <c r="B1131" s="2">
        <v>1130</v>
      </c>
      <c r="C1131" s="13">
        <f t="shared" si="17"/>
        <v>1.3016696931697422E-2</v>
      </c>
    </row>
    <row r="1132" spans="1:3" x14ac:dyDescent="0.35">
      <c r="A1132" s="13">
        <v>8.398623248002484E-3</v>
      </c>
      <c r="B1132" s="2">
        <v>1131</v>
      </c>
      <c r="C1132" s="13">
        <f t="shared" si="17"/>
        <v>1.3019148286615665E-2</v>
      </c>
    </row>
    <row r="1133" spans="1:3" x14ac:dyDescent="0.35">
      <c r="A1133" s="13">
        <v>6.63210309452999E-3</v>
      </c>
      <c r="B1133" s="2">
        <v>1132</v>
      </c>
      <c r="C1133" s="13">
        <f t="shared" si="17"/>
        <v>1.3053487714430115E-2</v>
      </c>
    </row>
    <row r="1134" spans="1:3" x14ac:dyDescent="0.35">
      <c r="A1134" s="13">
        <v>1.2628367945220313E-2</v>
      </c>
      <c r="B1134" s="2">
        <v>1133</v>
      </c>
      <c r="C1134" s="13">
        <f t="shared" si="17"/>
        <v>1.3077851228272201E-2</v>
      </c>
    </row>
    <row r="1135" spans="1:3" x14ac:dyDescent="0.35">
      <c r="A1135" s="13">
        <v>2.4279726759842479E-2</v>
      </c>
      <c r="B1135" s="2">
        <v>1134</v>
      </c>
      <c r="C1135" s="13">
        <f t="shared" si="17"/>
        <v>1.316748129544297E-2</v>
      </c>
    </row>
    <row r="1136" spans="1:3" x14ac:dyDescent="0.35">
      <c r="A1136" s="13">
        <v>6.179129747812785E-3</v>
      </c>
      <c r="B1136" s="2">
        <v>1135</v>
      </c>
      <c r="C1136" s="13">
        <f t="shared" si="17"/>
        <v>1.3202363621518724E-2</v>
      </c>
    </row>
    <row r="1137" spans="1:3" x14ac:dyDescent="0.35">
      <c r="A1137" s="13">
        <v>-5.7454151453756562E-3</v>
      </c>
      <c r="B1137" s="2">
        <v>1136</v>
      </c>
      <c r="C1137" s="13">
        <f t="shared" si="17"/>
        <v>1.3203939867763165E-2</v>
      </c>
    </row>
    <row r="1138" spans="1:3" x14ac:dyDescent="0.35">
      <c r="A1138" s="13">
        <v>5.6237806164515852E-3</v>
      </c>
      <c r="B1138" s="2">
        <v>1137</v>
      </c>
      <c r="C1138" s="13">
        <f t="shared" si="17"/>
        <v>1.32153931342033E-2</v>
      </c>
    </row>
    <row r="1139" spans="1:3" x14ac:dyDescent="0.35">
      <c r="A1139" s="13">
        <v>6.4854373869263765E-3</v>
      </c>
      <c r="B1139" s="2">
        <v>1138</v>
      </c>
      <c r="C1139" s="13">
        <f t="shared" si="17"/>
        <v>1.3424317607901026E-2</v>
      </c>
    </row>
    <row r="1140" spans="1:3" x14ac:dyDescent="0.35">
      <c r="A1140" s="13">
        <v>-5.4953143041183436E-3</v>
      </c>
      <c r="B1140" s="2">
        <v>1139</v>
      </c>
      <c r="C1140" s="13">
        <f t="shared" si="17"/>
        <v>1.3447894871481106E-2</v>
      </c>
    </row>
    <row r="1141" spans="1:3" x14ac:dyDescent="0.35">
      <c r="A1141" s="13">
        <v>2.6949974101987243E-2</v>
      </c>
      <c r="B1141" s="2">
        <v>1140</v>
      </c>
      <c r="C1141" s="13">
        <f t="shared" si="17"/>
        <v>1.3484072945532773E-2</v>
      </c>
    </row>
    <row r="1142" spans="1:3" x14ac:dyDescent="0.35">
      <c r="A1142" s="13">
        <v>1.0393865221524138E-2</v>
      </c>
      <c r="B1142" s="2">
        <v>1141</v>
      </c>
      <c r="C1142" s="13">
        <f t="shared" si="17"/>
        <v>1.3577999780549348E-2</v>
      </c>
    </row>
    <row r="1143" spans="1:3" x14ac:dyDescent="0.35">
      <c r="A1143" s="13">
        <v>-2.1631162181509601E-4</v>
      </c>
      <c r="B1143" s="2">
        <v>1142</v>
      </c>
      <c r="C1143" s="13">
        <f t="shared" si="17"/>
        <v>1.371164985599921E-2</v>
      </c>
    </row>
    <row r="1144" spans="1:3" x14ac:dyDescent="0.35">
      <c r="A1144" s="13">
        <v>8.1062792199456755E-3</v>
      </c>
      <c r="B1144" s="2">
        <v>1143</v>
      </c>
      <c r="C1144" s="13">
        <f t="shared" si="17"/>
        <v>1.3756581767155723E-2</v>
      </c>
    </row>
    <row r="1145" spans="1:3" x14ac:dyDescent="0.35">
      <c r="A1145" s="13">
        <v>6.7642944943392272E-3</v>
      </c>
      <c r="B1145" s="2">
        <v>1144</v>
      </c>
      <c r="C1145" s="13">
        <f t="shared" si="17"/>
        <v>1.3772813060286694E-2</v>
      </c>
    </row>
    <row r="1146" spans="1:3" x14ac:dyDescent="0.35">
      <c r="A1146" s="13">
        <v>2.0762192314735884E-3</v>
      </c>
      <c r="B1146" s="2">
        <v>1145</v>
      </c>
      <c r="C1146" s="13">
        <f t="shared" si="17"/>
        <v>1.3812411398695202E-2</v>
      </c>
    </row>
    <row r="1147" spans="1:3" x14ac:dyDescent="0.35">
      <c r="A1147" s="13">
        <v>-5.9353958795300924E-3</v>
      </c>
      <c r="B1147" s="2">
        <v>1146</v>
      </c>
      <c r="C1147" s="13">
        <f t="shared" si="17"/>
        <v>1.3838675837734168E-2</v>
      </c>
    </row>
    <row r="1148" spans="1:3" x14ac:dyDescent="0.35">
      <c r="A1148" s="13">
        <v>-2.1097065144294193E-2</v>
      </c>
      <c r="B1148" s="2">
        <v>1147</v>
      </c>
      <c r="C1148" s="13">
        <f t="shared" si="17"/>
        <v>1.3858190708123105E-2</v>
      </c>
    </row>
    <row r="1149" spans="1:3" x14ac:dyDescent="0.35">
      <c r="A1149" s="13">
        <v>-9.6336784458877752E-4</v>
      </c>
      <c r="B1149" s="2">
        <v>1148</v>
      </c>
      <c r="C1149" s="13">
        <f t="shared" si="17"/>
        <v>1.3948337937644373E-2</v>
      </c>
    </row>
    <row r="1150" spans="1:3" x14ac:dyDescent="0.35">
      <c r="A1150" s="13">
        <v>-2.3979794865020801E-3</v>
      </c>
      <c r="B1150" s="2">
        <v>1149</v>
      </c>
      <c r="C1150" s="13">
        <f t="shared" si="17"/>
        <v>1.415983179261584E-2</v>
      </c>
    </row>
    <row r="1151" spans="1:3" x14ac:dyDescent="0.35">
      <c r="A1151" s="13">
        <v>2.0796335189380028E-2</v>
      </c>
      <c r="B1151" s="2">
        <v>1150</v>
      </c>
      <c r="C1151" s="13">
        <f t="shared" si="17"/>
        <v>1.4406531685128583E-2</v>
      </c>
    </row>
    <row r="1152" spans="1:3" x14ac:dyDescent="0.35">
      <c r="A1152" s="13">
        <v>-6.1431155548950147E-3</v>
      </c>
      <c r="B1152" s="2">
        <v>1151</v>
      </c>
      <c r="C1152" s="13">
        <f t="shared" si="17"/>
        <v>1.4443090958549764E-2</v>
      </c>
    </row>
    <row r="1153" spans="1:3" x14ac:dyDescent="0.35">
      <c r="A1153" s="13">
        <v>8.8867967180682964E-4</v>
      </c>
      <c r="B1153" s="2">
        <v>1152</v>
      </c>
      <c r="C1153" s="13">
        <f t="shared" si="17"/>
        <v>1.4492432007891905E-2</v>
      </c>
    </row>
    <row r="1154" spans="1:3" x14ac:dyDescent="0.35">
      <c r="A1154" s="13">
        <v>1.9495677468418771E-3</v>
      </c>
      <c r="B1154" s="2">
        <v>1153</v>
      </c>
      <c r="C1154" s="13">
        <f t="shared" si="17"/>
        <v>1.4566163432380208E-2</v>
      </c>
    </row>
    <row r="1155" spans="1:3" x14ac:dyDescent="0.35">
      <c r="A1155" s="13">
        <v>7.1921791590990377E-3</v>
      </c>
      <c r="B1155" s="2">
        <v>1154</v>
      </c>
      <c r="C1155" s="13">
        <f t="shared" ref="C1155:C1218" si="18">+SMALL($A$2:$A$1256,B1155)</f>
        <v>1.4588885498902799E-2</v>
      </c>
    </row>
    <row r="1156" spans="1:3" x14ac:dyDescent="0.35">
      <c r="A1156" s="13">
        <v>5.8024230367739547E-3</v>
      </c>
      <c r="B1156" s="2">
        <v>1155</v>
      </c>
      <c r="C1156" s="13">
        <f t="shared" si="18"/>
        <v>1.4627261278568324E-2</v>
      </c>
    </row>
    <row r="1157" spans="1:3" x14ac:dyDescent="0.35">
      <c r="A1157" s="13">
        <v>-1.7880063611861884E-3</v>
      </c>
      <c r="B1157" s="2">
        <v>1156</v>
      </c>
      <c r="C1157" s="13">
        <f t="shared" si="18"/>
        <v>1.4943048902263273E-2</v>
      </c>
    </row>
    <row r="1158" spans="1:3" x14ac:dyDescent="0.35">
      <c r="A1158" s="13">
        <v>-7.6450137059138018E-4</v>
      </c>
      <c r="B1158" s="2">
        <v>1157</v>
      </c>
      <c r="C1158" s="13">
        <f t="shared" si="18"/>
        <v>1.5041053789928484E-2</v>
      </c>
    </row>
    <row r="1159" spans="1:3" x14ac:dyDescent="0.35">
      <c r="A1159" s="13">
        <v>8.1268596721475982E-3</v>
      </c>
      <c r="B1159" s="2">
        <v>1158</v>
      </c>
      <c r="C1159" s="13">
        <f t="shared" si="18"/>
        <v>1.5078351094912462E-2</v>
      </c>
    </row>
    <row r="1160" spans="1:3" x14ac:dyDescent="0.35">
      <c r="A1160" s="13">
        <v>5.626009419342843E-3</v>
      </c>
      <c r="B1160" s="2">
        <v>1159</v>
      </c>
      <c r="C1160" s="13">
        <f t="shared" si="18"/>
        <v>1.5080602069169594E-2</v>
      </c>
    </row>
    <row r="1161" spans="1:3" x14ac:dyDescent="0.35">
      <c r="A1161" s="13">
        <v>2.2974807205492862E-3</v>
      </c>
      <c r="B1161" s="2">
        <v>1160</v>
      </c>
      <c r="C1161" s="13">
        <f t="shared" si="18"/>
        <v>1.5277464028397813E-2</v>
      </c>
    </row>
    <row r="1162" spans="1:3" x14ac:dyDescent="0.35">
      <c r="A1162" s="13">
        <v>4.1538503489852666E-3</v>
      </c>
      <c r="B1162" s="2">
        <v>1161</v>
      </c>
      <c r="C1162" s="13">
        <f t="shared" si="18"/>
        <v>1.5407420026446152E-2</v>
      </c>
    </row>
    <row r="1163" spans="1:3" x14ac:dyDescent="0.35">
      <c r="A1163" s="13">
        <v>-2.642498857235491E-3</v>
      </c>
      <c r="B1163" s="2">
        <v>1162</v>
      </c>
      <c r="C1163" s="13">
        <f t="shared" si="18"/>
        <v>1.5433731000085445E-2</v>
      </c>
    </row>
    <row r="1164" spans="1:3" x14ac:dyDescent="0.35">
      <c r="A1164" s="13">
        <v>-1.4211473768100023E-2</v>
      </c>
      <c r="B1164" s="2">
        <v>1163</v>
      </c>
      <c r="C1164" s="13">
        <f t="shared" si="18"/>
        <v>1.5499323302475913E-2</v>
      </c>
    </row>
    <row r="1165" spans="1:3" x14ac:dyDescent="0.35">
      <c r="A1165" s="13">
        <v>1.2304361214768043E-2</v>
      </c>
      <c r="B1165" s="2">
        <v>1164</v>
      </c>
      <c r="C1165" s="13">
        <f t="shared" si="18"/>
        <v>1.5501682316676363E-2</v>
      </c>
    </row>
    <row r="1166" spans="1:3" x14ac:dyDescent="0.35">
      <c r="A1166" s="13">
        <v>-2.3822985135740831E-3</v>
      </c>
      <c r="B1166" s="2">
        <v>1165</v>
      </c>
      <c r="C1166" s="13">
        <f t="shared" si="18"/>
        <v>1.5704404098354583E-2</v>
      </c>
    </row>
    <row r="1167" spans="1:3" x14ac:dyDescent="0.35">
      <c r="A1167" s="13">
        <v>6.1712753563034212E-3</v>
      </c>
      <c r="B1167" s="2">
        <v>1166</v>
      </c>
      <c r="C1167" s="13">
        <f t="shared" si="18"/>
        <v>1.5859529409624436E-2</v>
      </c>
    </row>
    <row r="1168" spans="1:3" x14ac:dyDescent="0.35">
      <c r="A1168" s="13">
        <v>1.1803389221916607E-3</v>
      </c>
      <c r="B1168" s="2">
        <v>1167</v>
      </c>
      <c r="C1168" s="13">
        <f t="shared" si="18"/>
        <v>1.5934102593803099E-2</v>
      </c>
    </row>
    <row r="1169" spans="1:3" x14ac:dyDescent="0.35">
      <c r="A1169" s="13">
        <v>1.7966374926417644E-2</v>
      </c>
      <c r="B1169" s="2">
        <v>1168</v>
      </c>
      <c r="C1169" s="13">
        <f t="shared" si="18"/>
        <v>1.5962946709940494E-2</v>
      </c>
    </row>
    <row r="1170" spans="1:3" x14ac:dyDescent="0.35">
      <c r="A1170" s="13">
        <v>1.4627261278568324E-2</v>
      </c>
      <c r="B1170" s="2">
        <v>1169</v>
      </c>
      <c r="C1170" s="13">
        <f t="shared" si="18"/>
        <v>1.5992636733005491E-2</v>
      </c>
    </row>
    <row r="1171" spans="1:3" x14ac:dyDescent="0.35">
      <c r="A1171" s="13">
        <v>-4.1549330261019413E-3</v>
      </c>
      <c r="B1171" s="2">
        <v>1170</v>
      </c>
      <c r="C1171" s="13">
        <f t="shared" si="18"/>
        <v>1.6187863868027667E-2</v>
      </c>
    </row>
    <row r="1172" spans="1:3" x14ac:dyDescent="0.35">
      <c r="A1172" s="13">
        <v>5.911674561226524E-3</v>
      </c>
      <c r="B1172" s="2">
        <v>1171</v>
      </c>
      <c r="C1172" s="13">
        <f t="shared" si="18"/>
        <v>1.6207642909231979E-2</v>
      </c>
    </row>
    <row r="1173" spans="1:3" x14ac:dyDescent="0.35">
      <c r="A1173" s="13">
        <v>5.2220528382259527E-3</v>
      </c>
      <c r="B1173" s="2">
        <v>1172</v>
      </c>
      <c r="C1173" s="13">
        <f t="shared" si="18"/>
        <v>1.6232426317392173E-2</v>
      </c>
    </row>
    <row r="1174" spans="1:3" x14ac:dyDescent="0.35">
      <c r="A1174" s="13">
        <v>9.0350194945443933E-3</v>
      </c>
      <c r="B1174" s="2">
        <v>1173</v>
      </c>
      <c r="C1174" s="13">
        <f t="shared" si="18"/>
        <v>1.6263257418607679E-2</v>
      </c>
    </row>
    <row r="1175" spans="1:3" x14ac:dyDescent="0.35">
      <c r="A1175" s="13">
        <v>-4.4881602081195404E-4</v>
      </c>
      <c r="B1175" s="2">
        <v>1174</v>
      </c>
      <c r="C1175" s="13">
        <f t="shared" si="18"/>
        <v>1.6323684252019664E-2</v>
      </c>
    </row>
    <row r="1176" spans="1:3" x14ac:dyDescent="0.35">
      <c r="A1176" s="13">
        <v>5.3363225767321353E-5</v>
      </c>
      <c r="B1176" s="2">
        <v>1175</v>
      </c>
      <c r="C1176" s="13">
        <f t="shared" si="18"/>
        <v>1.6463102868605653E-2</v>
      </c>
    </row>
    <row r="1177" spans="1:3" x14ac:dyDescent="0.35">
      <c r="A1177" s="13">
        <v>9.2828594803647628E-3</v>
      </c>
      <c r="B1177" s="2">
        <v>1176</v>
      </c>
      <c r="C1177" s="13">
        <f t="shared" si="18"/>
        <v>1.66894307384183E-2</v>
      </c>
    </row>
    <row r="1178" spans="1:3" x14ac:dyDescent="0.35">
      <c r="A1178" s="13">
        <v>-3.4735608319625354E-3</v>
      </c>
      <c r="B1178" s="2">
        <v>1177</v>
      </c>
      <c r="C1178" s="13">
        <f t="shared" si="18"/>
        <v>1.6765216904292835E-2</v>
      </c>
    </row>
    <row r="1179" spans="1:3" x14ac:dyDescent="0.35">
      <c r="A1179" s="13">
        <v>-9.5447647508383349E-3</v>
      </c>
      <c r="B1179" s="2">
        <v>1178</v>
      </c>
      <c r="C1179" s="13">
        <f t="shared" si="18"/>
        <v>1.6853442329420699E-2</v>
      </c>
    </row>
    <row r="1180" spans="1:3" x14ac:dyDescent="0.35">
      <c r="A1180" s="13">
        <v>4.6466135514310961E-3</v>
      </c>
      <c r="B1180" s="2">
        <v>1179</v>
      </c>
      <c r="C1180" s="13">
        <f t="shared" si="18"/>
        <v>1.6902032872327534E-2</v>
      </c>
    </row>
    <row r="1181" spans="1:3" x14ac:dyDescent="0.35">
      <c r="A1181" s="13">
        <v>-2.4358970360062199E-4</v>
      </c>
      <c r="B1181" s="2">
        <v>1180</v>
      </c>
      <c r="C1181" s="13">
        <f t="shared" si="18"/>
        <v>1.6924306347654201E-2</v>
      </c>
    </row>
    <row r="1182" spans="1:3" x14ac:dyDescent="0.35">
      <c r="A1182" s="13">
        <v>-8.6643290053858308E-3</v>
      </c>
      <c r="B1182" s="2">
        <v>1181</v>
      </c>
      <c r="C1182" s="13">
        <f t="shared" si="18"/>
        <v>1.6951594072005569E-2</v>
      </c>
    </row>
    <row r="1183" spans="1:3" x14ac:dyDescent="0.35">
      <c r="A1183" s="13">
        <v>4.1931859729163381E-3</v>
      </c>
      <c r="B1183" s="2">
        <v>1182</v>
      </c>
      <c r="C1183" s="13">
        <f t="shared" si="18"/>
        <v>1.697443864247809E-2</v>
      </c>
    </row>
    <row r="1184" spans="1:3" x14ac:dyDescent="0.35">
      <c r="A1184" s="13">
        <v>-7.8283438066470007E-3</v>
      </c>
      <c r="B1184" s="2">
        <v>1183</v>
      </c>
      <c r="C1184" s="13">
        <f t="shared" si="18"/>
        <v>1.7015391480831314E-2</v>
      </c>
    </row>
    <row r="1185" spans="1:3" x14ac:dyDescent="0.35">
      <c r="A1185" s="13">
        <v>2.8637654612095791E-3</v>
      </c>
      <c r="B1185" s="2">
        <v>1184</v>
      </c>
      <c r="C1185" s="13">
        <f t="shared" si="18"/>
        <v>1.7045188727631864E-2</v>
      </c>
    </row>
    <row r="1186" spans="1:3" x14ac:dyDescent="0.35">
      <c r="A1186" s="13">
        <v>5.8758726672786124E-3</v>
      </c>
      <c r="B1186" s="2">
        <v>1185</v>
      </c>
      <c r="C1186" s="13">
        <f t="shared" si="18"/>
        <v>1.7119164925118564E-2</v>
      </c>
    </row>
    <row r="1187" spans="1:3" x14ac:dyDescent="0.35">
      <c r="A1187" s="13">
        <v>-3.0661452613477908E-3</v>
      </c>
      <c r="B1187" s="2">
        <v>1186</v>
      </c>
      <c r="C1187" s="13">
        <f t="shared" si="18"/>
        <v>1.7123592379503949E-2</v>
      </c>
    </row>
    <row r="1188" spans="1:3" x14ac:dyDescent="0.35">
      <c r="A1188" s="13">
        <v>-4.2627080347654774E-3</v>
      </c>
      <c r="B1188" s="2">
        <v>1187</v>
      </c>
      <c r="C1188" s="13">
        <f t="shared" si="18"/>
        <v>1.7175257069297456E-2</v>
      </c>
    </row>
    <row r="1189" spans="1:3" x14ac:dyDescent="0.35">
      <c r="A1189" s="13">
        <v>1.6149905501392859E-4</v>
      </c>
      <c r="B1189" s="2">
        <v>1188</v>
      </c>
      <c r="C1189" s="13">
        <f t="shared" si="18"/>
        <v>1.7203941128333591E-2</v>
      </c>
    </row>
    <row r="1190" spans="1:3" x14ac:dyDescent="0.35">
      <c r="A1190" s="13">
        <v>6.9196494343787707E-3</v>
      </c>
      <c r="B1190" s="2">
        <v>1189</v>
      </c>
      <c r="C1190" s="13">
        <f t="shared" si="18"/>
        <v>1.7324374270688454E-2</v>
      </c>
    </row>
    <row r="1191" spans="1:3" x14ac:dyDescent="0.35">
      <c r="A1191" s="13">
        <v>-1.689654200140131E-2</v>
      </c>
      <c r="B1191" s="2">
        <v>1190</v>
      </c>
      <c r="C1191" s="13">
        <f t="shared" si="18"/>
        <v>1.7346724430404827E-2</v>
      </c>
    </row>
    <row r="1192" spans="1:3" x14ac:dyDescent="0.35">
      <c r="A1192" s="13">
        <v>5.726517928122711E-3</v>
      </c>
      <c r="B1192" s="2">
        <v>1191</v>
      </c>
      <c r="C1192" s="13">
        <f t="shared" si="18"/>
        <v>1.7357386865045715E-2</v>
      </c>
    </row>
    <row r="1193" spans="1:3" x14ac:dyDescent="0.35">
      <c r="A1193" s="13">
        <v>2.8290365926659398E-3</v>
      </c>
      <c r="B1193" s="2">
        <v>1192</v>
      </c>
      <c r="C1193" s="13">
        <f t="shared" si="18"/>
        <v>1.7431116632425785E-2</v>
      </c>
    </row>
    <row r="1194" spans="1:3" x14ac:dyDescent="0.35">
      <c r="A1194" s="13">
        <v>-1.6640144365947806E-3</v>
      </c>
      <c r="B1194" s="2">
        <v>1193</v>
      </c>
      <c r="C1194" s="13">
        <f t="shared" si="18"/>
        <v>1.7476788693058076E-2</v>
      </c>
    </row>
    <row r="1195" spans="1:3" x14ac:dyDescent="0.35">
      <c r="A1195" s="13">
        <v>-5.343746161262263E-3</v>
      </c>
      <c r="B1195" s="2">
        <v>1194</v>
      </c>
      <c r="C1195" s="13">
        <f t="shared" si="18"/>
        <v>1.7624639524245814E-2</v>
      </c>
    </row>
    <row r="1196" spans="1:3" x14ac:dyDescent="0.35">
      <c r="A1196" s="13">
        <v>-2.1973404731006592E-3</v>
      </c>
      <c r="B1196" s="2">
        <v>1195</v>
      </c>
      <c r="C1196" s="13">
        <f t="shared" si="18"/>
        <v>1.7714812725864271E-2</v>
      </c>
    </row>
    <row r="1197" spans="1:3" x14ac:dyDescent="0.35">
      <c r="A1197" s="13">
        <v>-1.1509552743174119E-2</v>
      </c>
      <c r="B1197" s="2">
        <v>1196</v>
      </c>
      <c r="C1197" s="13">
        <f t="shared" si="18"/>
        <v>1.7824206638494617E-2</v>
      </c>
    </row>
    <row r="1198" spans="1:3" x14ac:dyDescent="0.35">
      <c r="A1198" s="13">
        <v>1.2490152812017992E-2</v>
      </c>
      <c r="B1198" s="2">
        <v>1197</v>
      </c>
      <c r="C1198" s="13">
        <f t="shared" si="18"/>
        <v>1.7852250289286314E-2</v>
      </c>
    </row>
    <row r="1199" spans="1:3" x14ac:dyDescent="0.35">
      <c r="A1199" s="13">
        <v>-5.1527764274787828E-3</v>
      </c>
      <c r="B1199" s="2">
        <v>1198</v>
      </c>
      <c r="C1199" s="13">
        <f t="shared" si="18"/>
        <v>1.7858715782905842E-2</v>
      </c>
    </row>
    <row r="1200" spans="1:3" x14ac:dyDescent="0.35">
      <c r="A1200" s="13">
        <v>6.8851439739338284E-3</v>
      </c>
      <c r="B1200" s="2">
        <v>1199</v>
      </c>
      <c r="C1200" s="13">
        <f t="shared" si="18"/>
        <v>1.7911226367382377E-2</v>
      </c>
    </row>
    <row r="1201" spans="1:3" x14ac:dyDescent="0.35">
      <c r="A1201" s="13">
        <v>-8.6564972354319265E-3</v>
      </c>
      <c r="B1201" s="2">
        <v>1200</v>
      </c>
      <c r="C1201" s="13">
        <f t="shared" si="18"/>
        <v>1.7949746042208978E-2</v>
      </c>
    </row>
    <row r="1202" spans="1:3" x14ac:dyDescent="0.35">
      <c r="A1202" s="13">
        <v>-5.4983224634459248E-3</v>
      </c>
      <c r="B1202" s="2">
        <v>1201</v>
      </c>
      <c r="C1202" s="13">
        <f t="shared" si="18"/>
        <v>1.7966374926417644E-2</v>
      </c>
    </row>
    <row r="1203" spans="1:3" x14ac:dyDescent="0.35">
      <c r="A1203" s="13">
        <v>-1.044390426981397E-2</v>
      </c>
      <c r="B1203" s="2">
        <v>1202</v>
      </c>
      <c r="C1203" s="13">
        <f t="shared" si="18"/>
        <v>1.8105559203345594E-2</v>
      </c>
    </row>
    <row r="1204" spans="1:3" x14ac:dyDescent="0.35">
      <c r="A1204" s="13">
        <v>5.8170052035458279E-3</v>
      </c>
      <c r="B1204" s="2">
        <v>1203</v>
      </c>
      <c r="C1204" s="13">
        <f t="shared" si="18"/>
        <v>1.8399221756192689E-2</v>
      </c>
    </row>
    <row r="1205" spans="1:3" x14ac:dyDescent="0.35">
      <c r="A1205" s="13">
        <v>9.790071374754497E-4</v>
      </c>
      <c r="B1205" s="2">
        <v>1204</v>
      </c>
      <c r="C1205" s="13">
        <f t="shared" si="18"/>
        <v>1.8431674078217691E-2</v>
      </c>
    </row>
    <row r="1206" spans="1:3" x14ac:dyDescent="0.35">
      <c r="A1206" s="13">
        <v>-1.086712598342291E-3</v>
      </c>
      <c r="B1206" s="2">
        <v>1205</v>
      </c>
      <c r="C1206" s="13">
        <f t="shared" si="18"/>
        <v>1.8601881243354379E-2</v>
      </c>
    </row>
    <row r="1207" spans="1:3" x14ac:dyDescent="0.35">
      <c r="A1207" s="13">
        <v>-4.84845685859581E-3</v>
      </c>
      <c r="B1207" s="2">
        <v>1206</v>
      </c>
      <c r="C1207" s="13">
        <f t="shared" si="18"/>
        <v>1.860972508264519E-2</v>
      </c>
    </row>
    <row r="1208" spans="1:3" x14ac:dyDescent="0.35">
      <c r="A1208" s="13">
        <v>3.4566047949974262E-3</v>
      </c>
      <c r="B1208" s="2">
        <v>1207</v>
      </c>
      <c r="C1208" s="13">
        <f t="shared" si="18"/>
        <v>1.8627150589793955E-2</v>
      </c>
    </row>
    <row r="1209" spans="1:3" x14ac:dyDescent="0.35">
      <c r="A1209" s="13">
        <v>2.2672621000118208E-3</v>
      </c>
      <c r="B1209" s="2">
        <v>1208</v>
      </c>
      <c r="C1209" s="13">
        <f t="shared" si="18"/>
        <v>1.8817540006217444E-2</v>
      </c>
    </row>
    <row r="1210" spans="1:3" x14ac:dyDescent="0.35">
      <c r="A1210" s="13">
        <v>6.4563559518223592E-3</v>
      </c>
      <c r="B1210" s="2">
        <v>1209</v>
      </c>
      <c r="C1210" s="13">
        <f t="shared" si="18"/>
        <v>1.8829968339638382E-2</v>
      </c>
    </row>
    <row r="1211" spans="1:3" x14ac:dyDescent="0.35">
      <c r="A1211" s="13">
        <v>-1.5266244873480002E-2</v>
      </c>
      <c r="B1211" s="2">
        <v>1210</v>
      </c>
      <c r="C1211" s="13">
        <f t="shared" si="18"/>
        <v>1.8880103819244539E-2</v>
      </c>
    </row>
    <row r="1212" spans="1:3" x14ac:dyDescent="0.35">
      <c r="A1212" s="13">
        <v>1.5433731000085445E-2</v>
      </c>
      <c r="B1212" s="2">
        <v>1211</v>
      </c>
      <c r="C1212" s="13">
        <f t="shared" si="18"/>
        <v>1.898158995871408E-2</v>
      </c>
    </row>
    <row r="1213" spans="1:3" x14ac:dyDescent="0.35">
      <c r="A1213" s="13">
        <v>-8.9303178662345252E-3</v>
      </c>
      <c r="B1213" s="2">
        <v>1212</v>
      </c>
      <c r="C1213" s="13">
        <f t="shared" si="18"/>
        <v>1.9138809740165325E-2</v>
      </c>
    </row>
    <row r="1214" spans="1:3" x14ac:dyDescent="0.35">
      <c r="A1214" s="13">
        <v>5.529409650662365E-3</v>
      </c>
      <c r="B1214" s="2">
        <v>1213</v>
      </c>
      <c r="C1214" s="13">
        <f t="shared" si="18"/>
        <v>1.9359336758078185E-2</v>
      </c>
    </row>
    <row r="1215" spans="1:3" x14ac:dyDescent="0.35">
      <c r="A1215" s="13">
        <v>5.5451900529777205E-3</v>
      </c>
      <c r="B1215" s="2">
        <v>1214</v>
      </c>
      <c r="C1215" s="13">
        <f t="shared" si="18"/>
        <v>1.9582631623724246E-2</v>
      </c>
    </row>
    <row r="1216" spans="1:3" x14ac:dyDescent="0.35">
      <c r="A1216" s="13">
        <v>5.4489689520367691E-3</v>
      </c>
      <c r="B1216" s="2">
        <v>1215</v>
      </c>
      <c r="C1216" s="13">
        <f t="shared" si="18"/>
        <v>1.997851888142535E-2</v>
      </c>
    </row>
    <row r="1217" spans="1:3" x14ac:dyDescent="0.35">
      <c r="A1217" s="13">
        <v>-4.963978859656647E-3</v>
      </c>
      <c r="B1217" s="2">
        <v>1216</v>
      </c>
      <c r="C1217" s="13">
        <f t="shared" si="18"/>
        <v>2.0186397048711398E-2</v>
      </c>
    </row>
    <row r="1218" spans="1:3" x14ac:dyDescent="0.35">
      <c r="A1218" s="13">
        <v>-1.9395087705085432E-3</v>
      </c>
      <c r="B1218" s="2">
        <v>1217</v>
      </c>
      <c r="C1218" s="13">
        <f t="shared" si="18"/>
        <v>2.0507543452657442E-2</v>
      </c>
    </row>
    <row r="1219" spans="1:3" x14ac:dyDescent="0.35">
      <c r="A1219" s="13">
        <v>1.932537946747687E-3</v>
      </c>
      <c r="B1219" s="2">
        <v>1218</v>
      </c>
      <c r="C1219" s="13">
        <f t="shared" ref="C1219:C1256" si="19">+SMALL($A$2:$A$1256,B1219)</f>
        <v>2.0562088880615892E-2</v>
      </c>
    </row>
    <row r="1220" spans="1:3" x14ac:dyDescent="0.35">
      <c r="A1220" s="13">
        <v>1.3756581767155723E-2</v>
      </c>
      <c r="B1220" s="2">
        <v>1219</v>
      </c>
      <c r="C1220" s="13">
        <f t="shared" si="19"/>
        <v>2.0790346317941286E-2</v>
      </c>
    </row>
    <row r="1221" spans="1:3" x14ac:dyDescent="0.35">
      <c r="A1221" s="13">
        <v>-4.4003548600204147E-3</v>
      </c>
      <c r="B1221" s="2">
        <v>1220</v>
      </c>
      <c r="C1221" s="13">
        <f t="shared" si="19"/>
        <v>2.0796335189380028E-2</v>
      </c>
    </row>
    <row r="1222" spans="1:3" x14ac:dyDescent="0.35">
      <c r="A1222" s="13">
        <v>1.2593536875505925E-2</v>
      </c>
      <c r="B1222" s="2">
        <v>1221</v>
      </c>
      <c r="C1222" s="13">
        <f t="shared" si="19"/>
        <v>2.0920126747773989E-2</v>
      </c>
    </row>
    <row r="1223" spans="1:3" x14ac:dyDescent="0.35">
      <c r="A1223" s="13">
        <v>7.984097403200541E-4</v>
      </c>
      <c r="B1223" s="2">
        <v>1222</v>
      </c>
      <c r="C1223" s="13">
        <f t="shared" si="19"/>
        <v>2.1271908406433074E-2</v>
      </c>
    </row>
    <row r="1224" spans="1:3" x14ac:dyDescent="0.35">
      <c r="A1224" s="13">
        <v>-4.5561594639403919E-3</v>
      </c>
      <c r="B1224" s="2">
        <v>1223</v>
      </c>
      <c r="C1224" s="13">
        <f t="shared" si="19"/>
        <v>2.1278054925057539E-2</v>
      </c>
    </row>
    <row r="1225" spans="1:3" x14ac:dyDescent="0.35">
      <c r="A1225" s="13">
        <v>1.2271218564106746E-2</v>
      </c>
      <c r="B1225" s="2">
        <v>1224</v>
      </c>
      <c r="C1225" s="13">
        <f t="shared" si="19"/>
        <v>2.1304954379821342E-2</v>
      </c>
    </row>
    <row r="1226" spans="1:3" x14ac:dyDescent="0.35">
      <c r="A1226" s="13">
        <v>-1.8076502254786003E-3</v>
      </c>
      <c r="B1226" s="2">
        <v>1225</v>
      </c>
      <c r="C1226" s="13">
        <f t="shared" si="19"/>
        <v>2.1934095859640249E-2</v>
      </c>
    </row>
    <row r="1227" spans="1:3" x14ac:dyDescent="0.35">
      <c r="A1227" s="13">
        <v>7.8508941160479028E-3</v>
      </c>
      <c r="B1227" s="2">
        <v>1226</v>
      </c>
      <c r="C1227" s="13">
        <f t="shared" si="19"/>
        <v>2.2185198006725308E-2</v>
      </c>
    </row>
    <row r="1228" spans="1:3" x14ac:dyDescent="0.35">
      <c r="A1228" s="13">
        <v>8.0197494426768466E-4</v>
      </c>
      <c r="B1228" s="2">
        <v>1227</v>
      </c>
      <c r="C1228" s="13">
        <f t="shared" si="19"/>
        <v>2.2255999790554103E-2</v>
      </c>
    </row>
    <row r="1229" spans="1:3" x14ac:dyDescent="0.35">
      <c r="A1229" s="13">
        <v>1.2902515515936819E-2</v>
      </c>
      <c r="B1229" s="2">
        <v>1228</v>
      </c>
      <c r="C1229" s="13">
        <f t="shared" si="19"/>
        <v>2.3152814408665408E-2</v>
      </c>
    </row>
    <row r="1230" spans="1:3" x14ac:dyDescent="0.35">
      <c r="A1230" s="13">
        <v>1.3812411398695202E-2</v>
      </c>
      <c r="B1230" s="2">
        <v>1229</v>
      </c>
      <c r="C1230" s="13">
        <f t="shared" si="19"/>
        <v>2.3166395681111202E-2</v>
      </c>
    </row>
    <row r="1231" spans="1:3" x14ac:dyDescent="0.35">
      <c r="A1231" s="13">
        <v>8.3491879162101443E-4</v>
      </c>
      <c r="B1231" s="2">
        <v>1230</v>
      </c>
      <c r="C1231" s="13">
        <f t="shared" si="19"/>
        <v>2.3416794039884059E-2</v>
      </c>
    </row>
    <row r="1232" spans="1:3" x14ac:dyDescent="0.35">
      <c r="A1232" s="13">
        <v>7.2099136177494723E-3</v>
      </c>
      <c r="B1232" s="2">
        <v>1231</v>
      </c>
      <c r="C1232" s="13">
        <f t="shared" si="19"/>
        <v>2.3579656589279806E-2</v>
      </c>
    </row>
    <row r="1233" spans="1:3" x14ac:dyDescent="0.35">
      <c r="A1233" s="13">
        <v>-1.2081682859171304E-3</v>
      </c>
      <c r="B1233" s="2">
        <v>1232</v>
      </c>
      <c r="C1233" s="13">
        <f t="shared" si="19"/>
        <v>2.4017938140306963E-2</v>
      </c>
    </row>
    <row r="1234" spans="1:3" x14ac:dyDescent="0.35">
      <c r="A1234" s="13">
        <v>-5.130687929783855E-3</v>
      </c>
      <c r="B1234" s="2">
        <v>1233</v>
      </c>
      <c r="C1234" s="13">
        <f t="shared" si="19"/>
        <v>2.4152750913281638E-2</v>
      </c>
    </row>
    <row r="1235" spans="1:3" x14ac:dyDescent="0.35">
      <c r="A1235" s="13">
        <v>1.1757870201591712E-2</v>
      </c>
      <c r="B1235" s="2">
        <v>1234</v>
      </c>
      <c r="C1235" s="13">
        <f t="shared" si="19"/>
        <v>2.4182305760881158E-2</v>
      </c>
    </row>
    <row r="1236" spans="1:3" x14ac:dyDescent="0.35">
      <c r="A1236" s="13">
        <v>5.8505877327069073E-3</v>
      </c>
      <c r="B1236" s="2">
        <v>1235</v>
      </c>
      <c r="C1236" s="13">
        <f t="shared" si="19"/>
        <v>2.4239488588345591E-2</v>
      </c>
    </row>
    <row r="1237" spans="1:3" x14ac:dyDescent="0.35">
      <c r="A1237" s="13">
        <v>-1.1848869422001061E-3</v>
      </c>
      <c r="B1237" s="2">
        <v>1236</v>
      </c>
      <c r="C1237" s="13">
        <f t="shared" si="19"/>
        <v>2.4279726759842479E-2</v>
      </c>
    </row>
    <row r="1238" spans="1:3" x14ac:dyDescent="0.35">
      <c r="A1238" s="13">
        <v>-5.3355344589101419E-4</v>
      </c>
      <c r="B1238" s="2">
        <v>1237</v>
      </c>
      <c r="C1238" s="13">
        <f t="shared" si="19"/>
        <v>2.4699233142929572E-2</v>
      </c>
    </row>
    <row r="1239" spans="1:3" x14ac:dyDescent="0.35">
      <c r="A1239" s="13">
        <v>1.5195988416420072E-3</v>
      </c>
      <c r="B1239" s="2">
        <v>1238</v>
      </c>
      <c r="C1239" s="13">
        <f t="shared" si="19"/>
        <v>2.5864804589718675E-2</v>
      </c>
    </row>
    <row r="1240" spans="1:3" x14ac:dyDescent="0.35">
      <c r="A1240" s="13">
        <v>3.1637995908290039E-3</v>
      </c>
      <c r="B1240" s="2">
        <v>1239</v>
      </c>
      <c r="C1240" s="13">
        <f t="shared" si="19"/>
        <v>2.603838164044512E-2</v>
      </c>
    </row>
    <row r="1241" spans="1:3" x14ac:dyDescent="0.35">
      <c r="A1241" s="13">
        <v>5.2131152507815161E-3</v>
      </c>
      <c r="B1241" s="2">
        <v>1240</v>
      </c>
      <c r="C1241" s="13">
        <f t="shared" si="19"/>
        <v>2.6079861446703829E-2</v>
      </c>
    </row>
    <row r="1242" spans="1:3" x14ac:dyDescent="0.35">
      <c r="A1242" s="13">
        <v>5.5702972450235649E-3</v>
      </c>
      <c r="B1242" s="2">
        <v>1241</v>
      </c>
      <c r="C1242" s="13">
        <f t="shared" si="19"/>
        <v>2.629204514845853E-2</v>
      </c>
    </row>
    <row r="1243" spans="1:3" x14ac:dyDescent="0.35">
      <c r="A1243" s="13">
        <v>-1.1166500360000548E-3</v>
      </c>
      <c r="B1243" s="2">
        <v>1242</v>
      </c>
      <c r="C1243" s="13">
        <f t="shared" si="19"/>
        <v>2.6343516612109173E-2</v>
      </c>
    </row>
    <row r="1244" spans="1:3" x14ac:dyDescent="0.35">
      <c r="A1244" s="13">
        <v>-1.6770111697158654E-3</v>
      </c>
      <c r="B1244" s="2">
        <v>1243</v>
      </c>
      <c r="C1244" s="13">
        <f t="shared" si="19"/>
        <v>2.6949974101987243E-2</v>
      </c>
    </row>
    <row r="1245" spans="1:3" x14ac:dyDescent="0.35">
      <c r="A1245" s="13">
        <v>-4.5004806685258201E-3</v>
      </c>
      <c r="B1245" s="2">
        <v>1244</v>
      </c>
      <c r="C1245" s="13">
        <f t="shared" si="19"/>
        <v>2.7039630289747547E-2</v>
      </c>
    </row>
    <row r="1246" spans="1:3" x14ac:dyDescent="0.35">
      <c r="A1246" s="13">
        <v>-2.0742042567651151E-2</v>
      </c>
      <c r="B1246" s="2">
        <v>1245</v>
      </c>
      <c r="C1246" s="13">
        <f t="shared" si="19"/>
        <v>2.7198707486744366E-2</v>
      </c>
    </row>
    <row r="1247" spans="1:3" x14ac:dyDescent="0.35">
      <c r="A1247" s="13">
        <v>9.7000785766303346E-3</v>
      </c>
      <c r="B1247" s="2">
        <v>1246</v>
      </c>
      <c r="C1247" s="13">
        <f t="shared" si="19"/>
        <v>2.9352581850380328E-2</v>
      </c>
    </row>
    <row r="1248" spans="1:3" x14ac:dyDescent="0.35">
      <c r="A1248" s="13">
        <v>2.3416794039884059E-2</v>
      </c>
      <c r="B1248" s="2">
        <v>1247</v>
      </c>
      <c r="C1248" s="13">
        <f t="shared" si="19"/>
        <v>3.0018665759422906E-2</v>
      </c>
    </row>
    <row r="1249" spans="1:3" x14ac:dyDescent="0.35">
      <c r="A1249" s="13">
        <v>9.1908351222152601E-3</v>
      </c>
      <c r="B1249" s="2">
        <v>1248</v>
      </c>
      <c r="C1249" s="13">
        <f t="shared" si="19"/>
        <v>3.054197527070273E-2</v>
      </c>
    </row>
    <row r="1250" spans="1:3" x14ac:dyDescent="0.35">
      <c r="A1250" s="13">
        <v>-1.2611473613420545E-2</v>
      </c>
      <c r="B1250" s="2">
        <v>1249</v>
      </c>
      <c r="C1250" s="13">
        <f t="shared" si="19"/>
        <v>3.0768725975549312E-2</v>
      </c>
    </row>
    <row r="1251" spans="1:3" x14ac:dyDescent="0.35">
      <c r="A1251" s="13">
        <v>1.8105559203345594E-2</v>
      </c>
      <c r="B1251" s="2">
        <v>1250</v>
      </c>
      <c r="C1251" s="13">
        <f t="shared" si="19"/>
        <v>3.2429181967539689E-2</v>
      </c>
    </row>
    <row r="1252" spans="1:3" x14ac:dyDescent="0.35">
      <c r="A1252" s="13">
        <v>4.6818860787307395E-3</v>
      </c>
      <c r="B1252" s="2">
        <v>1251</v>
      </c>
      <c r="C1252" s="13">
        <f t="shared" si="19"/>
        <v>3.834848393908237E-2</v>
      </c>
    </row>
    <row r="1253" spans="1:3" x14ac:dyDescent="0.35">
      <c r="A1253" s="13">
        <v>-1.9791882649377963E-3</v>
      </c>
      <c r="B1253" s="2">
        <v>1252</v>
      </c>
      <c r="C1253" s="13">
        <f t="shared" si="19"/>
        <v>3.856320934187564E-2</v>
      </c>
    </row>
    <row r="1254" spans="1:3" x14ac:dyDescent="0.35">
      <c r="A1254" s="13">
        <v>2.7989036422424438E-3</v>
      </c>
      <c r="B1254" s="2">
        <v>1253</v>
      </c>
      <c r="C1254" s="13">
        <f t="shared" si="19"/>
        <v>4.0673634439650393E-2</v>
      </c>
    </row>
    <row r="1255" spans="1:3" x14ac:dyDescent="0.35">
      <c r="A1255" s="13">
        <v>8.0755749138871616E-4</v>
      </c>
      <c r="B1255" s="2">
        <v>1254</v>
      </c>
      <c r="C1255" s="13">
        <f t="shared" si="19"/>
        <v>4.8097222450822895E-2</v>
      </c>
    </row>
    <row r="1256" spans="1:3" x14ac:dyDescent="0.35">
      <c r="A1256" s="13">
        <v>2.3166395681111202E-2</v>
      </c>
      <c r="B1256" s="2">
        <v>1255</v>
      </c>
      <c r="C1256" s="13">
        <f t="shared" si="19"/>
        <v>9.5771884895602469E-2</v>
      </c>
    </row>
  </sheetData>
  <autoFilter ref="A1:C1" xr:uid="{7E1EC349-F31C-4696-B492-E90CC434BE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FE17-EE02-487A-AA9B-61B1E43D70CB}">
  <sheetPr>
    <tabColor rgb="FF00B0F0"/>
  </sheetPr>
  <dimension ref="A1:K11"/>
  <sheetViews>
    <sheetView showGridLines="0" zoomScale="60" workbookViewId="0">
      <selection sqref="A1:K11"/>
    </sheetView>
  </sheetViews>
  <sheetFormatPr baseColWidth="10" defaultColWidth="11.453125" defaultRowHeight="14.5" x14ac:dyDescent="0.35"/>
  <cols>
    <col min="2" max="11" width="12.6328125" bestFit="1" customWidth="1"/>
  </cols>
  <sheetData>
    <row r="1" spans="1:11" x14ac:dyDescent="0.35">
      <c r="A1" s="21"/>
      <c r="B1" s="21" t="s">
        <v>8</v>
      </c>
      <c r="C1" s="21" t="s">
        <v>9</v>
      </c>
      <c r="D1" s="21" t="s">
        <v>10</v>
      </c>
      <c r="E1" s="21" t="s">
        <v>11</v>
      </c>
      <c r="F1" s="21" t="s">
        <v>12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</row>
    <row r="2" spans="1:11" x14ac:dyDescent="0.35">
      <c r="A2" t="s">
        <v>8</v>
      </c>
      <c r="B2" s="22">
        <v>3.2144002321505199E-4</v>
      </c>
      <c r="C2" s="16">
        <v>7.2636259523728598E-5</v>
      </c>
      <c r="D2" s="16">
        <v>1.8823255577994175E-4</v>
      </c>
      <c r="E2" s="16">
        <v>5.1822571767731021E-5</v>
      </c>
      <c r="F2" s="16">
        <v>2.9819116444317022E-5</v>
      </c>
      <c r="G2" s="16">
        <v>1.2522158999641521E-4</v>
      </c>
      <c r="H2" s="16">
        <v>1.3726863909560206E-4</v>
      </c>
      <c r="I2" s="16">
        <v>1.5383077002431136E-4</v>
      </c>
      <c r="J2" s="16">
        <v>7.0042916758513752E-5</v>
      </c>
      <c r="K2" s="16">
        <v>9.4101164578280744E-5</v>
      </c>
    </row>
    <row r="3" spans="1:11" x14ac:dyDescent="0.35">
      <c r="A3" t="s">
        <v>9</v>
      </c>
      <c r="B3" s="22">
        <v>7.2636259523728598E-5</v>
      </c>
      <c r="C3" s="22">
        <v>2.2772627946980183E-4</v>
      </c>
      <c r="D3" s="16">
        <v>4.8786010550461048E-5</v>
      </c>
      <c r="E3" s="16">
        <v>4.0299274002666254E-5</v>
      </c>
      <c r="F3" s="16">
        <v>3.9543511000320336E-5</v>
      </c>
      <c r="G3" s="16">
        <v>8.1289962135372648E-5</v>
      </c>
      <c r="H3" s="16">
        <v>1.0799045342397408E-4</v>
      </c>
      <c r="I3" s="16">
        <v>8.9630971852242908E-5</v>
      </c>
      <c r="J3" s="16">
        <v>4.253822856617449E-5</v>
      </c>
      <c r="K3" s="16">
        <v>9.5821100285713249E-5</v>
      </c>
    </row>
    <row r="4" spans="1:11" x14ac:dyDescent="0.35">
      <c r="A4" t="s">
        <v>10</v>
      </c>
      <c r="B4" s="22">
        <v>1.8823255577994175E-4</v>
      </c>
      <c r="C4" s="22">
        <v>4.8786010550461048E-5</v>
      </c>
      <c r="D4" s="22">
        <v>2.6610337852001189E-4</v>
      </c>
      <c r="E4" s="16">
        <v>4.9201398959629844E-5</v>
      </c>
      <c r="F4" s="16">
        <v>1.4779979033367672E-5</v>
      </c>
      <c r="G4" s="16">
        <v>1.0715815165251817E-4</v>
      </c>
      <c r="H4" s="16">
        <v>1.1884105601204268E-4</v>
      </c>
      <c r="I4" s="16">
        <v>1.1101817891579689E-4</v>
      </c>
      <c r="J4" s="16">
        <v>5.5130492169050092E-5</v>
      </c>
      <c r="K4" s="16">
        <v>7.9227502498725524E-5</v>
      </c>
    </row>
    <row r="5" spans="1:11" x14ac:dyDescent="0.35">
      <c r="A5" t="s">
        <v>11</v>
      </c>
      <c r="B5" s="22">
        <v>5.1822571767731021E-5</v>
      </c>
      <c r="C5" s="22">
        <v>4.0299274002666254E-5</v>
      </c>
      <c r="D5" s="22">
        <v>4.9201398959629844E-5</v>
      </c>
      <c r="E5" s="22">
        <v>3.5255917803866428E-4</v>
      </c>
      <c r="F5" s="16">
        <v>5.0089961112848536E-5</v>
      </c>
      <c r="G5" s="16">
        <v>6.287869571329328E-5</v>
      </c>
      <c r="H5" s="16">
        <v>6.7461555927315138E-5</v>
      </c>
      <c r="I5" s="16">
        <v>4.2007242535695025E-5</v>
      </c>
      <c r="J5" s="16">
        <v>3.4086291839717362E-5</v>
      </c>
      <c r="K5" s="16">
        <v>3.2295295610118024E-5</v>
      </c>
    </row>
    <row r="6" spans="1:11" x14ac:dyDescent="0.35">
      <c r="A6" t="s">
        <v>12</v>
      </c>
      <c r="B6" s="22">
        <v>2.9819116444317022E-5</v>
      </c>
      <c r="C6" s="22">
        <v>3.9543511000320336E-5</v>
      </c>
      <c r="D6" s="22">
        <v>1.4779979033367672E-5</v>
      </c>
      <c r="E6" s="22">
        <v>5.0089961112848536E-5</v>
      </c>
      <c r="F6" s="22">
        <v>1.1235469220851952E-4</v>
      </c>
      <c r="G6" s="16">
        <v>3.9884836258968065E-5</v>
      </c>
      <c r="H6" s="16">
        <v>2.9945142375599492E-5</v>
      </c>
      <c r="I6" s="16">
        <v>2.0849527731681715E-5</v>
      </c>
      <c r="J6" s="16">
        <v>3.267524070150063E-5</v>
      </c>
      <c r="K6" s="16">
        <v>2.4055570916429244E-5</v>
      </c>
    </row>
    <row r="7" spans="1:11" x14ac:dyDescent="0.35">
      <c r="A7" t="s">
        <v>13</v>
      </c>
      <c r="B7" s="22">
        <v>1.2522158999641521E-4</v>
      </c>
      <c r="C7" s="22">
        <v>8.1289962135372648E-5</v>
      </c>
      <c r="D7" s="22">
        <v>1.0715815165251817E-4</v>
      </c>
      <c r="E7" s="22">
        <v>6.287869571329328E-5</v>
      </c>
      <c r="F7" s="22">
        <v>3.9884836258968065E-5</v>
      </c>
      <c r="G7" s="22">
        <v>2.1019262606181309E-4</v>
      </c>
      <c r="H7" s="16">
        <v>1.6743949421845627E-4</v>
      </c>
      <c r="I7" s="16">
        <v>1.2748837555772948E-4</v>
      </c>
      <c r="J7" s="16">
        <v>4.7561723236255194E-5</v>
      </c>
      <c r="K7" s="16">
        <v>9.6580803513180051E-5</v>
      </c>
    </row>
    <row r="8" spans="1:11" x14ac:dyDescent="0.35">
      <c r="A8" t="s">
        <v>14</v>
      </c>
      <c r="B8" s="22">
        <v>1.3726863909560206E-4</v>
      </c>
      <c r="C8" s="22">
        <v>1.0799045342397408E-4</v>
      </c>
      <c r="D8" s="22">
        <v>1.1884105601204268E-4</v>
      </c>
      <c r="E8" s="22">
        <v>6.7461555927315138E-5</v>
      </c>
      <c r="F8" s="22">
        <v>2.9945142375599492E-5</v>
      </c>
      <c r="G8" s="22">
        <v>1.6743949421845627E-4</v>
      </c>
      <c r="H8" s="22">
        <v>3.8195297428066311E-4</v>
      </c>
      <c r="I8" s="16">
        <v>2.4181031158630888E-4</v>
      </c>
      <c r="J8" s="16">
        <v>5.6603731168792863E-5</v>
      </c>
      <c r="K8" s="16">
        <v>1.964537518404313E-4</v>
      </c>
    </row>
    <row r="9" spans="1:11" x14ac:dyDescent="0.35">
      <c r="A9" t="s">
        <v>15</v>
      </c>
      <c r="B9" s="22">
        <v>1.5383077002431136E-4</v>
      </c>
      <c r="C9" s="22">
        <v>8.9630971852242908E-5</v>
      </c>
      <c r="D9" s="22">
        <v>1.1101817891579689E-4</v>
      </c>
      <c r="E9" s="22">
        <v>4.2007242535695025E-5</v>
      </c>
      <c r="F9" s="22">
        <v>2.0849527731681715E-5</v>
      </c>
      <c r="G9" s="22">
        <v>1.2748837555772948E-4</v>
      </c>
      <c r="H9" s="22">
        <v>2.4181031158630888E-4</v>
      </c>
      <c r="I9" s="22">
        <v>5.6708231031888116E-4</v>
      </c>
      <c r="J9" s="16">
        <v>6.0460644707025132E-5</v>
      </c>
      <c r="K9" s="16">
        <v>1.7765376396810712E-4</v>
      </c>
    </row>
    <row r="10" spans="1:11" x14ac:dyDescent="0.35">
      <c r="A10" t="s">
        <v>16</v>
      </c>
      <c r="B10" s="22">
        <v>7.0042916758513752E-5</v>
      </c>
      <c r="C10" s="22">
        <v>4.253822856617449E-5</v>
      </c>
      <c r="D10" s="22">
        <v>5.5130492169050092E-5</v>
      </c>
      <c r="E10" s="22">
        <v>3.4086291839717362E-5</v>
      </c>
      <c r="F10" s="22">
        <v>3.267524070150063E-5</v>
      </c>
      <c r="G10" s="22">
        <v>4.7561723236255194E-5</v>
      </c>
      <c r="H10" s="22">
        <v>5.6603731168792863E-5</v>
      </c>
      <c r="I10" s="22">
        <v>6.0460644707025132E-5</v>
      </c>
      <c r="J10" s="22">
        <v>1.6901924483952326E-4</v>
      </c>
      <c r="K10" s="16">
        <v>4.0922528782002687E-5</v>
      </c>
    </row>
    <row r="11" spans="1:11" ht="15" thickBot="1" x14ac:dyDescent="0.4">
      <c r="A11" s="20" t="s">
        <v>17</v>
      </c>
      <c r="B11" s="23">
        <v>9.4101164578280744E-5</v>
      </c>
      <c r="C11" s="23">
        <v>9.5821100285713249E-5</v>
      </c>
      <c r="D11" s="23">
        <v>7.9227502498725524E-5</v>
      </c>
      <c r="E11" s="23">
        <v>3.2295295610118024E-5</v>
      </c>
      <c r="F11" s="23">
        <v>2.4055570916429244E-5</v>
      </c>
      <c r="G11" s="23">
        <v>9.6580803513180051E-5</v>
      </c>
      <c r="H11" s="23">
        <v>1.964537518404313E-4</v>
      </c>
      <c r="I11" s="23">
        <v>1.7765376396810712E-4</v>
      </c>
      <c r="J11" s="23">
        <v>4.0922528782002687E-5</v>
      </c>
      <c r="K11" s="23">
        <v>3.3685877363534084E-4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2</vt:i4>
      </vt:variant>
    </vt:vector>
  </HeadingPairs>
  <TitlesOfParts>
    <vt:vector size="6" baseType="lpstr">
      <vt:lpstr>Data (Actions)</vt:lpstr>
      <vt:lpstr>Portfolio</vt:lpstr>
      <vt:lpstr>VaR (CVaR)</vt:lpstr>
      <vt:lpstr>COVAR</vt:lpstr>
      <vt:lpstr>Frontera</vt:lpstr>
      <vt:lpstr>Evolucion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Cruz</dc:creator>
  <cp:keywords/>
  <dc:description/>
  <cp:lastModifiedBy>Axel Cruz</cp:lastModifiedBy>
  <cp:revision/>
  <dcterms:created xsi:type="dcterms:W3CDTF">2025-10-26T01:57:14Z</dcterms:created>
  <dcterms:modified xsi:type="dcterms:W3CDTF">2025-11-29T21:55:38Z</dcterms:modified>
  <cp:category/>
  <cp:contentStatus/>
</cp:coreProperties>
</file>